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ID#AAABp0rVyAU
Javelyn Aquino    (2025-08-26 08:19:35)
time email received</t>
      </text>
    </comment>
    <comment authorId="0" ref="D1">
      <text>
        <t xml:space="preserve">======
ID#AAABl_tBD2E
Javelyn Aquino    (2025-08-12 06:44:35)
date and time on email
------
ID#AAABl_tBD2I
Javelyn Aquino    (2025-08-12 06:44:51)
first response time</t>
      </text>
    </comment>
    <comment authorId="0" ref="AC31">
      <text>
        <t xml:space="preserve">======
ID#AAABnXtjmyk
Javelyn Aquino    (2025-07-15 00:32:11)
15:00 HDD arrival
15:30-19:30 - PASI Config</t>
      </text>
    </comment>
    <comment authorId="0" ref="AC34">
      <text>
        <t xml:space="preserve">======
ID#AAABnX9l908
Javelyn Aquino    (2025-07-15 04:47:58)
Stop time:
Start: 1040H
End: 1130H
Reason: Waiting for electrician to finish
Start: 1150H
End: 1220H
Reason: Standby</t>
      </text>
    </comment>
    <comment authorId="0" ref="A40">
      <text>
        <t xml:space="preserve">======
ID#AAABndbKwRQ
Javelyn Aquino    (2025-07-18 00:00:47)
SCHED: July 17 Thursday, 10pm onwards.</t>
      </text>
    </comment>
    <comment authorId="0" ref="AC43">
      <text>
        <t xml:space="preserve">======
ID#AAABnaMBr2Q
Cerventech Support    (2025-07-16 17:54:09)
Paused time:
Start: 7:30 am
End: 9:00 am
Reason: Pick-up of new printer
Start: 2:00 pm
End: 3:00 pm
Reason: Due to many customer
Start: 3:30 pm
End: 4:00 pm
Reason: Standby
Start: 5:30 pm 
End: 8:40 pm
Reason: Delivery of new printer
Start: 9:30 pm
End: 12:48 am
Reason: Delivery of spare power adapter and cable</t>
      </text>
    </comment>
    <comment authorId="0" ref="A45">
      <text>
        <t xml:space="preserve">======
ID#AAABoRJICyE
Javelyn Aquino    (2025-07-17 08:29:13)
shced date 7/17 at 11AM</t>
      </text>
    </comment>
    <comment authorId="0" ref="A50">
      <text>
        <t xml:space="preserve">======
ID#AAABoRJIC9w
Javelyn Aquino    (2025-07-17 10:43:47)
sched 7/17 at 3-4pm</t>
      </text>
    </comment>
    <comment authorId="0" ref="A51">
      <text>
        <t xml:space="preserve">======
ID#AAABoRJIC-U
Javelyn Aquino    (2025-07-17 11:52:21)
waiting for L1 iso endorse at 7:33am</t>
      </text>
    </comment>
    <comment authorId="0" ref="AK54">
      <text>
        <t xml:space="preserve">======
ID#AAABncxJ9tc
Javelyn Aquino    (2025-07-17 14:31:46)
‎Store Arrival: 1:30 pm
‎Work Start: 1:45 pm
‎Work End: 9:30 pm
‎Pause Time: return to store 662 for the sched t&amp;c
‎Start: 4:00 pm
‎End: 8:30 pm
‎
‎Pause Time: observation
‎Start: 9:00 pm
‎End: 9:30 pm</t>
      </text>
    </comment>
    <comment authorId="0" ref="A60">
      <text>
        <t xml:space="preserve">======
ID#AAABnezl2g0
Cerventech Support    (2025-07-20 08:08:09)
Waiting for schedule</t>
      </text>
    </comment>
    <comment authorId="0" ref="AK160">
      <text>
        <t xml:space="preserve">======
ID#AAABpXZVA_U
Cerventech Support    (2025-08-16 04:02:43)
scheduled HDD replacement</t>
      </text>
    </comment>
    <comment authorId="0" ref="AB406">
      <text>
        <t xml:space="preserve">======
ID#AAABrcOOGNE
Mai Mongaya    (2025-09-23 12:54:58)
9:00-12:00 (3hrs)
-awaiting parts delivered to FE</t>
      </text>
    </comment>
    <comment authorId="0" ref="AB408">
      <text>
        <t xml:space="preserve">======
ID#AAABrcOOGNM
Mai Mongaya    (2025-09-23 12:56:03)
8:56-12:00 (3hrs4mins)
-awaiting parts delivered to FE</t>
      </text>
    </comment>
    <comment authorId="0" ref="AK409">
      <text>
        <t xml:space="preserve">======
ID#AAABrcOOGNk
Mai Mongaya    (2025-09-23 14:08:34)
downtime due to long-distance travel (took 3-4hrs most)</t>
      </text>
    </comment>
    <comment authorId="0" ref="AK423">
      <text>
        <t xml:space="preserve">======
ID#AAABrijwL4U
Javelyn Aquino    (2025-09-26 07:55:31)
ETA 10:45-11:00 , actual ETA 1:36PM</t>
      </text>
    </comment>
    <comment authorId="0" ref="X463">
      <text>
        <t xml:space="preserve">======
ID#AAABr-jFqw8
Mai Mongaya    (2025-10-07 18:08:07)
Already at the store by 10:34 AM catering other ticket--informed SD by 2:12 PM that we are able to check this ticket as well.</t>
      </text>
    </comment>
    <comment authorId="0" ref="H464">
      <text>
        <t xml:space="preserve">======
ID#AAABsr44aLQ
Cerventech Support    (2025-10-02 10:39:27)
black screen</t>
      </text>
    </comment>
    <comment authorId="0" ref="H472">
      <text>
        <t xml:space="preserve">======
ID#AAABr4XozAE
Cerventech Support    (2025-10-04 06:47:23)
broken LCD</t>
      </text>
    </comment>
    <comment authorId="0" ref="AK492">
      <text>
        <t xml:space="preserve">======
ID#AAABr-jFqwk
Mai Mongaya    (2025-10-07 17:02:46)
site visit was postponed due to earthquake</t>
      </text>
    </comment>
    <comment authorId="0" ref="AK495">
      <text>
        <t xml:space="preserve">======
ID#AAABr9BdFcM
Javelyn Aquino    (2025-10-07 07:51:31)
resched due to bad weather ,
------
ID#AAABr9BdFcQ
Javelyn Aquino    (2025-10-07 07:51:54)
then wait for unit to be shipped before onsite</t>
      </text>
    </comment>
  </commentList>
</comments>
</file>

<file path=xl/sharedStrings.xml><?xml version="1.0" encoding="utf-8"?>
<sst xmlns="http://schemas.openxmlformats.org/spreadsheetml/2006/main" count="28760" uniqueCount="9793">
  <si>
    <t>Date Reported</t>
  </si>
  <si>
    <t>Time Reported</t>
  </si>
  <si>
    <t>Date Responded</t>
  </si>
  <si>
    <t>Time Responded</t>
  </si>
  <si>
    <t>RCC Reference Number</t>
  </si>
  <si>
    <t>Store Code</t>
  </si>
  <si>
    <t>Store Name</t>
  </si>
  <si>
    <t>Request type</t>
  </si>
  <si>
    <t>Device</t>
  </si>
  <si>
    <t>Station</t>
  </si>
  <si>
    <t>Brand</t>
  </si>
  <si>
    <t>M/MT Model</t>
  </si>
  <si>
    <t>Serial Number</t>
  </si>
  <si>
    <t>Request Detail</t>
  </si>
  <si>
    <t>----- Action Taken -----</t>
  </si>
  <si>
    <t>Problem Category</t>
  </si>
  <si>
    <t>Sev</t>
  </si>
  <si>
    <t>Final resolution</t>
  </si>
  <si>
    <t>Status</t>
  </si>
  <si>
    <t>Part/s replaced</t>
  </si>
  <si>
    <t>New Parts Serial</t>
  </si>
  <si>
    <t>Old Parts Serial</t>
  </si>
  <si>
    <t>Date Ack</t>
  </si>
  <si>
    <t>Time Ack</t>
  </si>
  <si>
    <t>Date Attended</t>
  </si>
  <si>
    <t>Store Arrival</t>
  </si>
  <si>
    <t>Work Start</t>
  </si>
  <si>
    <t>Pause Time
(Start)</t>
  </si>
  <si>
    <t>Pause Time
(End)</t>
  </si>
  <si>
    <t>Work End</t>
  </si>
  <si>
    <t>Date Resolved</t>
  </si>
  <si>
    <t>Reported by</t>
  </si>
  <si>
    <t>Serviced by</t>
  </si>
  <si>
    <t>MOD</t>
  </si>
  <si>
    <t>SLA Count
(Hrs)</t>
  </si>
  <si>
    <t>Downtime</t>
  </si>
  <si>
    <t>SLA Status</t>
  </si>
  <si>
    <t>FSBP00117168</t>
  </si>
  <si>
    <t>SB220</t>
  </si>
  <si>
    <t>BONIFACIO HIGH STREET - BLOCK 3</t>
  </si>
  <si>
    <t>No Service Tier</t>
  </si>
  <si>
    <t>POS A, POS B</t>
  </si>
  <si>
    <t>POS</t>
  </si>
  <si>
    <t>POSIFLEX</t>
  </si>
  <si>
    <t>KS-7412P</t>
  </si>
  <si>
    <t>41MD016/41MD253</t>
  </si>
  <si>
    <t>ALL POS - no service tier available</t>
  </si>
  <si>
    <t xml:space="preserve">7/4 Upon arrival checked BOS connectivity stable
-Checked POS has lights in lan cable but destination host unreachable
-Restart BOS still unreachable
-Recrimp POS still unreachable
-Power cycle meraki MX still unreachable
-Power cycle 24 switch still unreachable
-Tried other lan from 24 switch to meraki still unreachable
-Trends arrived advised my workaround and he configure 24 switch store is now up
-Tested all POS now working
-Standby incase of error; no error
-Store is now up and working
-Work done
</t>
  </si>
  <si>
    <t>Network</t>
  </si>
  <si>
    <t>Sev1</t>
  </si>
  <si>
    <t>trends configure meraki mx</t>
  </si>
  <si>
    <t>Closed</t>
  </si>
  <si>
    <t>N/A</t>
  </si>
  <si>
    <t>SD</t>
  </si>
  <si>
    <t>Sandro Labalan</t>
  </si>
  <si>
    <t>Kaevin Mangalupo</t>
  </si>
  <si>
    <t>FSBP00117169</t>
  </si>
  <si>
    <t>SB233</t>
  </si>
  <si>
    <t>THE LANDMARK - TRINOMA</t>
  </si>
  <si>
    <t>No Power</t>
  </si>
  <si>
    <t>POS A</t>
  </si>
  <si>
    <t>TOSHIBA</t>
  </si>
  <si>
    <t>41-PH510</t>
  </si>
  <si>
    <t>POS A - won't open</t>
  </si>
  <si>
    <t>7/4 Upon arrival coordinated to mod
-check cable, power cable loose on the back of pos
-secured cable
- observed 30minutes
-check connection in mws ping end to end, Good
-work done</t>
  </si>
  <si>
    <t>Sev2</t>
  </si>
  <si>
    <t>Secured power cable at the back of pos</t>
  </si>
  <si>
    <t>Carlo Baranda</t>
  </si>
  <si>
    <t>Tricia Quiayang</t>
  </si>
  <si>
    <t>FSBP00116923</t>
  </si>
  <si>
    <t>SB136</t>
  </si>
  <si>
    <t>ROBINSONS GALLERIA - LEVEL 4</t>
  </si>
  <si>
    <t>HONEYWELL</t>
  </si>
  <si>
    <t>POS A Bar code scanner No Power</t>
  </si>
  <si>
    <t>7/4 - Upon arrival wait for delivery of new scanner
- Coordinate with MOD
- Remove defective scanner
- Install new scanner
- Test; good
- Test by MOD; good.
- Pull out defective scanner. Work done</t>
  </si>
  <si>
    <t>Hardware</t>
  </si>
  <si>
    <t>Replaced defective scanner with a new one.</t>
  </si>
  <si>
    <t>Scanner</t>
  </si>
  <si>
    <t>Jerome Ferber</t>
  </si>
  <si>
    <t>Cheeries Sanguyo</t>
  </si>
  <si>
    <t>FSBP00113883</t>
  </si>
  <si>
    <t>SB299</t>
  </si>
  <si>
    <t>CRESCENT PARK RESIDENCES - BONIFACIO GLOBAL CITY</t>
  </si>
  <si>
    <t>Defective Power Button</t>
  </si>
  <si>
    <t>E70</t>
  </si>
  <si>
    <t>41-MD372</t>
  </si>
  <si>
    <t>POS A - power button was sunken/stuck</t>
  </si>
  <si>
    <t xml:space="preserve">7/4 Check power button of POS A; stuck
- Attempt to pop out power button using several tools; OK
- Config power button settings if pressed from shutting down to do nothing
</t>
  </si>
  <si>
    <t>pop out power button using several tools</t>
  </si>
  <si>
    <t>Emman Tan</t>
  </si>
  <si>
    <t>Ai Dasmarinas</t>
  </si>
  <si>
    <t>FSBP00117134</t>
  </si>
  <si>
    <t>SB532</t>
  </si>
  <si>
    <t>THE VILLAGE SQUARE</t>
  </si>
  <si>
    <t>POS A, POS B, MWS, BOS</t>
  </si>
  <si>
    <t>BOS</t>
  </si>
  <si>
    <t>POSIFLEX/HP</t>
  </si>
  <si>
    <t>KS-7412P/800 G4 SFF</t>
  </si>
  <si>
    <t>KSHC0030/KSIB0044/ 4CE9241XXF/4CE9241XY0</t>
  </si>
  <si>
    <t>Both POS -no service tier</t>
  </si>
  <si>
    <t>7/4 upon arrival, store is already pos operational.
-as per mod they encountered yesterday pos offline, mws not accessible and no internet.
-early morning, they secured powerchord to meraki then  suddenly pos and internet went up.
-findings is possible loose power cord to meraki.
-secured all cables connected to meraki.
-tested ping all devices okay.
-remote also by pasi
-work done.</t>
  </si>
  <si>
    <t>Secured all cables to meraki.</t>
  </si>
  <si>
    <t>Glen Banania</t>
  </si>
  <si>
    <t>Marvin Castillo</t>
  </si>
  <si>
    <t>FSBP00117207</t>
  </si>
  <si>
    <t>SB645</t>
  </si>
  <si>
    <t>OUANO AVENUE</t>
  </si>
  <si>
    <t>POS D</t>
  </si>
  <si>
    <t>rt-6016g2</t>
  </si>
  <si>
    <t>rt051888</t>
  </si>
  <si>
    <t>POS D - No service tier error</t>
  </si>
  <si>
    <t>7/4 Upon arrival coordinate mod
Proceed to PosD
Checking LAN using tester crimp (ok)
Proceed to back office checking 24switch port5 unplug check LAN tester crimp (ok)
Ping on mws (good) get 1gbs
Coordinate sir Vince and confirmed posD is operational and working normally witnessed by mod
As per sir Vince Observe for 1hr (good)
Work done
Call closed</t>
  </si>
  <si>
    <t>Recrimp end to end</t>
  </si>
  <si>
    <t>Reynan Domecillo</t>
  </si>
  <si>
    <t>Jazzy Pongcol</t>
  </si>
  <si>
    <t>FSBP00117217</t>
  </si>
  <si>
    <t>SB179</t>
  </si>
  <si>
    <t>SHELL SLEX BINAN (DTE)</t>
  </si>
  <si>
    <t>POS A Barcode Scanner</t>
  </si>
  <si>
    <t>POS Barcode Scanner</t>
  </si>
  <si>
    <t>CD-3601U</t>
  </si>
  <si>
    <t>POS A Barcode scanner - No power</t>
  </si>
  <si>
    <t>7/5 - Upon arrival coordinate to MOD for checking of barcode scanner
- Barcode scanner is up and working
- According to MOD scanner experiencing intermittent power loss
- Proceed for barcode scanner replacement
- Remove defective scanner
- Install new scanner
- Scan testing; good
- Test by MOD; good.
- Pull out defective scanner</t>
  </si>
  <si>
    <t>replaced POS scanner</t>
  </si>
  <si>
    <t>CDI5I443</t>
  </si>
  <si>
    <t>Millard Monzon &amp; Brent Albert Facturan</t>
  </si>
  <si>
    <t>Keith Manalo</t>
  </si>
  <si>
    <t>FSBP00117027</t>
  </si>
  <si>
    <t>SB161</t>
  </si>
  <si>
    <t>AYALA CENTER - CEBU</t>
  </si>
  <si>
    <t>No power</t>
  </si>
  <si>
    <t>POS B Printer</t>
  </si>
  <si>
    <t>POS Printer</t>
  </si>
  <si>
    <t>PP7600X-TB</t>
  </si>
  <si>
    <t>PP050266</t>
  </si>
  <si>
    <t>POS Printer - Not connected /Turned off (to confirm what POS affected and what is the exact errror)</t>
  </si>
  <si>
    <t>7/5 - Coordinate with MOD
- Check printer is turning off
- Check power adapter to ups
- Ups is turning off
- Resocket, Secure cable and turning on ups
- POS B printer is working normally and tested by MOD
- Work done</t>
  </si>
  <si>
    <t>Resocket and secure cable on UPS</t>
  </si>
  <si>
    <t>Rhea Baflor</t>
  </si>
  <si>
    <t>FSBP00116866</t>
  </si>
  <si>
    <t>SB393</t>
  </si>
  <si>
    <t>SOUTH HUB CALTEX  MAMPLASAN DT</t>
  </si>
  <si>
    <t>Slow Response</t>
  </si>
  <si>
    <t>LENOVO</t>
  </si>
  <si>
    <t>S1R501</t>
  </si>
  <si>
    <t>PC0D6YVT</t>
  </si>
  <si>
    <t>ALL POS - Hanging and lagging takes around 5 minutes or long even when printing receipts</t>
  </si>
  <si>
    <t>7/4 - Upon arrival coordinate to MOD for BOS SSD installation as a primary boot
- Check computer details
- Request to PASI for backup SQL database, done
- Shutdown BOS for SSD installation, done
- Configure SSD as a primary boot
- Check SSD for bad sectors, no bad sectors found
- Check disk health status in HDSentinel, 100% ok
7/7 BOS TROUBLESHOOTING
-Waited for permission to start.
-Performed initial checking of BOS prior to RAM replacement. RAM at 89%+ util, HDD fluctuating to 100% Util. HDD at 100% Health.
-Checked BIOS for hot swap option, confirmed BOS BIOS does not have hotplug option.
-Proceeded with the RAM replacement, checked RAM one at a time for boot test. Both RAM is good.
-Rechecked all needed parameters, BOS at 1gbps, HDD at 100% Health, RAM util at 13% util. HDD fluctuating but not reaching 100% util.
-Requested support from PASI and RCOC for additional config.
-After config, normal operation, wait for transaction to test.
UPS
-Checked UPS display, Normal output.
-Traced the UPS power source, secured power cable.
-Tested Direct UPS, Normal outlet, and UPS outlet. All voltage reading are normal.
TRANSACTION OBSERVATION
POS A
-1st transaction for POS A at 5:55 AM, No delay (CASH)
-2nd transaction for POS A at 6:00 AM, No delay (Encountered MAYA problem)
-3rd transaction for POS A at 6:13 AM, No delay (CARD)
POS B
-1st transaction for POS B at 5:22 AM, 3 mins delay print (GCASH)
-2nd transaction for POS B at 5:37 AM, No delay (CARD)
-3rd transaction for POS B at 6:07 AM, No delay (Cash w/Senior Discount)
POS D
-1st transaction for POS D at 5:54 AM, No delay
-Succeeding transaction for POS D at 6:30 AM, no delay (Cash)
-No further printing delays experienced during observation.
- Configure IP addresses
- POS B no encountered problem
- POS A slow printing, 6 mins avg time of printing
- Monitoring of POS transaction
 393 PASI Worklogs:
- Reinstall SQL App
- Restore Database
- Configure BOS NAV Setp
- Remote MWS &amp; POS, POS C, KDS, DT ORDER - Ok
Next Step:
- Testing c/o Store Partners
- BOS Redomain
- Database Maintenance Plan Setup
7/5 - Upon arrival 2:24 pm consulted the MOD regarding the behavior of POS after the installation of SSD.
- As per MOD Ree, from 11 am until my arrival at store no abnormal behavior of POS such as (Slow printing of receipt, all mode of payment is working)
- start observing the POS during operations for potential error.
- The first error encountered was the slow printing of receipt occurred between 3:45 pm - 3:50 pm for PWD discounts transactions at POS-A.
- During this time, high disk usage fluctuated suddenly, going from 100% down to 0%.
- After this period of high disk usage, the store returned to normal operation, and all payment modes (Credit Card, QR PH, Discounts, Starbucks app, etc.) were working normally.
- At 4:32 PM, a second error occurred: slow receipt printing for a credit card payment at POS-A and a cash payment at POS-D. The root cause was again the sudden fluctuation of high disk usage on the Hard Disk Drive (HDD), which then returned to normal.
- Afterward, the store resumed normal operations, and no further slow printing errors were encountered until 6:00 PM.</t>
  </si>
  <si>
    <t>BOS upgrade to SSD/Replaced/Upgraded BOS RAM same ISO ticket #FSBP00117077</t>
  </si>
  <si>
    <t>SSD</t>
  </si>
  <si>
    <t>24231E40F10</t>
  </si>
  <si>
    <t>Karl Joseph Almonte</t>
  </si>
  <si>
    <t>Janna Gragg</t>
  </si>
  <si>
    <t>FSBP00117357</t>
  </si>
  <si>
    <t>SB379</t>
  </si>
  <si>
    <t>ROBINSONS PLACE LAS PINAS - GF</t>
  </si>
  <si>
    <t>Unable to print</t>
  </si>
  <si>
    <t>PP-7600-TB</t>
  </si>
  <si>
    <t>PP040034</t>
  </si>
  <si>
    <t>POS B Printer- Unable to print, and no paper come out</t>
  </si>
  <si>
    <t>7/6 - Upon arrival coordinate to MOD for POS B printer checking
- Test print; error
- Confirmed broken hook found</t>
  </si>
  <si>
    <t>For replacement of cutter assy. or whole printer, under warranty per warranty tag</t>
  </si>
  <si>
    <t>Millard Monzon</t>
  </si>
  <si>
    <t>Rayden Rozul</t>
  </si>
  <si>
    <t>FSBP00117373</t>
  </si>
  <si>
    <t>SB627</t>
  </si>
  <si>
    <t>NOBLE PLACE BINONDO</t>
  </si>
  <si>
    <t>MSR wont read</t>
  </si>
  <si>
    <t>POS B MSR</t>
  </si>
  <si>
    <t>MSR</t>
  </si>
  <si>
    <t>RT-6016G2</t>
  </si>
  <si>
    <t>RT051810</t>
  </si>
  <si>
    <t>POS B- MSR cannot read partners ID</t>
  </si>
  <si>
    <t>7/6 - Coordinated with the MOD
- Cleaned and reseat MSR, intermittent results
- MSR for replacement
- Replaced MSR and requested config by PASI
- Tested by the MOD; Good
- Pulled out defective MSR
- Work done</t>
  </si>
  <si>
    <t>replaced MSR</t>
  </si>
  <si>
    <t>RA050268
RA311110000*</t>
  </si>
  <si>
    <t>RALB9241
RA301010000*</t>
  </si>
  <si>
    <t>Sandro Labalan &amp; Aaron Mino</t>
  </si>
  <si>
    <t>Joseph Relosa</t>
  </si>
  <si>
    <t>FSBP00117488</t>
  </si>
  <si>
    <t>SB192</t>
  </si>
  <si>
    <t>CHINA BANK BLDG- VILLAR</t>
  </si>
  <si>
    <t>Blue Screen</t>
  </si>
  <si>
    <t>4852-E70</t>
  </si>
  <si>
    <t>41-LD649</t>
  </si>
  <si>
    <t>POS A - blue screen "a disk read error occurred"</t>
  </si>
  <si>
    <t>7/7 - Coordinated with MOD
- Checked POS A; UP
- MOD advised that POS hard disk failed when booting
- Performed check disk; no error
- Standby for 30 mins
- POS is UP and working
- Work done.</t>
  </si>
  <si>
    <t>Software</t>
  </si>
  <si>
    <t>NFT</t>
  </si>
  <si>
    <t>Joanna Cinco</t>
  </si>
  <si>
    <t>FSBP00117489</t>
  </si>
  <si>
    <t>SB138</t>
  </si>
  <si>
    <t>SM MEGA TOWER</t>
  </si>
  <si>
    <t>Setup</t>
  </si>
  <si>
    <t>CBS Printer</t>
  </si>
  <si>
    <t>Labeler Printer</t>
  </si>
  <si>
    <t>Labeler Stand Setup for CBS labeler printer</t>
  </si>
  <si>
    <t>7/7 - Coordinated with MOD
- Get labeler stand from MOD
- Unpack labeler stand
- Remove CBS labeler first then install the stand
- Setup labeler above the stand.
- Test labeler; good
- Do also to Pastry labeler
- Test both labelers by MOD; good. 
- Work done</t>
  </si>
  <si>
    <t>Sev3</t>
  </si>
  <si>
    <t>Setup labeler stand</t>
  </si>
  <si>
    <t>Marlon Medina</t>
  </si>
  <si>
    <t>FSBP00117370</t>
  </si>
  <si>
    <t>SB557</t>
  </si>
  <si>
    <t>SM CITY GRAND CENTRAL</t>
  </si>
  <si>
    <t>KS-7412p</t>
  </si>
  <si>
    <t>A: KSJA0845 | B: KSJA0859</t>
  </si>
  <si>
    <t>POS A and POS B - it takes 2-4 minutes to complete the transaction since around 12nn</t>
  </si>
  <si>
    <t>7/7 - Upon arrival, coordinate with MOD regarding issue
- Wait for the call from the MOD before we proceed
- According to MOD, there was advice from telco regarding intermittent connection yesterday as a possible cause of the delay.
- Upon checking both POS ( POS A and POS B ) is working properly
- Check ping test, POS A, POS B and BOS /  No issue, no RTO
- Check speed of all devices; 1gbps
- Speed test and observe 40 minutes / no issue
- Both POS are working properly.
- Work done</t>
  </si>
  <si>
    <t>Check ping test, POS A, POS B and BOS /  No issue, no RTO</t>
  </si>
  <si>
    <t>Dario Garcia</t>
  </si>
  <si>
    <t>Adam Ali</t>
  </si>
  <si>
    <t>FSBP00117525</t>
  </si>
  <si>
    <t>SB429</t>
  </si>
  <si>
    <t>UPTOWN PLACE - BONIFACIO GLOBAL CITY</t>
  </si>
  <si>
    <t>Defective power button</t>
  </si>
  <si>
    <t>POS A Barcode Scanner, POS B Barcode Scanner</t>
  </si>
  <si>
    <t>7580g</t>
  </si>
  <si>
    <t>A: 15325B2337 | B: 16245B1459</t>
  </si>
  <si>
    <t>POS A and POS B Barcode Scanner (Honeywell) - button is loose and not working properly</t>
  </si>
  <si>
    <t>7/7 - Coordinated with MOD, asked permission to borrow the POS.
- Both POS did a basic troubleshooting; checking of wire, physical appearance and performance when scanning. 
- Only POS-A is successful but MOD requested to replace the scanner of both POS.
- POS-B scanner, the scanner has loose screw and dimmed light. 
- Proceeded with the replacement of scanner.
- Tested the POS-B scanner, scan testing working good.
- Proceeded replacement of POS-A scanner, test scanning working good.</t>
  </si>
  <si>
    <t>Both POS installed new Honeywell scanner.</t>
  </si>
  <si>
    <t>A: 15152B122F | B: 15152B123C</t>
  </si>
  <si>
    <t>Gurlie Katigbak</t>
  </si>
  <si>
    <t>FSBP00116911</t>
  </si>
  <si>
    <t>M900 S1R501</t>
  </si>
  <si>
    <t>PC0D6YXH</t>
  </si>
  <si>
    <t>POS A - and B Lagging and slowness in transaction and 3-5minutes in printing receipt</t>
  </si>
  <si>
    <t>7/7 - Arrived at store 6:24 PM, coordinated with the MOD regarding of the incident.
- Slow printing of receipts occurred since the store's opening.
- Upon checking the server, confirmed the HDD disk usage was 100%.
- Observed the payment modes for transactions as reference for high disk usage
- All modes of payment (CC, DISCOUNTS, CASH, STARBUCKS APP, QR PH) showed slow printing
- The store currently has 8GB RAM
- Asked for a window of time before proceeding with troubleshooting.
Hard disk troubleshooting:
1. Ran CMD "Chkdsk" - no bad sector was found.
2. Check Task Manager - HDD high disk usage
3. RAM: SQL Server and NAV Server showed high process consumption
4. Downloaded the event viewer.
5. Ran Lenovo diags - all tests passed.
6. UPS power source - normal power 220V.
7. Open HDD sentinel - HDD health passed.
8. LAN speed 1GBPS
9. No hot swap function available in BIOS
10. Restart the BOS and POS
- At 8:30 PM, run the LSNAV on both POS to operate and observe for possible slowing of print.
- Monitored also the disk usage and RAM incase of fluctuation.
- By 9:00 PM, both POS showed no slow printing, and HDD disk and RAM usage were normal
- At 9:30 PM pulled out from the store and there was no further slow printing or high disk usage.</t>
  </si>
  <si>
    <t>performed harddisk troubleshoot, restart BOS and POS</t>
  </si>
  <si>
    <t>Lean Tatlonghari</t>
  </si>
  <si>
    <t>FSBP00117515</t>
  </si>
  <si>
    <t>SB199</t>
  </si>
  <si>
    <t>TEKTITE TOWER - LEVEL 1 EAST TOWER</t>
  </si>
  <si>
    <t>Error "Unresponsive"</t>
  </si>
  <si>
    <t>POS B</t>
  </si>
  <si>
    <t>41VPDER</t>
  </si>
  <si>
    <t>POS B error: "The POS seems unresponsive"</t>
  </si>
  <si>
    <t>7/7 Upon arrival coordinated with mod
-POS B is woking peoperly upon arrival
-Checked network connectivity of POS B; found 100Mbps connection only
-Recrimp POS B Lan cable; good
-Checked network connectivity again; good, 1.0Gbps
-Ping 8.8.8.8 and BOS; good, stable, pingable
-Observed for a while
-Work done</t>
  </si>
  <si>
    <t>Recrimp POS B Lan cable</t>
  </si>
  <si>
    <t>Francisco T. Sevilla III</t>
  </si>
  <si>
    <t>Larry Baloto</t>
  </si>
  <si>
    <t>FSBP00117361</t>
  </si>
  <si>
    <t>SB312</t>
  </si>
  <si>
    <t>SM CITY DASMARINAS - UGF</t>
  </si>
  <si>
    <t>RTO</t>
  </si>
  <si>
    <t>PC0D6YXQ</t>
  </si>
  <si>
    <t>BOS- Has Random RTO</t>
  </si>
  <si>
    <t>7/6 - Upon arrival coordinate to MOD for BOS network checking
- Both POS are up and running; normal transaction speed
- Network status 100mbps
- Reseated connection still at 100mbps
- Ping test BOS to 8.8.8.8; RTO occurred
- Check disk; no bad sectors found
- MOD requested for this activity to be rescheduled due to heavy volume of customers
7/7 - Upon arrival at SM Dasma, login and waiting for 10pm at RDU before entering Starbucks.
- Coordinated with MOD
- BOS has 100mbps network speed.
- Recrimp BOS lan cable.
- BOS network speed is now at 1gbps.
- Tested ping from MWS okay.
- Work done</t>
  </si>
  <si>
    <t>recrimp BOS lan cable</t>
  </si>
  <si>
    <t>James Campillanes</t>
  </si>
  <si>
    <t>FSBP00117024</t>
  </si>
  <si>
    <t>SB530</t>
  </si>
  <si>
    <t>SIERRA VALLEY DTE</t>
  </si>
  <si>
    <t>Joint Visit</t>
  </si>
  <si>
    <t>Joint Visit — For checking Terminal, Cradle, Cable connection from Terminal to POS and etc. due to POS with Maya and Pasi.</t>
  </si>
  <si>
    <t xml:space="preserve">7/7  Assist Tangent personnel in checking and replacing cradle and cables of maya terminal
- Test MAYA; OK
- Observe all MAYA terminals on heavy transactions; some encountered delays
</t>
  </si>
  <si>
    <t>Assist Tangent personnel</t>
  </si>
  <si>
    <t>Carolina Mozol</t>
  </si>
  <si>
    <t>FSBP00117796</t>
  </si>
  <si>
    <t>SB641</t>
  </si>
  <si>
    <t>JP RIZAL COR JAPAN ST</t>
  </si>
  <si>
    <t>Auto login</t>
  </si>
  <si>
    <t>RTO51714</t>
  </si>
  <si>
    <t>POS D - requires to enter a password to access</t>
  </si>
  <si>
    <t>7/11 Upon arrival coordinated with mod
-POS D still requires password to access
-Config settings in regedit
-Restart POS D; same issue, incorrect password
-Check password in regedit; good
-Changed username from POS D to .\POS D
-Restart POS D; still same, incorrect password
-Coordinated with sir floyd regarding POS D
-Can't use POS D due to customers
-Coordinated with MOD regarding when i can use the POS
-Waited for a while
-Sir Floyd remoted POS D
-Restart POS D; now working, no need to login with password every restart.
-Work done</t>
  </si>
  <si>
    <t>Reco "DT Timer no access from MWS" Reco GA (Global Access)</t>
  </si>
  <si>
    <t>Jovie Ann Rañola</t>
  </si>
  <si>
    <t>FSBP00117544</t>
  </si>
  <si>
    <t>SB252</t>
  </si>
  <si>
    <t>D` STUDENT`S PLACE - TAFT AVE</t>
  </si>
  <si>
    <t>Loose Screw</t>
  </si>
  <si>
    <t>41- PH553</t>
  </si>
  <si>
    <t>POS A monitor is loosen</t>
  </si>
  <si>
    <t>7/8 - Coordinated with MOD
- Checked POS A is loosen
- Checked nut is loosed
- Waiting for Sir Mino wrench
- Secure nuts done
- MOD approved
- Work done.</t>
  </si>
  <si>
    <t>secured nuts</t>
  </si>
  <si>
    <t>Sandro Labalan/ Aaron Mino</t>
  </si>
  <si>
    <t>Jericha Karita</t>
  </si>
  <si>
    <t>FSBP00117575</t>
  </si>
  <si>
    <t>SB265</t>
  </si>
  <si>
    <t>LACSON ST. CORNER 18TH ST. - BACOLOD CITY</t>
  </si>
  <si>
    <t>41NY880</t>
  </si>
  <si>
    <t>POS B - Error" Unresponsive" re occurring issue</t>
  </si>
  <si>
    <t xml:space="preserve">7/8 - Coordinated with MOD
- As per MOD the issue occurred during card transaction.
- Checked the connectivity of POS B; 1Gbps
- Pingtest and there was no problem. 
- Standalone both ISP and has connection. 
- Checked also the Maya terminal; has connection and also connected to the WiFi of the Store. 
- Observed 30 mins for the card transaction of POS B Maya. No problem occured.
</t>
  </si>
  <si>
    <t>ping test, stand alone</t>
  </si>
  <si>
    <t>Ralph Christian Montoyo</t>
  </si>
  <si>
    <t>Lea Ardeno</t>
  </si>
  <si>
    <t>FSBP00117742</t>
  </si>
  <si>
    <t>SB231</t>
  </si>
  <si>
    <t>ONE WORLD SQUARE - MCKINLEY HILL</t>
  </si>
  <si>
    <t>Bluescreen</t>
  </si>
  <si>
    <t>POS A has a blue screen error</t>
  </si>
  <si>
    <t>7/9 - Coordinate with MOD
- POS A is working and fully operational
- Found hard drive has a damage
- Secure cables power sata and 4pin
- Pending for reimage tomorrow
- Work done</t>
  </si>
  <si>
    <t>pending for reimage tomorrow July 10 c/o Sandro</t>
  </si>
  <si>
    <t>Aaron Mino</t>
  </si>
  <si>
    <t>Kevin Pante</t>
  </si>
  <si>
    <t>FSBP00117670</t>
  </si>
  <si>
    <t>SB653</t>
  </si>
  <si>
    <t>PETRON TPLEX NB</t>
  </si>
  <si>
    <t>Reimage</t>
  </si>
  <si>
    <t>KDS</t>
  </si>
  <si>
    <t>XT-3815G2</t>
  </si>
  <si>
    <t>XT070833</t>
  </si>
  <si>
    <t>KDS for image (related ticket: FSBP00114381)</t>
  </si>
  <si>
    <t>7/9 - Coordinated with MOD - Conduct also IP Address, Computer Name, Host File, Auto login, and Domain. - After installation RCOC remote for Domain and test MOD. - After testing KDS now is properly working. Ticket Close.
Final Resolution : 
-Reimage KDS PC
-IP Address 
-Computer Name 
-Host File
-Auto Login 
-Domain KDS
-Remote by RCOC</t>
  </si>
  <si>
    <t>image KDS</t>
  </si>
  <si>
    <t>Benjie Hermosa, Rico Garcia, Aaron Barroga</t>
  </si>
  <si>
    <t>Ysabel Briones</t>
  </si>
  <si>
    <t>FSBP00117778</t>
  </si>
  <si>
    <t>No Access</t>
  </si>
  <si>
    <t>DT Timer</t>
  </si>
  <si>
    <t>DT Zoom Timer - request an access</t>
  </si>
  <si>
    <t>7/13 - Coordinate with MOD
- As per checking, Zoom Nitro in MWS is not accessible and the IP of DT Timer is not pingable.
- Trace LAN cable of DT Timer; resocket LAN cable
- Zoom Nitro is now accessible and the IP is pingable
- MOD witness that Zoom Nitro is already accessible</t>
  </si>
  <si>
    <t>Resocket LAN cable</t>
  </si>
  <si>
    <t>Jericho Rada</t>
  </si>
  <si>
    <t>Richard Diamante</t>
  </si>
  <si>
    <t>FSBP00118033</t>
  </si>
  <si>
    <t>SB505</t>
  </si>
  <si>
    <t>VERMOSA DTE</t>
  </si>
  <si>
    <t>Won't boot</t>
  </si>
  <si>
    <t xml:space="preserve"> POSIFLEX</t>
  </si>
  <si>
    <t>KSHC0046</t>
  </si>
  <si>
    <t>POS B - the screen stuck in "POSIFLEX" and won't boot up</t>
  </si>
  <si>
    <t>7/13 Upon arrival coordinate to MOD for POS B checking
- Check POS B physically
- Clean up disk thru hirens
- Proceed recovery
- Failure to recovery in 30%
- Check hard disk in HDD sentinel found 0% health status
- For request replace Hard disk
- Store is currently in high volume customer, need to replace immediately
- Replace HDD; result ok
- Config ip, computer name, host file and labelers
- Coordinate to MOD for Testing; ok</t>
  </si>
  <si>
    <t xml:space="preserve"> replace hard disk</t>
  </si>
  <si>
    <t>HDD</t>
  </si>
  <si>
    <t>WXH1A579JXAU</t>
  </si>
  <si>
    <t xml:space="preserve"> WXN1A4744YLH</t>
  </si>
  <si>
    <t xml:space="preserve">Millard Monzon &amp; Rico Garcia
</t>
  </si>
  <si>
    <t xml:space="preserve"> Lloyd Dris</t>
  </si>
  <si>
    <t>FSBP00118096</t>
  </si>
  <si>
    <t>SB499</t>
  </si>
  <si>
    <t>ONE PENN PLACE</t>
  </si>
  <si>
    <t>BOS Desktop</t>
  </si>
  <si>
    <t>HP</t>
  </si>
  <si>
    <t xml:space="preserve"> ELITE DESK 800 G4</t>
  </si>
  <si>
    <t>4CE8361J14</t>
  </si>
  <si>
    <t>May we seek for your assistance for Joint visit with Facilities for replacement of UPS.
As BOS is attached in the UPS and might not work after the change of unit. Thank you</t>
  </si>
  <si>
    <t xml:space="preserve">7/14 - Coordinated with MOD, asked permission to isolate.
- UPS was replaced July 13 at 11 PM.
- Per checking all the devices MWS, MERAKI, POS, were connected in UPS outlet except BOS.
- Measured voltage output of UPS, voltage result is normal.
- Plug in the BOS in UPS outlet.
- Coordinated with PASI team for monitoring of BOS.
- Observed 1 hour for possible error, no error encountered.
- POS components (Line display, drawer, printer, scanner)  tested before operation .
- Both POS are now operational.
</t>
  </si>
  <si>
    <t>Plug in BOS in UPS outlet</t>
  </si>
  <si>
    <t>Romano Fabian</t>
  </si>
  <si>
    <t>FSBP00117862</t>
  </si>
  <si>
    <t>SB506</t>
  </si>
  <si>
    <t>SOLARIS ONE BUILDING</t>
  </si>
  <si>
    <t>Corrupted Apps</t>
  </si>
  <si>
    <t>MWS Desktop</t>
  </si>
  <si>
    <t xml:space="preserve"> ELITE DESK 800 G4 SFD</t>
  </si>
  <si>
    <t>4CE8361J0G</t>
  </si>
  <si>
    <t>MWS - Request for App Re-installation of the following applications due to corrupted files Zoom, Microsoft Word, PowerPoint, and other Office tools</t>
  </si>
  <si>
    <t>7/14 - Coordinated with MOD, asked permission to isolate.
- Installed the MS word, Power point, Zoom, and MS office.
- Witnessed by MOD, the requested apps are now installed.</t>
  </si>
  <si>
    <t>MS office app installed successfully.</t>
  </si>
  <si>
    <t>Joan Gomez</t>
  </si>
  <si>
    <t>FSBP00117966</t>
  </si>
  <si>
    <t>SB582</t>
  </si>
  <si>
    <t>ONE AYALA</t>
  </si>
  <si>
    <t>Screen Unresponsive</t>
  </si>
  <si>
    <t>Tablet</t>
  </si>
  <si>
    <t>M10</t>
  </si>
  <si>
    <t>HA1PY1B2</t>
  </si>
  <si>
    <t>Lenovo M10 Store Tablet - Touch Screen not responding since Jul-11 2025</t>
  </si>
  <si>
    <t>7/14 - Coordinated with MOD, asked permission to isolate.
- Checked the reported unit, confirmed tablet screen was not responding.
- Tablet has no physical damage, performed rebooting of tablet.
- After rebooting tablet screen is now responsive.
- Tested multiple times by powering off and on, tablet screen is responsive.
- Advised MOD incase of recurring just hold the power button for 10 secs and wait for tablet to power on.
- Tested the MS authenticator if partners email can be logged in MWS.
- Partners email is now accessible in MWS.
- Store tablet screen is now responsive and working.</t>
  </si>
  <si>
    <t>reboot tablet</t>
  </si>
  <si>
    <t>Rey Papa</t>
  </si>
  <si>
    <t>FSBP00118103</t>
  </si>
  <si>
    <t>SB554</t>
  </si>
  <si>
    <t>ACROPOLIS GREENS</t>
  </si>
  <si>
    <t>POS A, B , C</t>
  </si>
  <si>
    <t>4CE0281701</t>
  </si>
  <si>
    <t>POS A, B and C - No service tier error</t>
  </si>
  <si>
    <t>7/15 Upon arrival all pos not working
- Wait for delivery of new HDD for BOS temp files
- RCOC asked to plug flash drive in BOS while they are backing up files
- Receive new HDD
- Remove old temp files hdd
- Install new temp files hdd
- Advised PASI and RCOC, im done replacing HDD.
- Wait for configuration of PASI
- Change computer name and domain of BOS as advised by PASI
- Test all POS during peak hours; OK
- Attempt to redomain BOS; waited for lean time
- Shutdown BOS and moved plug to UPS outlet
- Reboot BOS after change domain; success
- Observe all POS til closing time suggested by closer MOD; no problem encountered</t>
  </si>
  <si>
    <t>Replaced HDD</t>
  </si>
  <si>
    <t>ZA4B3XRN</t>
  </si>
  <si>
    <t xml:space="preserve"> 1018EN4KS </t>
  </si>
  <si>
    <t xml:space="preserve"> Jerome Ferber, Emman Tan</t>
  </si>
  <si>
    <t xml:space="preserve"> Clark Fragata</t>
  </si>
  <si>
    <t>FSBP00118118</t>
  </si>
  <si>
    <t>SB363</t>
  </si>
  <si>
    <t>METRO PLAZA COMMERCIAL COMPLEX D C</t>
  </si>
  <si>
    <t>Auto Shutdown</t>
  </si>
  <si>
    <t>41PP500</t>
  </si>
  <si>
    <t>POS A - auto shut down</t>
  </si>
  <si>
    <t xml:space="preserve">7/14 - Coordinate reported issue with store MOD
- Upon checking POS A (shutdown)
- Check PSU power voltage is ok
- Clean PSU as it is full of dirt, air is unable to come out
- Re socket PSU and conduct testing, monitor for 30 mins as witness by MOD
- Conduct print testing, ok.
- POS A is now working properly
</t>
  </si>
  <si>
    <t>FE onsite Jaime</t>
  </si>
  <si>
    <t>Jaime Adona Jr.</t>
  </si>
  <si>
    <t>Nina Dacanay</t>
  </si>
  <si>
    <t>FSBP00117572</t>
  </si>
  <si>
    <t>Orderpoint PC</t>
  </si>
  <si>
    <t>DELL</t>
  </si>
  <si>
    <t>Optiplex 7010</t>
  </si>
  <si>
    <t>7HB1M24</t>
  </si>
  <si>
    <t>JV for DT Order point - reprogramming</t>
  </si>
  <si>
    <t>7/15 MOD provided report from ITI prior activity (PM) regarding hardware checking of order point.
-Stated in report: Joint visit with RCOC.
-According to the MOD, the prior activity only involved checking of order point panel; Content PC is not included.
-According to PASI, there are no prior order point reprogramming report on their end. Furthermore, the agreed schedule is the same on both PASI and our end.
-Waited for ITI personnel to arrive.
-Checked the content PC. Machine is up and connectivity is ok.
-Waited for ITI personnel until 02:30
-ITI personnel did not show up for this joint visit activity.</t>
  </si>
  <si>
    <t>Unsuccesful JV - ITI no show</t>
  </si>
  <si>
    <t>Aaron Barroga</t>
  </si>
  <si>
    <t>Emerald Canceran</t>
  </si>
  <si>
    <t>FSBP00118151</t>
  </si>
  <si>
    <t>POS A and B</t>
  </si>
  <si>
    <t xml:space="preserve"> 41- PP484/41 - PP408</t>
  </si>
  <si>
    <t>BOTH POS - Auto shutdown</t>
  </si>
  <si>
    <t>7/15 Upon arrival both POS is online.
-Per VEI he switch POS power cable to working outlet.
-2 power outlet per POS is working
-Ping POS A POS B and BOS for 30 mins no RTO
-Electrician Advised that there’s no UPS
-He also added that they will fix POS area outlet for reschedule due to many customer
-Sir Floyd acknowledged
-Work done.</t>
  </si>
  <si>
    <t>No trouble found</t>
  </si>
  <si>
    <t>Girlie Katikbak</t>
  </si>
  <si>
    <t>FSBP00118163</t>
  </si>
  <si>
    <t>Auto Log in</t>
  </si>
  <si>
    <t>not displayed</t>
  </si>
  <si>
    <t>POS A and POS B - required windows login password after restart</t>
  </si>
  <si>
    <t>7/15  Check RegEdit; default password existing but incorrect
- Edit password; OK
- Tested by MOD multiple times; OK</t>
  </si>
  <si>
    <t>Edit password</t>
  </si>
  <si>
    <t>Art Elorde</t>
  </si>
  <si>
    <t>FSBP00118140</t>
  </si>
  <si>
    <t>SIERRA VALLEY (DTE)</t>
  </si>
  <si>
    <t>Won't Print</t>
  </si>
  <si>
    <t>EPSON</t>
  </si>
  <si>
    <t xml:space="preserve"> TML90</t>
  </si>
  <si>
    <t>TPJF025247</t>
  </si>
  <si>
    <t>CBS LABELER WON'T PRINT, FOR REPLACEMENT EPSON LABELER (CID)</t>
  </si>
  <si>
    <t>7/15 - Coordinate with MOD
- As per checking of CBS Printer; it has no power
- Found unplug Power cable (Printer side)
- Plug power cable
- Observe for one hour
- Test by Partners ; Approved by MOD</t>
  </si>
  <si>
    <t>Plug power cable</t>
  </si>
  <si>
    <t>Maki Alvarez</t>
  </si>
  <si>
    <t>FSBP00118218</t>
  </si>
  <si>
    <t>Network Down</t>
  </si>
  <si>
    <t>LTE WAN 1 &amp; 2</t>
  </si>
  <si>
    <t>PLDT/SMART</t>
  </si>
  <si>
    <t>90610C99BE53/mounted</t>
  </si>
  <si>
    <t>7/15 Upon arrival checked of PLDT is up but smart is down
-Power is out from 9pm-8am due to power trip of breaker
-Standalone test up and stable
-Plugged wan 2 in other outlet is now up
-Standalone test up and stable
-Acknowledged by Sir Floyd
-Work done.</t>
  </si>
  <si>
    <t>plugged to other outlet</t>
  </si>
  <si>
    <t>FSBP00118150</t>
  </si>
  <si>
    <t>SB338</t>
  </si>
  <si>
    <t>TOWER ONE ROCKWELL BUSINESS CENTER</t>
  </si>
  <si>
    <t>No Display</t>
  </si>
  <si>
    <t>(4852-E70)</t>
  </si>
  <si>
    <t>41-NW077</t>
  </si>
  <si>
    <t>POS A customer display - no power</t>
  </si>
  <si>
    <t>7/15 -​U​pon arrival​, coordinate with MOD
-pos-a customer display has power and ​is working
-​S​ecure cables
-work done</t>
  </si>
  <si>
    <t>Secured cables</t>
  </si>
  <si>
    <t>FSBP00118271</t>
  </si>
  <si>
    <t>SB130</t>
  </si>
  <si>
    <t>SHANGRI-LA PLAZA - LEVEL 1</t>
  </si>
  <si>
    <t>POS A | POS B</t>
  </si>
  <si>
    <t xml:space="preserve"> RTO51897 | RTO51915</t>
  </si>
  <si>
    <t>Rectifications - IT Assistance</t>
  </si>
  <si>
    <t xml:space="preserve">7/19 - - Arrived at 11:15 PM, waited for store operations to close.
- Waited for partners to finish cleaning the bar area.
- POS area was available at 2:00 AM, The electrical team proceeded replacing the gang outlets. assisted unplugging of tech devices around the POS.
- After installation of new gang outlets, tested the normal and UPS power supply, both results were normal.
- Plugged in the devices, tested the components of both POS, and ran the applications.
</t>
  </si>
  <si>
    <t>The gang outlet replacement was successful, and both the POS normal and UPS voltage results were normal. POS components and the Nav app are working too.</t>
  </si>
  <si>
    <t>GUARD DUTYJAYSON TAGUDIN</t>
  </si>
  <si>
    <t>FSBP00117924</t>
  </si>
  <si>
    <t>SB517</t>
  </si>
  <si>
    <t>LIPA TOWN CENTER</t>
  </si>
  <si>
    <t>KSIB0016/ KSIB0032</t>
  </si>
  <si>
    <t>Request for cable grooming of POS and other terminal at register area</t>
  </si>
  <si>
    <t>7/17-7/18 Coordinated w/ mod to check and
- Capture images of current cabling
- Clean POS A and POS B drawer cabinets
- Arranged cables in both POS accordingly and place cable organizer.
- Separate cables of paymaya devices as requested.
- Test both POS - working no issue after cable grooming.
- Work done</t>
  </si>
  <si>
    <t>Sev4</t>
  </si>
  <si>
    <t>Arranged Cables on both POS, Clean drawer cabinet and test.</t>
  </si>
  <si>
    <t>Isko Mazaredo</t>
  </si>
  <si>
    <t>Jose T. Mayo IV</t>
  </si>
  <si>
    <t xml:space="preserve">FSBP00118138 </t>
  </si>
  <si>
    <t>No display</t>
  </si>
  <si>
    <t xml:space="preserve">KDS monitor </t>
  </si>
  <si>
    <t>KS 7200</t>
  </si>
  <si>
    <t>B0AU1A1611</t>
  </si>
  <si>
    <t>no signal and isn't syncing with orders from the order point</t>
  </si>
  <si>
    <t>7/15 - Coordinate with MOD
- As per checking of KDS it has no display; but it has power
- Found no display because it is turned off
- Power on KDS Monitor; KDS now has display and the IP is pingable
- Config by PASI; also confirmed that KDS is accessible via VNC
- Test by partners; Approved by MOD</t>
  </si>
  <si>
    <t>power on KDS</t>
  </si>
  <si>
    <t>Jeneva Magpusao</t>
  </si>
  <si>
    <t xml:space="preserve">FSBP00117907 </t>
  </si>
  <si>
    <t>SB448</t>
  </si>
  <si>
    <t>D' VERDE COMMERCIAL CENTER</t>
  </si>
  <si>
    <t>Autoshutdown</t>
  </si>
  <si>
    <t>4852-E70 | 4852-E70</t>
  </si>
  <si>
    <t>41-PV979| 41-PV969</t>
  </si>
  <si>
    <t>Auto shut down and black out while in use</t>
  </si>
  <si>
    <t>7/15 - - Coordinate with MOD for POS A checking
- Check POS A physically; good
- Check UPS Voltage; result 239V
- Download Event Viewer
- Check HDD through Sentinel and CMD; good 100% health and no bad sectors found
- Edit power plan, set the turn off display to never
- Shutdown POS A for RAM cleaning and Outlet voltage checking
- Test POS for transaction; Good
- Also check POS B HDD and Power plan settings
- Observe for 30 mins
- Test by MOD; ok</t>
  </si>
  <si>
    <t>Check voltage, RAM cleaning, and edit power plan settings</t>
  </si>
  <si>
    <t>Nicole Salespara</t>
  </si>
  <si>
    <t>FSBP00118224</t>
  </si>
  <si>
    <t>SB556</t>
  </si>
  <si>
    <t>340 EDSA CALOOCAN</t>
  </si>
  <si>
    <t>Broken cog wheel</t>
  </si>
  <si>
    <t>DT Printer</t>
  </si>
  <si>
    <t>TML90</t>
  </si>
  <si>
    <t>TPJF032218</t>
  </si>
  <si>
    <t>REPLACEMENT ROLLER OR WHOLE UNIT EPSON PRINTER</t>
  </si>
  <si>
    <t>7/16 -  Checked reported labeler, confirmed cog wheel is detached.
- Checked and recorded the IP of the defective labeler.
- Configure the IP of replacement labeler thru direct LAN connection.
- During configuration, replacement labeler keeps disconnecting but manages to finish configuring.
- Installed the replacement labeler.
- Waited for a while as POS is in use due to the large volume of customers.
- Upon testing, labeler status is "Not Available"
- Reconfigured the driver and conducted test print, replacement labeler is printing.
-Observe transactions for a while.
- After printing many transactions successfully, replacement labeler suddenly can’t print due to roller defective.
- Tried to clean and re-position the sticker paper, still unable to print.
- Waited for the arrival of a new labeler.
- Installed the new labeler, faced with no power problem.
- Checked outlet, and tested other labeler power adapter and cable; OK.
- Waited for the arrival of a replacement power cable and adapter.
- Upon installation of a replacement power cable and adapter, the new labeler has power.
- Tested labeler multiple times and observed.
- New labeler status is ok.</t>
  </si>
  <si>
    <t>Replaced labeler, power cord, and adapter</t>
  </si>
  <si>
    <t>Epson Printer</t>
  </si>
  <si>
    <t>TPJF023517</t>
  </si>
  <si>
    <t>Sandro Labalan, Emman Tan</t>
  </si>
  <si>
    <t>Carl Ocampo, Noel Oliva</t>
  </si>
  <si>
    <t>FSBP00118287</t>
  </si>
  <si>
    <t xml:space="preserve"> POS A - Blue screen STOP:0x000000ED</t>
  </si>
  <si>
    <t>7/16
 - Upon arrival, coordinate with MOD
- POS A is not working due to blue screen
- Secure cables
- Waited for parts
- Install a fresh image HDD
- Install Paymaya drivers
- Requested PASI support and RCOC for the config
- Observe for a while in case of problem occurs
- Work done</t>
  </si>
  <si>
    <t>installed drivers, secure cables</t>
  </si>
  <si>
    <t>SEAGATE</t>
  </si>
  <si>
    <t>ZA41DCEJ</t>
  </si>
  <si>
    <t>FSBP00118197</t>
  </si>
  <si>
    <t>SB241</t>
  </si>
  <si>
    <t>FASTBYTE NORTHGATE CYBER ZONE</t>
  </si>
  <si>
    <t>TANGENT</t>
  </si>
  <si>
    <t>A920</t>
  </si>
  <si>
    <t>POS A Card Terminal - Error "Unable to open port"/Not connected to POS SN:0822608568</t>
  </si>
  <si>
    <t>7/17 upon arrival , waiting for Tangent.
-upon arrival by tangent, they isolate pos A maya terminal and its no connection at all since reported the problem.
-as per tangent, they already replaced backup terminal, usb cable and power adaptor.
-isolate pos A usb tailgate by cleaning using eraser same problem.
-coordinated the problem to sir rico and advised to replace tailgate and power supply.
-waiting for delivery of parts then received.
-replaced tailgate and power supply.
-remote by pasi.
-reinstalled ecr app by tangent.
-tested maya transactions multiple times okay.
-observed for 30mins w/ tangent.
-upon observation, pos A maya intermittent connection. Tried to isolate again by switching pos A and pos B cradle.
-tangent late confirmed to mod that the replacement cradle was already used and possible have previous issue already.
-Tnagents Findings is to replace Brand New cradle.
-work done.</t>
  </si>
  <si>
    <t>Replaced tailgate and powersupply</t>
  </si>
  <si>
    <t>Tailgate/powersupply</t>
  </si>
  <si>
    <t>11S7430011K13JP6S11L/11S7429999YK11RL79J146</t>
  </si>
  <si>
    <t>11S7429999YK11RL61B075/11S7430011YK12JP5CN1ZR</t>
  </si>
  <si>
    <t xml:space="preserve"> Fred Diloy</t>
  </si>
  <si>
    <t>FSBP00118298</t>
  </si>
  <si>
    <t>SB348</t>
  </si>
  <si>
    <t>DONA SOLEDAD BETTER LIVING PARANQUE</t>
  </si>
  <si>
    <t xml:space="preserve">POS B Printer </t>
  </si>
  <si>
    <t>41-MK386</t>
  </si>
  <si>
    <t>POS B Printer - No Power</t>
  </si>
  <si>
    <t>7/16-upon arrival , Pos B printer has no power.
-isolate problem by connecting posA printer power chord to pos B printer and its working.
-tried to check pos B printer cables.
-pos B printer power adaptor loose cable.
-secured power adaptor then pos B printer has now power.
-tested  print pos B printer okay.
-work done</t>
  </si>
  <si>
    <t>secure Power Adaptor of POS B printer</t>
  </si>
  <si>
    <t>Marz Bello</t>
  </si>
  <si>
    <t>FSBP00118293</t>
  </si>
  <si>
    <t>SB273</t>
  </si>
  <si>
    <t>PACIFIC SUITES - DAPITAN</t>
  </si>
  <si>
    <t>Slow Printing</t>
  </si>
  <si>
    <t>POS A | POS B Printer</t>
  </si>
  <si>
    <t xml:space="preserve"> RT-6016</t>
  </si>
  <si>
    <t>RTO51730/RTO51822</t>
  </si>
  <si>
    <t>POS A and B- Slow performance and printing of the receipt. It takes 2-3 minutes to print</t>
  </si>
  <si>
    <t>7/16 Check BOS
- Ping both POS, both ok
- Check Ethernet status, 1Gbps
- Check POS A &amp; B
- Ping BOS and google dns, both ok
- Check Ethernet status, 1Gbps
- Ping observe for 30 minutes, no encountered RTO</t>
  </si>
  <si>
    <t>Ping observation for 30 mins</t>
  </si>
  <si>
    <t>Brent Facturan, Aaron Barroga, Karl Almonte</t>
  </si>
  <si>
    <t xml:space="preserve"> Mark Calaunan</t>
  </si>
  <si>
    <t>FSBP00118236</t>
  </si>
  <si>
    <t>SB637</t>
  </si>
  <si>
    <t>DAANG MAHARLIKA TAGUM</t>
  </si>
  <si>
    <t>LENOVO P360</t>
  </si>
  <si>
    <t>GM041J7Q</t>
  </si>
  <si>
    <t>POS B customer display - transaction and amount are not reflecting</t>
  </si>
  <si>
    <t>7/16  Upon arrival, coordinate  MOD regarding issue
 - wait for the call from the MOD before we proceed
-  upon checking POS B  no customer line display
-  replug and secure  cables
- run Opos manager and update device line display
- Test and observe for 30 minutes ( no issue)
- POS B line display is now operational
- work done</t>
  </si>
  <si>
    <t>update device line display</t>
  </si>
  <si>
    <t>Rex Mongcal</t>
  </si>
  <si>
    <t>Liz Campo</t>
  </si>
  <si>
    <t xml:space="preserve"> FSBP00118394 </t>
  </si>
  <si>
    <t>TOSHIBA/POSIFLEX</t>
  </si>
  <si>
    <t>(4852-E70) | pp-7600x</t>
  </si>
  <si>
    <t>PP040952 | 41-LH532</t>
  </si>
  <si>
    <t>POS-B NOT DISPENSING PAPER</t>
  </si>
  <si>
    <t>7/16 - upon arrival found printer has a tape and need to hold before  to print
-found printer hook weak
-i use rubber band for temporary use
-for reco to heritage under warranty
-work done</t>
  </si>
  <si>
    <t xml:space="preserve"> use rubber bond to make it use</t>
  </si>
  <si>
    <t>FSBP00118109</t>
  </si>
  <si>
    <t>SB479</t>
  </si>
  <si>
    <t>MACARTHUR HIGHWAY, MALOLOS (DTE)</t>
  </si>
  <si>
    <t>POC C</t>
  </si>
  <si>
    <t>S2240TB</t>
  </si>
  <si>
    <t>CN-0J7RK4-74261-65G-10HU-A07</t>
  </si>
  <si>
    <t>POS C - no display unresponsive HDMI cord</t>
  </si>
  <si>
    <t>7/upon arrival waiting for ITI
-coordinate to ITI
-Upon checking only monitor need to replace
-Replace of monitor
-coordinate to pasi about error
-observe 30minutes
-work done</t>
  </si>
  <si>
    <t>Replace monitor of pos c</t>
  </si>
  <si>
    <t>Monitor</t>
  </si>
  <si>
    <t>CN-0488CG-WS200-98E-162L-A11</t>
  </si>
  <si>
    <t>ITI</t>
  </si>
  <si>
    <t>Alexis Roxas</t>
  </si>
  <si>
    <t>FSBP00118363</t>
  </si>
  <si>
    <t>POS A- Shows an error "Volume label is windows. One of your disk needs to be checked for consistency"</t>
  </si>
  <si>
    <t>7/17 Coordinated with MOD, asked permission to isolate.
- Checked the reported unit, confirmed POS-A stuck on black screen.
- Check power supply, voltage results were normal.
- Check the SATA cable and power for any damage, no damage found.
- Cleaned the RAM and RAM slot.
- After isolation POS-A displayed black screen.
- Replaced SATA cable, POS-A boot up properly.
- Checked HDD sentinel, 100% no bad sectors.
- POS-A is now working.</t>
  </si>
  <si>
    <t>Cleaned RAM, voltage supply normal, HDD good health</t>
  </si>
  <si>
    <t>SATA CABLE</t>
  </si>
  <si>
    <t>generic</t>
  </si>
  <si>
    <t>Karl Almonte</t>
  </si>
  <si>
    <t xml:space="preserve"> joanna cinco</t>
  </si>
  <si>
    <t xml:space="preserve">FSBP00117858 </t>
  </si>
  <si>
    <t>SB682</t>
  </si>
  <si>
    <t>GOLDEN EMPIRE</t>
  </si>
  <si>
    <t>Network Assistance</t>
  </si>
  <si>
    <t>Play Network</t>
  </si>
  <si>
    <t>CURIO</t>
  </si>
  <si>
    <t>B83504FF50825</t>
  </si>
  <si>
    <t xml:space="preserve"> Curio Player - Error when accessing site "Make sure that the MAC Address is correct</t>
  </si>
  <si>
    <t>7/17 Upon arrival check curio device lan cable is connected
-Ping curio IP 192.168.17.100 is stable
-Check connectivity of curio is up.
-Sign in playnetwork working.
-Tried another song connected.
-Advised Sir Bryan and he acknowledged.
-Work Done.</t>
  </si>
  <si>
    <t>Sign in playnetwork</t>
  </si>
  <si>
    <t>Dominic Mariano</t>
  </si>
  <si>
    <t>FSBP00118330</t>
  </si>
  <si>
    <t>SB494</t>
  </si>
  <si>
    <t>NLEX DRIVE AND DINE</t>
  </si>
  <si>
    <t>DT Zoom Timer</t>
  </si>
  <si>
    <t>HME ZOOM TIMER</t>
  </si>
  <si>
    <t>mounted</t>
  </si>
  <si>
    <t xml:space="preserve"> Drive HME Zoom Timer - Monitored Disconnected</t>
  </si>
  <si>
    <t>7/17 Upon arrival, coordiinate to MOD regarding the issue for the zoom timer disconnected. Conduct trouble shooting, found out. The port 10 to Cisco Switch is no led light. Conduct also Recrimp end to end. And after Recrimp, MOD test the zoom timer and after testing successful working. Ticket Close.</t>
  </si>
  <si>
    <t>Recrimp Patch Cable End to End</t>
  </si>
  <si>
    <t>Benjie Hermosa</t>
  </si>
  <si>
    <t>Joko Manlapat</t>
  </si>
  <si>
    <t>FSBP00118388</t>
  </si>
  <si>
    <t>SB441</t>
  </si>
  <si>
    <t>SM CDO DOWNTOWN PREMIER</t>
  </si>
  <si>
    <t>MT-M10FG-S1R501</t>
  </si>
  <si>
    <t>PCOJRPSC</t>
  </si>
  <si>
    <t>BOS Monitored Down</t>
  </si>
  <si>
    <t>7/17 Check BOS network, confirmed BOS no connection.
-Checked Meraki MX port #3, no light.
-Check end to end connection, no readings in tester.
‎-Deployed LAN cable for temporary connection.
-Tested all POS and transactions, results are ok, all machines are up and running.
-Traced the other available LAN cable on BOS side, it is the one on port 3.
-Re-crimped connection and performed ping test, results are ok.
-Tested and observed transactions.
-BOS connection status is ok.</t>
  </si>
  <si>
    <t>Traced and re-crimped LAN cable</t>
  </si>
  <si>
    <t>Mark Adam P. Galamiton</t>
  </si>
  <si>
    <t>Angelica Guibone</t>
  </si>
  <si>
    <t>FSBP00118380</t>
  </si>
  <si>
    <t>SB314</t>
  </si>
  <si>
    <t>GREEN COURT - F. REYES ST.</t>
  </si>
  <si>
    <t xml:space="preserve"> 1935HQKF80042</t>
  </si>
  <si>
    <t>Curio Player- Unable to connect it shows "Unable to connect to player please ensure that the device is connected and the mac address is correct</t>
  </si>
  <si>
    <t>7/17 Upon arrival check curio device has no power
-Checked power cable properly plugged
-tried to replug still no power
-Tested outlet it’s working
-Tried to plug in curio on other outlet still no power
-It’s either Power cable or curio device is defective
-Reco for facilities</t>
  </si>
  <si>
    <t>Reco to facilities for replacement</t>
  </si>
  <si>
    <t>Martin Evangelista</t>
  </si>
  <si>
    <t>FSBP00118430</t>
  </si>
  <si>
    <t>THE LANDMARK TRINOMA</t>
  </si>
  <si>
    <t>Degraded HDD</t>
  </si>
  <si>
    <t>M900</t>
  </si>
  <si>
    <t>PC0D6Z2T</t>
  </si>
  <si>
    <t>BOS - HDD at 85% health</t>
  </si>
  <si>
    <t>7/24 Upon arrival, waited for store closing
- MOD reported DynamicsNAV is not working and partners won't be able to post sales therefore, replacement of BOS HDD activity cannot yet start
- Inquire DynamicsNAV issue to PASI; PASI advised to change domain
- Config BOS; change domain to workgroup
- DynamicsNAV now working; partners are able to post sales
- Waited for partners to finish posting sales on DynamicsNAV
- Start activity; slave new HDD and let PASI create backup
- Install new HDD to primary and slave old HDD; PASI noticed OS is for MWS and not for Server
- Waited for further instructions from team lead
- Install old HDD and ask PASI for assistance in restoring all old configurations</t>
  </si>
  <si>
    <t>scheduled for BOS HDD replacement August 3, 2025. 10PM</t>
  </si>
  <si>
    <t>Reigh Cabus</t>
  </si>
  <si>
    <t>FSBP00117573</t>
  </si>
  <si>
    <t>SB158</t>
  </si>
  <si>
    <t xml:space="preserve"> TOMAS MORATO 2</t>
  </si>
  <si>
    <t>Wont Print</t>
  </si>
  <si>
    <t>POS A Printer</t>
  </si>
  <si>
    <t xml:space="preserve"> PP-7600X-TB</t>
  </si>
  <si>
    <t>PPM91979</t>
  </si>
  <si>
    <t>POS A printer - not printing paper cut</t>
  </si>
  <si>
    <t>7/18 Waited for arrival of replacement part
- Replace cutter assy of posiflex printer
- Test several times; OK</t>
  </si>
  <si>
    <t>Replace cutter assy of posiflex printer</t>
  </si>
  <si>
    <t>Cutter Assembly</t>
  </si>
  <si>
    <t>PPOC0844</t>
  </si>
  <si>
    <t>Sarah Beth</t>
  </si>
  <si>
    <t>FSBP00118273</t>
  </si>
  <si>
    <t>SB442</t>
  </si>
  <si>
    <t>NICANOR REYES AVENUE</t>
  </si>
  <si>
    <t>8350HQHF91005</t>
  </si>
  <si>
    <t>Curio Player - connection failed</t>
  </si>
  <si>
    <t>7/18  Upon arrival check curio has power but no connection
-Ping Curio no connection
-Recrimp end to end still no connection
-Tried personal Lan Cable still no connection
-Reset still no connection
-Hard reset still no connection
-Advised Sir Floyd to configure curio possible it update
-Sir Floyd configure successful
-Ping curio is stable
-Stop time due to bank personnel
-Unable to access in dashboard
-Hard reset now can access
-Test curio is now working
-Work done</t>
  </si>
  <si>
    <t>configure curio by TS</t>
  </si>
  <si>
    <t>Alex Dela Cruz</t>
  </si>
  <si>
    <t xml:space="preserve">FSBP00118436 </t>
  </si>
  <si>
    <t>DT Menu</t>
  </si>
  <si>
    <t>SAMSUNG</t>
  </si>
  <si>
    <t>OM46N</t>
  </si>
  <si>
    <t>088XHNTN200019F</t>
  </si>
  <si>
    <t>DT Menu Panel B Monitored Disconnected/RTO</t>
  </si>
  <si>
    <t>7/18 - - Upon arrival, coordinate with MOD for DT Menu Panel B checking
- Test ping panel B; unreachable
- Check LAN cable from the switch to the panel using a LAN tester
- Recrimp panel B Lan cable
- Test ping from mws to panel b; reachable
- Coordinate with RCOC</t>
  </si>
  <si>
    <t>recrimp menu panel B LAN cable</t>
  </si>
  <si>
    <t>FSBP00117245</t>
  </si>
  <si>
    <t>SB374</t>
  </si>
  <si>
    <t>NAIA TERMINAL 1</t>
  </si>
  <si>
    <t>MWS</t>
  </si>
  <si>
    <t>Joint Visit — Intermittent Connection from MWS to NAIA Mapdrive (10.145.151.180) | July 31 9 AM</t>
  </si>
  <si>
    <t>7/25 upon arrival , Waiting for the Escort and Mall IT.
-Joint visit with Mall IT L1,
-upon checking, Mall sending network intermittent connection.
-as per mall it L1, their Network Team is needed for this JV but not available today.
-Mall IT requested for rescheduled on weekend with Network Team</t>
  </si>
  <si>
    <r>
      <rPr>
        <rFont val="Calibri"/>
        <b/>
        <color theme="1"/>
        <sz val="10.0"/>
      </rPr>
      <t>Rescheduled JV w/ NAIA |</t>
    </r>
    <r>
      <rPr>
        <rFont val="Calibri"/>
        <b val="0"/>
        <color theme="1"/>
        <sz val="10.0"/>
      </rPr>
      <t xml:space="preserve"> </t>
    </r>
    <r>
      <rPr>
        <rFont val="Calibri"/>
        <b/>
        <color theme="1"/>
        <sz val="10.0"/>
      </rPr>
      <t>31st July at 09:00am</t>
    </r>
  </si>
  <si>
    <t>Jenny Dela Cruz</t>
  </si>
  <si>
    <t>FSBP00118346</t>
  </si>
  <si>
    <t>SB455</t>
  </si>
  <si>
    <t>METROPOLITAN MEDICAL CENTER</t>
  </si>
  <si>
    <t>POS A printer</t>
  </si>
  <si>
    <t>PPL31283</t>
  </si>
  <si>
    <t>POS A Posiflex printer - unable to print receipt</t>
  </si>
  <si>
    <t>7/19 - Coordinate with MOD
- Check POS A Printer; powered on but not responding when attempting to print
- Test on OPOS; test ok but unable to print
- Replace defective and install new printer model
- Install correct drivers; OK
- Test several times; OK
- POS A now able to generate receipts
- Work done</t>
  </si>
  <si>
    <t>replaced printer</t>
  </si>
  <si>
    <t>Printer</t>
  </si>
  <si>
    <t>PP0C0352</t>
  </si>
  <si>
    <t>Karlo Delos Reyes</t>
  </si>
  <si>
    <t>FSBP00118513</t>
  </si>
  <si>
    <t>SB630</t>
  </si>
  <si>
    <t>LUCAO DAGUPAN</t>
  </si>
  <si>
    <t>DT Menu Panel C</t>
  </si>
  <si>
    <t>OM55N</t>
  </si>
  <si>
    <t>0KHJHNQX50058P</t>
  </si>
  <si>
    <t>Seeking your assistance to check the issue on  DT Menu Panel C - Monitored disconnected.</t>
  </si>
  <si>
    <t>7/19 - CHECK LAN CABLE END TO END, ONE TERMINAL IS DISCONNECTED 
- RE-CRIMP FROM END TO END AND TEST USING LAN TESTER, OK
- CONFIRMED BY SIR VINCE OF RCOC</t>
  </si>
  <si>
    <t>Re-Crimp</t>
  </si>
  <si>
    <t>Albert Aguilez</t>
  </si>
  <si>
    <t>FSBP00113392</t>
  </si>
  <si>
    <t>SB242</t>
  </si>
  <si>
    <t>SM CLARK EVENTS CENTER</t>
  </si>
  <si>
    <t>Wont Open</t>
  </si>
  <si>
    <t xml:space="preserve">POS A Drawer 1 </t>
  </si>
  <si>
    <t>EB-90621A5U6H-2</t>
  </si>
  <si>
    <t>POS A Drawer 1 | POS B Drawer 1&amp;2 won't open | Broken Y Cable | Waiting for Part</t>
  </si>
  <si>
    <t>7/19 - -Upon Arrival
-replace the new Posiflex Cash Drawer for POS A 1
-After replacing the cash drawer, the MOD testing and after testing successful working.</t>
  </si>
  <si>
    <t xml:space="preserve"> Replace cash drawer </t>
  </si>
  <si>
    <t>Cash Drawer</t>
  </si>
  <si>
    <t xml:space="preserve">Benjie Hermosa </t>
  </si>
  <si>
    <t>Allec M. Itaas</t>
  </si>
  <si>
    <t>FSBP00118506</t>
  </si>
  <si>
    <t>HP ELITE DESK</t>
  </si>
  <si>
    <t>BOS - 800 G4 SFF</t>
  </si>
  <si>
    <t>BOS - Sudden ON and OFF , directly plugged to wall socket</t>
  </si>
  <si>
    <t>7/19-20 - Coordinate with MOD
- Upon checking, BOS HDD is corrupted
- Installed new HDD with image
- Performed initial setup for new BOS HDD
- Old HDD is not detected and cannot be slaved
- Requested PASI for config
- Waited for store opening for test transaction
- Test both POS by partners &amp; MOD; Reprint and observed transactions
- Re-crimped both POS and reconfigured IP
- Performed ping test, BOS and POS stable
- Standby for 30 mins, no errors encountered.</t>
  </si>
  <si>
    <t>Replaced new HHD, re-crimped</t>
  </si>
  <si>
    <t>HHD</t>
  </si>
  <si>
    <t>ZA4AAFC6 | Z9AXFW4L</t>
  </si>
  <si>
    <t>Z9ALD4AV</t>
  </si>
  <si>
    <t xml:space="preserve">Jericho Rada, Sandro Labalan
</t>
  </si>
  <si>
    <t>Fabs Fabian</t>
  </si>
  <si>
    <t>FSBP00118147</t>
  </si>
  <si>
    <t>SB346</t>
  </si>
  <si>
    <t>BLUE BAY WALK</t>
  </si>
  <si>
    <t xml:space="preserve"> 41-MC588</t>
  </si>
  <si>
    <t>POS A - Power button stuck</t>
  </si>
  <si>
    <t>7/19 - Coordinate with MOD
- Checked POS A; operational but power button stuck.
- Open the POS monitor back cover then fix the power button.
- Tested powering on POS A via power button; good working
- Work done</t>
  </si>
  <si>
    <t>Fixed Power button</t>
  </si>
  <si>
    <t>Mics Maravilla</t>
  </si>
  <si>
    <t>FSBP00118299</t>
  </si>
  <si>
    <t>Curio Player</t>
  </si>
  <si>
    <t>CURIO PLAYER Z8</t>
  </si>
  <si>
    <t>2012HOFG00136</t>
  </si>
  <si>
    <t>Curio Player - request for the MAC address for access</t>
  </si>
  <si>
    <t>7/19 - COORDINATE WITH MOD AND CHECK REPORTED DEVICE 
- TRY TO ACCESS TO WEB BROWSER, FAILED
- RESET CURIO AND ACCESS TO WEB, OK BUT NO SOUND
- CHECK AMPLIFIER, NO POWER, CHECK POWER VOLTAGE, OK RE-SOCKET POWER CABLE, OK
- CURIO IS NOW PLAYING WITH SOUND, AS CONFIRMED BY MOD</t>
  </si>
  <si>
    <t>re-socket power cable</t>
  </si>
  <si>
    <t>Jam Saavedra</t>
  </si>
  <si>
    <t>FSBP00118509</t>
  </si>
  <si>
    <t>SB209</t>
  </si>
  <si>
    <t>MALL OF ASIA 2</t>
  </si>
  <si>
    <t>PC0D6Z0Y</t>
  </si>
  <si>
    <t>BOS - Sudden Turn on and off then no power</t>
  </si>
  <si>
    <t>7/19 - Coordinate with MOD
- Upon checking, UPS Has no backup battery.
- Tested power source for UPS has no voltage using Multi Tester.
- Connect Devices BOS, MERAKI, MWS, POSA &amp; B and Pos Printers to Direct outlet.
- Performed pings, Speedtest and tracert okay.
- Store is now operational.
- Work Done</t>
  </si>
  <si>
    <t>Temporary Direct outlet all devices. For reco to Facilities for checking of power source for UPS</t>
  </si>
  <si>
    <t>Iya Timbreza</t>
  </si>
  <si>
    <t>FSBP00118516</t>
  </si>
  <si>
    <t>SB309</t>
  </si>
  <si>
    <t>ST. CHARBEL MINDANAO AVE.</t>
  </si>
  <si>
    <t>PC0D6YXN</t>
  </si>
  <si>
    <t>BOS has no power</t>
  </si>
  <si>
    <t>7/19 - Upon arrival, turn on BOS
- Turn On Content PC
- All devices are now up
- Team Action Labs advised that they re-socket the main UPS before, and all devices were plugged into the UPS outlet
- Check the ping on all devices; good
- Check DT panels; good
- Test Pos C; partner advised MSR not working.
- PASI advised to install MSR driver on the POS C
- Install MSR driver in POS C; the MSR is now working
- Observe for possible errors; none. 
- Work done.</t>
  </si>
  <si>
    <t>turn on BOS, Check all POS, Install MSR driver in POS C</t>
  </si>
  <si>
    <t>Ruth Ferrer</t>
  </si>
  <si>
    <t>FSBP00118534</t>
  </si>
  <si>
    <t>SB260</t>
  </si>
  <si>
    <t>SM MARIKINA - LEVEL 1</t>
  </si>
  <si>
    <t>MT-M 10FG-S1R501</t>
  </si>
  <si>
    <t>PC0D6YWS</t>
  </si>
  <si>
    <t>BOS - no power due to power fluctuation</t>
  </si>
  <si>
    <t>7/19 - - Upon arrival, BOS, Meraki MX, WAN 1, POS A and B has no power
- Check outlets; all outlets labeled POS not working
- Check UPS; not working
- Transferred all power plug to normal outlet
- Test connection; OK
- Test all POS on live transaction; OK
- All devices are now working and store is fully operational
- Work done</t>
  </si>
  <si>
    <t>Transferred all power plug to normal outlet.</t>
  </si>
  <si>
    <t>Czarina Batulan</t>
  </si>
  <si>
    <t>FSBP00118598</t>
  </si>
  <si>
    <t>SB438</t>
  </si>
  <si>
    <t>PANDIMAN BUILDING INTRAMUROS</t>
  </si>
  <si>
    <t>POS A | POS B | BOS | BOS UPS</t>
  </si>
  <si>
    <t>Toshiba | Toshiba</t>
  </si>
  <si>
    <t xml:space="preserve">4852-E70 | 4852-E70 |  M900 | AID650 </t>
  </si>
  <si>
    <t>41 - PW029 | 41 - PW110 | PC0JRPT8 | E2207032982</t>
  </si>
  <si>
    <t>No Power that result no service tier</t>
  </si>
  <si>
    <t>7/20 - Coordinate with MOD
- MOD advised that the UPS is off but when he turn on BOS is up
- Checked UPS 205v
- Coordinate with Sir Vince and he advised for reco to facilities
- per checking there’s an RTO in BOS.
- Recrimp BOS 
- Ping BOS and POS stable
- Standby for 20 mins
- Store is up and working
- Work done</t>
  </si>
  <si>
    <t>Recrimp BOS</t>
  </si>
  <si>
    <t>Randell Esternon</t>
  </si>
  <si>
    <t xml:space="preserve">FSBP00118475 </t>
  </si>
  <si>
    <t>Drawer won't open</t>
  </si>
  <si>
    <t>POS A Cash Drawer 2</t>
  </si>
  <si>
    <t>POS A Cash Drawer 2 - Damaged and unable to open during operation</t>
  </si>
  <si>
    <t>7/21 - - Upon Arrival, check the POS A cash drawer 2, and found out, damage Y-Cable.
- After checking the POS A. Replaced the new Y-Cable and updated opos manager and checked the health for testing.
- MOD test the cash drawer 1 and 2. After testing. Now it's working.
- Ticket Closed.</t>
  </si>
  <si>
    <t>Replace Y-Cable for POS A cash drawer 1 and 2</t>
  </si>
  <si>
    <t>Y Cable</t>
  </si>
  <si>
    <t>May Perez</t>
  </si>
  <si>
    <t>FSBP00118471</t>
  </si>
  <si>
    <t>SB271</t>
  </si>
  <si>
    <t>MITOS PLACE - BORACAY - STATION 1</t>
  </si>
  <si>
    <t>Unresponsive</t>
  </si>
  <si>
    <t xml:space="preserve"> 4852-E70</t>
  </si>
  <si>
    <t>41-NY872</t>
  </si>
  <si>
    <t>POS A Magnetic Swipe Read - Cannot read (takes a few tries to fully read partner ID)</t>
  </si>
  <si>
    <t>7/21 upon arrival coordinate with MOD
- MOD said other card delay 3 times before swipe.
- try to swipe another card already working
- try swipe card with notepad all goods.
- witnessed by MOD magnetic swipe can continue reading.
-work done</t>
  </si>
  <si>
    <t xml:space="preserve">swipe card is working </t>
  </si>
  <si>
    <t>Mark Angelo de  Pedro</t>
  </si>
  <si>
    <t>Levi Vistidas Mata</t>
  </si>
  <si>
    <t>FSBP00118473</t>
  </si>
  <si>
    <t>SB227</t>
  </si>
  <si>
    <t>SANTANA GROVE</t>
  </si>
  <si>
    <t>Auto Log off</t>
  </si>
  <si>
    <t>MO&amp;P</t>
  </si>
  <si>
    <t>SUNMI</t>
  </si>
  <si>
    <t>SUNMI V2</t>
  </si>
  <si>
    <t>VB022207F00018</t>
  </si>
  <si>
    <t>MO&amp;P - Keeps on logging off from time to time and not being able to see some of the customer's order on time</t>
  </si>
  <si>
    <t>7/21 upon arrival , mop is working and barista app already logged in.
-as per mod barista app auto logged out some time when it's  not using.
-checked &amp; observed SB delivery wifi and its not disconnecting, Date and Time synchronized and updated, sleep is on Never.
-observed mop about an hour okay.
-Work done.</t>
  </si>
  <si>
    <t>Advised avoid closing the barista app</t>
  </si>
  <si>
    <t>Glenn Banania</t>
  </si>
  <si>
    <t xml:space="preserve"> Chin Pascual</t>
  </si>
  <si>
    <t>FSBP00118662</t>
  </si>
  <si>
    <t>SB187</t>
  </si>
  <si>
    <t>GREENHILLS PROMENADE</t>
  </si>
  <si>
    <t>41-NZ393</t>
  </si>
  <si>
    <t>POS A - Blue Screen "Multiple IRP complete requests</t>
  </si>
  <si>
    <t>7/20 - Checked reported unit. POS A is up and running.
- Checked drivers, all are updated.
- Conducted chkdsk, sfc scannow, HDD health check. Results are ok.
- Checked and downloaded event viewer logs.
- Checked RAM.
- Restarted POS twice to see if issue would re-occur. No problems encountered.
- Tested and observed transactions.
- POS A status is ok.</t>
  </si>
  <si>
    <t>Conducted POS HDD, driver, and RAM checking</t>
  </si>
  <si>
    <t>Dominic Almacen</t>
  </si>
  <si>
    <t>FSBP00117942</t>
  </si>
  <si>
    <t>SB254</t>
  </si>
  <si>
    <t>SM BY THE BAY</t>
  </si>
  <si>
    <t>Curio Play network</t>
  </si>
  <si>
    <t>CURIOplayerZ8</t>
  </si>
  <si>
    <t>2115H1GH62406</t>
  </si>
  <si>
    <t>Curio Player Access</t>
  </si>
  <si>
    <t>7/21 - - Coordinate with MOD
- Checked the device, Curio is playing but unable to connect to playnetwork
- Done Hard reset
- Replace LAN cable for isolation
- End-to-end LAN testing for Curio 
- Ping curio RTO (unable to connect playnetwork).
- MAC address Bind by RCOC, reboot curio, same problem.
- As per MOD, they have never access Curio dashboard since May 2023.
- Coordinated with RCOC Sir Vince and was advised for reco to facilities for checking.</t>
  </si>
  <si>
    <t>Recommended for facilities checking as Playnetwork Still can't access</t>
  </si>
  <si>
    <t>Joel Lara</t>
  </si>
  <si>
    <t>FSBP00118614</t>
  </si>
  <si>
    <t>SB144</t>
  </si>
  <si>
    <t>BALAGTAS NLEX SHELL</t>
  </si>
  <si>
    <t>Stock up</t>
  </si>
  <si>
    <t>41-NZ409</t>
  </si>
  <si>
    <t>POS B error - Stuck in LSNAV (POS hardware profile 100%) with error "OPOS_E_NOTCLAIMED"</t>
  </si>
  <si>
    <t xml:space="preserve">7/21 Upon arrival coordinate to MOD regarding the issue of POS B stuck in LS Nav and opos printer error. Conduct trouble shooting for POS B, and replug and unplug the patch cable and adaptor of Posiflex Printer. After trouble shooting...pasi remote the POS B to make sure that is properly working.
Ticket Close.
</t>
  </si>
  <si>
    <t>reset cable connection</t>
  </si>
  <si>
    <t>Teddy Aconzo</t>
  </si>
  <si>
    <t>FSBP00116457</t>
  </si>
  <si>
    <t>PP-7600X-TB</t>
  </si>
  <si>
    <t xml:space="preserve"> PPM83897</t>
  </si>
  <si>
    <t>POS A printer - unable to print receipt | Pending parts delivery</t>
  </si>
  <si>
    <t xml:space="preserve">7/21  Upon Arrival, Replace the POS A printer and install the new driver. MOD test the Posiflex Printer. After testing , POS A printer is now working. Ticket Close.
</t>
  </si>
  <si>
    <t xml:space="preserve">Replace new Posiflex Printer for POS A </t>
  </si>
  <si>
    <t>Aliza Faye Tamayo</t>
  </si>
  <si>
    <t>FSBP00118694</t>
  </si>
  <si>
    <t>SB224</t>
  </si>
  <si>
    <t>SM MANILA - LEVEL 1</t>
  </si>
  <si>
    <t>Deployment</t>
  </si>
  <si>
    <t>LTE WAN 1</t>
  </si>
  <si>
    <t>DITO LTE</t>
  </si>
  <si>
    <t xml:space="preserve"> H155-381</t>
  </si>
  <si>
    <t>NGICQZS245200197</t>
  </si>
  <si>
    <t>Requesting to deploy spare DITO LTE in the store and advise FE to check the Smart LTE status as well.</t>
  </si>
  <si>
    <t>7/21 --Waiting for parts
-Received parts and delivered/installed DITO LTE at the back office
-Advised Sir Jade and Sir Bryan for confirmation, and they acknowledged
-Standalone test is fast and stable
-Pull out smart LTE
-Work done</t>
  </si>
  <si>
    <t>installed DITO LTE at the back office and parts</t>
  </si>
  <si>
    <t>Router</t>
  </si>
  <si>
    <t>Carlo Namus</t>
  </si>
  <si>
    <t>FSBP00118244</t>
  </si>
  <si>
    <t>Outdated time &amp; date</t>
  </si>
  <si>
    <t>POS A -outdated time and date</t>
  </si>
  <si>
    <t>7/21 MOD report the issue on POS A found date and time is outdated
- try to change using settings but not working
- open bios and change date and time
-time and date is correct and witness by MOD
-work done</t>
  </si>
  <si>
    <t>open bios and change date and time</t>
  </si>
  <si>
    <t xml:space="preserve"> </t>
  </si>
  <si>
    <t>FSBP00118745</t>
  </si>
  <si>
    <t>POS A - cash drawer connection change</t>
  </si>
  <si>
    <t>7/21 check the cable back of POS A try to change but same issue
- check the cable in drawer 1 and not connected properly
- I try to reconnect and all goods
- witness by MOD
-work done</t>
  </si>
  <si>
    <t>reconnect drawer cable</t>
  </si>
  <si>
    <t>FSBP00118840</t>
  </si>
  <si>
    <t>SOUTH HUB - CALTEX SLEX MAMPLASAN</t>
  </si>
  <si>
    <t>DT Menu B</t>
  </si>
  <si>
    <t>0WHWH3DG400003M</t>
  </si>
  <si>
    <t>DT Panel B and C - Monitored Disconnected</t>
  </si>
  <si>
    <t>7/24 Upon arrival, Menu B is on.
-Performed ping check, has random RTO.
-Performed end-to-end test, LAN cable ok.
-Tightened and secured the crimp on the RJ45.
-Performed ping test again, no RTO.
-Requested dashboard checking and observed.
-DT Menu B connectivity is ok.</t>
  </si>
  <si>
    <t>Secured crimp</t>
  </si>
  <si>
    <t>FSBP00118835</t>
  </si>
  <si>
    <t>SB397</t>
  </si>
  <si>
    <t>AXIS ENTERTAINMENT AVE-ESCARIO-CEBU</t>
  </si>
  <si>
    <t>DT Pre Menu</t>
  </si>
  <si>
    <t>0KHJHNQY300029Z</t>
  </si>
  <si>
    <t xml:space="preserve">7/22 - Upon arrival, pre-menu is up, but on HDMI source mode.
- Checked pre-menu, fans are not working.
- Performed end-to-end LAN cable checking. The LAN cable is ok on both Panel and 24 port switch side.
- Re-seated connections and re-entered Magicinfo as main source.
- Requested checking from the MOD if the displayed output is correct and updated.
- Performed ping test, requested for dashboard checking, and observed for 30 mins.
- Pre-menu connectivity status is ok.
</t>
  </si>
  <si>
    <t>Checked and re-seated LAN connection. Changed source to Magicinfo5</t>
  </si>
  <si>
    <t xml:space="preserve">Reynan Domecillo </t>
  </si>
  <si>
    <t xml:space="preserve">Ross Saludo </t>
  </si>
  <si>
    <t xml:space="preserve"> FSBP00118860</t>
  </si>
  <si>
    <t>MWS - No internet connection prompting unidentified network</t>
  </si>
  <si>
    <t>7/22 - Upon arrival , BOS, MWS and all POS has no internet and not pingable.
- Checked Meraki MX, orange LED indicator. Port 1 has no light but Starlink LAN cable is connected.
- Performed stand-alone checking, Starlink has no connection.
- Checked Starlink, has loose power cord.
- Secured Starlink power cord then restarted the Meraki MX.
- Upon restart, Meraki MX has white LED and all devices regained network connection and pingable.
- Performed Speed test, tracert and ping.
- MWS and all POS are now operational and observed.</t>
  </si>
  <si>
    <t>Secured Starlink power cord to outlet and restarted the Meraki MX.</t>
  </si>
  <si>
    <t>FSBP00118829</t>
  </si>
  <si>
    <t>Network Offline</t>
  </si>
  <si>
    <t>LTE WAN 2</t>
  </si>
  <si>
    <t>ZTE</t>
  </si>
  <si>
    <t>ZXHN F670L</t>
  </si>
  <si>
    <t>ZTEGCCE0FE3C</t>
  </si>
  <si>
    <t>WAN 2 - MONITORED DOWN</t>
  </si>
  <si>
    <t>7/22 - Upon arrival coordinate to MOD Networking Connection checking
- Secondary internet is up upon arrival
- Speed test secondary internet
- Result; OK</t>
  </si>
  <si>
    <t>standalone test and reseat cable</t>
  </si>
  <si>
    <t>Felix Adrian Calendatas</t>
  </si>
  <si>
    <t>FSBP00118782</t>
  </si>
  <si>
    <t>SB625</t>
  </si>
  <si>
    <t>SM MOA SKY GARDEN</t>
  </si>
  <si>
    <t>DMB</t>
  </si>
  <si>
    <t>DMB Screen 3 - monitored disconnected</t>
  </si>
  <si>
    <t>7/23- -Upon arrival, DMB Screen 3 has a display.
-Checked the Wi-Fi connection and it's connected to RCOC Partners, Reconnected to KomodoDragon.
-Ping dmb screen 3 okay.
-Confirmed to CoreTech sir Jeremy it's now up in the Meraki dashboard.
-Work done.</t>
  </si>
  <si>
    <t>Connected DMB Screen 3 wifi to Komodo Dragon.</t>
  </si>
  <si>
    <t>Lea Agura Sanchez</t>
  </si>
  <si>
    <t xml:space="preserve">FSBP00118909 </t>
  </si>
  <si>
    <t>DAANG MAHARLIKA TAGUM CITY</t>
  </si>
  <si>
    <t xml:space="preserve">Pos A </t>
  </si>
  <si>
    <t>RT-6018 G2</t>
  </si>
  <si>
    <t>POS A customer display - transaction and amount are not reflecting</t>
  </si>
  <si>
    <t xml:space="preserve">7/23 - Coordinate with MOD
- Confirmed POS A customer display no output.
- Reseated line display connection and secured cables.
- Updated and tested device thru OPOS manager, all ok.
- Observed transactions for 30 minutes.
- Restarted POS to check if changes will reflect. 
- Line display no problem upon boot up.
- POS A line display is now operational and reflecting transactions. </t>
  </si>
  <si>
    <t>re-plug and secure cables , run Opos manager and update device line display</t>
  </si>
  <si>
    <t>Rex John Mongcal</t>
  </si>
  <si>
    <t>LIZ OCAMPO</t>
  </si>
  <si>
    <t>FSBP00119008</t>
  </si>
  <si>
    <t>SB339</t>
  </si>
  <si>
    <t>CASH &amp; CARRY MAKATI</t>
  </si>
  <si>
    <t>MT-M 3227</t>
  </si>
  <si>
    <t>90610C85DE71 | 867719050019816| PBYNBLW</t>
  </si>
  <si>
    <t>MWS - Intermittent to no internet connection</t>
  </si>
  <si>
    <t>7/23--Upon arrival, checked MWS has a connection 1 GBPS
-Checked the Internet has slow, intermittent internet
-Checked PLDT WAN 1 Intermittent
-Restart a couple of times, it’s now stable
-Checked Smart WAN 2 has no internet
-Restart WAN 2 is up
-Standalone test is now stable
-Advised RCOC on checking of Meraki, they acknowledged
-Standby for 30 mins
-Store is now up and stable
-Work done</t>
  </si>
  <si>
    <t>Reboot router</t>
  </si>
  <si>
    <t>Analyn Quimbo</t>
  </si>
  <si>
    <t>FSBP00119010</t>
  </si>
  <si>
    <t>Slow Respons</t>
  </si>
  <si>
    <t>4852-E7 | 4852-E70</t>
  </si>
  <si>
    <t>41 - PH503 | 41 - NZ293</t>
  </si>
  <si>
    <t>POS - Encountering slowness with SBCARDS payments/transactions</t>
  </si>
  <si>
    <t>7/23- -Upon arrival, advised MOD again the reason sbucks card transaction is slow due to slow internet
-Checked both POS is up but POS B has only 100mbps
-Recrimp POS B is now 1gbps
-Test sbucks card transaction is now fast
-Store is now up and stable
-Work done</t>
  </si>
  <si>
    <t>Recrimp</t>
  </si>
  <si>
    <t xml:space="preserve"> FSBP00118942</t>
  </si>
  <si>
    <t>SB620</t>
  </si>
  <si>
    <t>ORTIGAS AVENUE EXTENSION</t>
  </si>
  <si>
    <t>DT Menu Panel B - encountered RTO</t>
  </si>
  <si>
    <t>7/24 - Upon arrival DT panel B is disconnected
- Ping test; rto
- Reseat lan cable end to end
- Ping test again; now pingable
- Panel B has display
- Confirmed by RCOC panel B is up
- Observe ping test; good. Work done</t>
  </si>
  <si>
    <t>Reseat lan cable end to end</t>
  </si>
  <si>
    <t>Marc Abendaño</t>
  </si>
  <si>
    <t>FSBP00118123</t>
  </si>
  <si>
    <t>SB196</t>
  </si>
  <si>
    <t xml:space="preserve"> SM SAN LAZARO - LEVEL 1</t>
  </si>
  <si>
    <t xml:space="preserve">PP7600X </t>
  </si>
  <si>
    <t>PPJ32205</t>
  </si>
  <si>
    <t>POS A Posiflex printer - not printing receipt</t>
  </si>
  <si>
    <t>7/24 - Upon arrival, Checked printer hook is defective
-Deliver and install new thermal head
-Install thermal head
-Tested and able to lock
-Printer is now working
-Work done</t>
  </si>
  <si>
    <t xml:space="preserve"> install new thermal head</t>
  </si>
  <si>
    <t>Thermal Head</t>
  </si>
  <si>
    <t>PPNB0879</t>
  </si>
  <si>
    <t>PPJ32289</t>
  </si>
  <si>
    <t>Byron Joseph Omega</t>
  </si>
  <si>
    <t>FSBP00119036</t>
  </si>
  <si>
    <t>SB619</t>
  </si>
  <si>
    <t>6/F NEW GREENHILLS MALL</t>
  </si>
  <si>
    <t>PP031266</t>
  </si>
  <si>
    <t>POS B Posiflex printer - unable to print receipt</t>
  </si>
  <si>
    <t>7/24 - Check POS B thermal printer; broken hook
- Replace cutter assy of posiflex printer
- Test several times; OK</t>
  </si>
  <si>
    <t xml:space="preserve"> install new cutter assembly</t>
  </si>
  <si>
    <t>PPNB1019</t>
  </si>
  <si>
    <t>Arman Dela Cruz</t>
  </si>
  <si>
    <t>FSBP00119190</t>
  </si>
  <si>
    <t>SB325</t>
  </si>
  <si>
    <t>METRO GAISANO SUPERMARKET - ALABANG TOWN CENTER</t>
  </si>
  <si>
    <t>BOH</t>
  </si>
  <si>
    <t>DITO / SAMSUNG</t>
  </si>
  <si>
    <t>H155-301 / Galaxy A06</t>
  </si>
  <si>
    <t xml:space="preserve"> 6MQ7524524002275 / SM A065F/ DS</t>
  </si>
  <si>
    <t>Deploy DITO LTE and Smart wireless phone</t>
  </si>
  <si>
    <t>7/26 - Deploy Smart Wireless phone,insert sim, setup and tested by MOD.
- Deploy DITO LTE, locate and tested to BOH and coordinated with Sir Jade; okay.
- Standalone test WAN 1 and WAN 2; okay.
- Provide mobile number of both Smart LTE WAN 2 and pull out.
- Pull out Smart LTE WAN 1</t>
  </si>
  <si>
    <t>Deployed DITO LTE and Smart wireless phone</t>
  </si>
  <si>
    <t>LTE</t>
  </si>
  <si>
    <t xml:space="preserve"> 6MQ7524524002275</t>
  </si>
  <si>
    <t>Pau Enerlas</t>
  </si>
  <si>
    <t>FSBP00119220</t>
  </si>
  <si>
    <t>SB272</t>
  </si>
  <si>
    <t>RETIRO CORNER SPEAKER PEREZ</t>
  </si>
  <si>
    <t>4852-E7</t>
  </si>
  <si>
    <t xml:space="preserve"> 41 - MC930</t>
  </si>
  <si>
    <t>POS B - Pingable but Encountering RTO</t>
  </si>
  <si>
    <t>7/24 - Upon arrival, checked POS is down
-Checking that Lan cable is loose tried to reseat still no connection
-Recrimp end to end still 100mbps
-Recrimp three times still 100mbps
-Advised Sir Marvin and he advised to turn off meraki for 5 minutes
-Asked MOD if we can afford down time for 5-10 mins he said no.
-He also added possible for closing
-Advised Sir Marvin for closing and he acknowledged
-Store is up and stable
-For continuation
7/24 - Coordinate with MOD
- Check Both POS A &amp; POS B adapter settings; found 100Mbps only
- Ping 8.8.8.8 on POS B; stable
- Ping BOS on POS B; stable
- Recrimp POS B LAN cable on POS B side; still 100Mbps
- Turn off Meraki and PLDT for 5 minutes
- Turn on Meraki and PLDT; good
- Check both POS A and POS B adapter settings; still 100Mbps
- Performed speedtest on MWS; found SMART connection
- Unplugged WAN 1 (PLDT) on meraki
- Performed speed test on MWS; still SMART
- Advised MOD regarding issue
- Work done</t>
  </si>
  <si>
    <t>Reco PLDT for checking due to no internet connection</t>
  </si>
  <si>
    <t>Sandro Labalan / Francisco T. Sevilla III</t>
  </si>
  <si>
    <t>Brix Ocado</t>
  </si>
  <si>
    <t xml:space="preserve"> FSBP00119359 </t>
  </si>
  <si>
    <t>SB544</t>
  </si>
  <si>
    <t>CITY BAGUIO SUNSET TERRACES</t>
  </si>
  <si>
    <t>ALL POS</t>
  </si>
  <si>
    <t>KSHC0093 | KSHC0090 | KSHC0071</t>
  </si>
  <si>
    <t xml:space="preserve"> All POS - No connection to server</t>
  </si>
  <si>
    <t>7/26 - Upon arrival, coordinated to MOD, confirmed all POS has error.
- Conducted internet checking, WAN 1 and WAN 2 has internet connection.
- Performed end-to-end checking and reseated all POS and BOS connections.
- Restarted all POS and requested PASI for support.
- All POS regained connection to server.
- Requested MOD for testing and observed transactions.
- Requested RCOC for dashboard checking.
- All POS connectivity status are ok.</t>
  </si>
  <si>
    <t>Checked internet connectivity and reseated all connections</t>
  </si>
  <si>
    <t>Lagmay Mary Kay</t>
  </si>
  <si>
    <t xml:space="preserve">FSBP00119350 </t>
  </si>
  <si>
    <t>SB604</t>
  </si>
  <si>
    <t>PARQAL - ASEANA CITY</t>
  </si>
  <si>
    <t>KSN70132</t>
  </si>
  <si>
    <t>For replacement of power adaptor, power cable and POS Mobo</t>
  </si>
  <si>
    <t>7/26 - Upon arrival, Waiting for parts.
- Coordinate with MOD
- Replace new Power adaptor for POS A.
- Power On POS A and tested transaction and observed
- Pulled out defective power adaptor
- Work done.</t>
  </si>
  <si>
    <t>replaced power adaptor of POS A</t>
  </si>
  <si>
    <t>Adapter</t>
  </si>
  <si>
    <t>DPO7KBN271</t>
  </si>
  <si>
    <t>DPN2AKB037</t>
  </si>
  <si>
    <t>Alou Odon</t>
  </si>
  <si>
    <t>FSBP00118750</t>
  </si>
  <si>
    <t>SB555</t>
  </si>
  <si>
    <t>VERDANT STRIP (DTE)</t>
  </si>
  <si>
    <t>HP ELITEDESK</t>
  </si>
  <si>
    <t>800 GS SFF</t>
  </si>
  <si>
    <t>4CE02816ZT</t>
  </si>
  <si>
    <t xml:space="preserve">MWS second HDD - critical health </t>
  </si>
  <si>
    <t>7/26 - Upon arrival, MOD process work permit.
- Check second HDD health check Failed error.
- Second HDD is empty.
- Replace new second HDD.
- Health check okay.
- Rename drive name to DATADRIVE1.
- Remote by PASI.
- Checked MWS by MOD
- Pulled out defective HDD
- Work done.</t>
  </si>
  <si>
    <t>replaced second HDD of MWS</t>
  </si>
  <si>
    <t>7995H3SP</t>
  </si>
  <si>
    <t>1019791KS FUC</t>
  </si>
  <si>
    <t>JV Mercado</t>
  </si>
  <si>
    <t>FSBP00119498</t>
  </si>
  <si>
    <t>SB472</t>
  </si>
  <si>
    <t xml:space="preserve">FISHER MALL
</t>
  </si>
  <si>
    <t>Auto restart</t>
  </si>
  <si>
    <t>41-WA458</t>
  </si>
  <si>
    <t xml:space="preserve"> POS A- Keeps on restarting</t>
  </si>
  <si>
    <t>7/27 - Coordinate with MOD
- Checked POS A is up and working
- Checked HDD is good
- Checked power cable plugged properly
- Checked UPS voltage low
- Tested UPS outlet is good
- Advised MOD if the problem reoccur take a video and he agreed
- Store is up and working</t>
  </si>
  <si>
    <t>Matthew Posada</t>
  </si>
  <si>
    <t>FSBP00119512</t>
  </si>
  <si>
    <t>SB149</t>
  </si>
  <si>
    <t>GREENBELT 3 - LEVEL 1</t>
  </si>
  <si>
    <t>POS C</t>
  </si>
  <si>
    <t>KSHC0103</t>
  </si>
  <si>
    <t>POS C - no service tier error encountered</t>
  </si>
  <si>
    <t>7/27 - - Coordinate with MOD
- POC C has no internet upon arrival
- Check LAN, found no light
- Recrimp POC C LAN cable; still has no light
- Checked Meraki; found POS C slot 7 has no light
- Recrimp POS C LAN cable on meraki side; still has no light, found meraki port 7 is deactivated
- Switched POS C port from port 7 to port 8; good, has light
- Check POS C; good, has internet, 1.0Gbps
- Opened LSNAV; good, working
- Observed for a while
- Work done</t>
  </si>
  <si>
    <t>Reactivated POS C network by switching Meraki port from 7 to 8 after troubleshooting LAN connectivity.</t>
  </si>
  <si>
    <t>Chan Camiach</t>
  </si>
  <si>
    <t>FSBP00118864</t>
  </si>
  <si>
    <t>SB562</t>
  </si>
  <si>
    <t xml:space="preserve">133 SAN ANTONIO AVE. - PARAÑAQUE </t>
  </si>
  <si>
    <t>MWS &amp; BOS</t>
  </si>
  <si>
    <t>4CE02816ZF</t>
  </si>
  <si>
    <t>MWS TeamViewer - monitored offline</t>
  </si>
  <si>
    <t xml:space="preserve">7/28 - - Upon arrival, coordinated with mod
- Checked TeamViewer of MWS encountered auto auto-generated Password
- Coordinated with PASI &amp; set password to default
- Upon configuration as per RCOC, BOS is also offline
- Checked the BOS using VNC &amp; set password to default
- Coordinated with RCOC on the credentials of both BOS &amp; MWS 
- Observed both units for other issues; nothing was encountered
- Work done
</t>
  </si>
  <si>
    <t>- Reset default passwords for MWS and BOS after coordination with PASI and RCOC; verified functionality and found no further issues.</t>
  </si>
  <si>
    <t>Richard Allen E. Cruz</t>
  </si>
  <si>
    <t xml:space="preserve"> Raissa Delmundo </t>
  </si>
  <si>
    <t xml:space="preserve">FSBP00119570 </t>
  </si>
  <si>
    <t>SB470</t>
  </si>
  <si>
    <t>SANTOLAN TOWN PLAZA</t>
  </si>
  <si>
    <t>PP7600X</t>
  </si>
  <si>
    <t>PPN72136</t>
  </si>
  <si>
    <t>POS A Printer - Won’t print</t>
  </si>
  <si>
    <t>7/28-- -Upon arrival, Checked printer hook is defective
-Waiting for parts
-Deliver and install the new thermal head
-Install thermal head
-Tested and able to lock
-Standby for 30 mins
-Printer is now working
-Work done</t>
  </si>
  <si>
    <t>Install the new thermal head</t>
  </si>
  <si>
    <t xml:space="preserve">Thermal Head </t>
  </si>
  <si>
    <t>PPNB1184</t>
  </si>
  <si>
    <t>Ramm Manig</t>
  </si>
  <si>
    <t>FSBP00118955</t>
  </si>
  <si>
    <t>Line Display issue</t>
  </si>
  <si>
    <t>POS A drawer assignments are not correctly aligning with the assigned partners.</t>
  </si>
  <si>
    <t>7/28 - - Upon arrival, coordinated with mod
- Checked the Cash drawer &amp; tested both on the application: Healthy
- Test transaction &amp; encountered the issue reported
- Reset both connections of the cash drawer, same issue
- Switched both connections, Cash drawer 1 to Cash drawer 2 &amp; Cash Drawer 2 to Cash drawer 1. The issue was resolved
- Observed both units for other issues, nothing was encountered
- Work done</t>
  </si>
  <si>
    <t>switched connections between Drawer 1 and Drawer 2</t>
  </si>
  <si>
    <t>MOD Louie</t>
  </si>
  <si>
    <t>FSBP00119557</t>
  </si>
  <si>
    <t>SB547</t>
  </si>
  <si>
    <t>SM MUNTINLUPA</t>
  </si>
  <si>
    <t xml:space="preserve">800 G4 SFF </t>
  </si>
  <si>
    <t>4CE9241XWV</t>
  </si>
  <si>
    <t>MWS - Power cord grounded</t>
  </si>
  <si>
    <t xml:space="preserve">7/28 - - Wait for the delivery to arrive
- Proceed to replace the power cable 
- open monitor, test ok
- check if cable is secure, secured </t>
  </si>
  <si>
    <t>-Replaced grounded power cable to new</t>
  </si>
  <si>
    <t xml:space="preserve">Brent Albert Facturan </t>
  </si>
  <si>
    <t>Ralph Sadia</t>
  </si>
  <si>
    <t xml:space="preserve">FSBP00119618 </t>
  </si>
  <si>
    <t>SB115</t>
  </si>
  <si>
    <t>KATIPUNAN ROAD CORNER ROSA ALVERO</t>
  </si>
  <si>
    <t xml:space="preserve">Honeywell </t>
  </si>
  <si>
    <t>7580-G2</t>
  </si>
  <si>
    <t xml:space="preserve"> 0-00025</t>
  </si>
  <si>
    <t>POS A Barcode Scanner - Unable to scan barcode</t>
  </si>
  <si>
    <t>7/28-- Upon arrival, coordinated with mod
- Barcode scanner is working upon arrival
- Replug the barcode scanner
- Clear barcode scanner's lens; good
- Test scan; good, less than 5 seconds transaction
- Observed for a while
- Work done</t>
  </si>
  <si>
    <t>Replugged and cleaned the barcode scanner</t>
  </si>
  <si>
    <t>Joseph Gutierrez</t>
  </si>
  <si>
    <t>FSBP00118738</t>
  </si>
  <si>
    <t>SB504</t>
  </si>
  <si>
    <t>THE ASSEMBLY GROUNDS AT THE RISE</t>
  </si>
  <si>
    <t>4CE84403BL</t>
  </si>
  <si>
    <t>MWS - no internet connection</t>
  </si>
  <si>
    <t>7/29 - Upon arrival, checked MWS is working fine but no internet
- Checked Lan cable is good
- Recrimp still 1gb
- Tried personal lan cable still good but no internet
- Checked PLDT has no internet
- Restart multiple times PLDT still no internet
- Checked Smart LTE has no internet
- Restart multiple times still no internet
- Tested sim card no internet
- Trends arrival, checked PLDT and Smart
- He deliver and install new smart
- Store is now up
- Standalone test stable
- PLDT has internet problem for reco to pldt</t>
  </si>
  <si>
    <t>recrimp, Trends install new Smart, PLDT for reco</t>
  </si>
  <si>
    <t>Kelle Saligan</t>
  </si>
  <si>
    <t>FSBP00119667</t>
  </si>
  <si>
    <t>SB632</t>
  </si>
  <si>
    <t>SHELL M.L. QUEZON HIGHWAY</t>
  </si>
  <si>
    <t>DT Pre-Menu</t>
  </si>
  <si>
    <t>LFD</t>
  </si>
  <si>
    <t>LH55OMNESGBXXP</t>
  </si>
  <si>
    <t>9KHUHNQX500029B3</t>
  </si>
  <si>
    <t>DT Pre Menu - monitored disconnected</t>
  </si>
  <si>
    <t>7/29 - - Coordinated with MOD upon arrival
- Checked DT Pre Menu connection
- Unplugged LAN cable and tested using a multimeter
- Recrimped both ends of the LAN cable four times
- Ping test on MWS – still unreachable
- Inspected LAN cable and confirmed it was physically damaged
- Coordinated with the team and recommended to Facilities
- Work completed and ticket closed</t>
  </si>
  <si>
    <t>Recommended cable replacement to Facilities due to damage</t>
  </si>
  <si>
    <t>Jennylene Alukar</t>
  </si>
  <si>
    <t>FSBP00119694</t>
  </si>
  <si>
    <t>SB137</t>
  </si>
  <si>
    <t>UPTOWN PARADE</t>
  </si>
  <si>
    <t>POS-B (4852-E70)</t>
  </si>
  <si>
    <t>41-MK34</t>
  </si>
  <si>
    <t>POS B- Has no power</t>
  </si>
  <si>
    <t>7/29- -Upon arrival, coordinate with MOD
-Upon arrival, pos-b is not working
-check outlet power cable; good
-suspect PSU or motherboard
-waiting for parts
-install PSU, pos-b still has no power
-install mobo; good
-test drawer; good
-test printer; not good
-re-plug and change to any port; not detected
-Reinstall OPOS
-Printer still not detected
-try to MWS if printer is detected; not good
-Try installing new power adapter cables and USB cable; still not detected
-recommended to change printer
-work done</t>
  </si>
  <si>
    <t>installed a new motherboard, PSU, and installed the driver</t>
  </si>
  <si>
    <t>Motherboard | Power Supply Unit</t>
  </si>
  <si>
    <t>11S7430043YK10PS61P00B | 11S7430011YK12JP53S1R8</t>
  </si>
  <si>
    <t>11S78P1573YK10KL53A0FN | 11S7430011YK13JP61W2CW</t>
  </si>
  <si>
    <t>Jonah Villamonte</t>
  </si>
  <si>
    <t>FSBP00119509</t>
  </si>
  <si>
    <t>GM067E98</t>
  </si>
  <si>
    <t>MWS - To check the LAN cable</t>
  </si>
  <si>
    <t>7/29 - - Upon arrival, change MWS LAN cable from MX port 4 to 7 as advised by RCOC but nothing happens.
- coordinated with core tech.
- found out that the MWS LAN cable has USB adaptor and no Ethernet.
- Re-socket MWS USB adaptor for LAN and put IP on Ethernet, okay.
- Revert back to MX port 4 for the MWS LAN cable.
- performed ping test, speed test okay
- also found out that the converged WAN 2 modem unplugged the power adaptor.
- Plugged the power adaptor and wan2 is now up.
- confirmed to Sir Vince, Meraki dashboard is okay.
- work done.</t>
  </si>
  <si>
    <t>re-socket MWS USB adaptor for LAN.</t>
  </si>
  <si>
    <t>Elaiza Mayor</t>
  </si>
  <si>
    <t>FSBP00119824</t>
  </si>
  <si>
    <t>SB634</t>
  </si>
  <si>
    <t>LIFESTYLE 8880</t>
  </si>
  <si>
    <t>ISP</t>
  </si>
  <si>
    <t>CONVERGE</t>
  </si>
  <si>
    <t>ZXHN F679W</t>
  </si>
  <si>
    <t>ZTEEQTTQ539924</t>
  </si>
  <si>
    <t>Converge Fiber Activation</t>
  </si>
  <si>
    <t>7/30 - Upon arrival coordinated with MOD. 
- Advised about the reported issue. 
- Performed standalone test, Ipconfig, ping 8.8.8.8 -t, speedtest, youtube test. Tested ok. 
- Recrimped end to end from 24 port to AP.  Tested ok.
- Connected Converge to port 2 of Meraki MX  
- Confirmed by RCOC and all status is up.</t>
  </si>
  <si>
    <t>Connected Converge to port 2 of Meraki MX. Recrimped end to end AP connection</t>
  </si>
  <si>
    <t>Allysa Joy Zamora</t>
  </si>
  <si>
    <t>FSBP00119677</t>
  </si>
  <si>
    <t>SB443</t>
  </si>
  <si>
    <t>VERTIS NORTH</t>
  </si>
  <si>
    <t>POS A MSR</t>
  </si>
  <si>
    <t>11S9632144YK11AR43C857</t>
  </si>
  <si>
    <t>POS A MSR - not scanning properly</t>
  </si>
  <si>
    <t>7/30 - Upon arrival wait for delivery of new MSR
- Test POS A MSR; intermittent, most of the time not working
- Uninstall old MSR
- Install new MSR
- Test login; good.
- Test by MOD; good.
- Pull out old MSR. Work done</t>
  </si>
  <si>
    <t>replaced (Toshiba) MSR of POS A</t>
  </si>
  <si>
    <t>11S9634953YK11AR4BB066</t>
  </si>
  <si>
    <t>Chen Domingo</t>
  </si>
  <si>
    <t>FSBP00119454</t>
  </si>
  <si>
    <t xml:space="preserve">SB611 </t>
  </si>
  <si>
    <t xml:space="preserve"> LIVE AT STOP AND SHOP</t>
  </si>
  <si>
    <t>PPN72104</t>
  </si>
  <si>
    <t>POS A printer - wont feed paper roller keep rolling only (re occurring issue)</t>
  </si>
  <si>
    <t>7/30 - Upon arrival, Checked printer hook is defective
- Waiting for parts
- Deliver and install new thermal head
- Install thermal head
- Tested and able to lock
- Standby for 30 mins
- Printer is now working
- Work done</t>
  </si>
  <si>
    <t>replaced thermal head</t>
  </si>
  <si>
    <t>PPOCO702</t>
  </si>
  <si>
    <t xml:space="preserve"> Jeo Beñavero</t>
  </si>
  <si>
    <t>FSBP00119657</t>
  </si>
  <si>
    <t>PPM80645</t>
  </si>
  <si>
    <t>POS A Printer - Won't Print</t>
  </si>
  <si>
    <t>7/30 - Coordinate with MOD
- POS A printer is not working and broken hook
- Informed MOD to proceed dismantling the printer
- Install new assembly;good
- Test multiple times;good
- MOD acknowledge printer is now working
- Work done</t>
  </si>
  <si>
    <t>replaced cutter assembly</t>
  </si>
  <si>
    <t>PPNB1024</t>
  </si>
  <si>
    <t xml:space="preserve"> Aaron Mino</t>
  </si>
  <si>
    <t>Hannah Sarmiento</t>
  </si>
  <si>
    <t xml:space="preserve">FSBP00119819 </t>
  </si>
  <si>
    <t>PP7900</t>
  </si>
  <si>
    <t>PP0C0210</t>
  </si>
  <si>
    <t>Error message shows "OPOS_E_NOTCLAIME. Exclusive-use device is not claimed</t>
  </si>
  <si>
    <t>7/30 - - Coordinated with MOD upon arrival.
- Checked POS B printer.
- Performed power cycle (unplugged and restarted the printer).
- Restarted POS B and conducted a test print.
- Identified that the cutter blade was misaligned after printing.
- Coordinated with the team and recommended escalation to Heritage, as the printer is still under warranty.</t>
  </si>
  <si>
    <t>reco to Heritage</t>
  </si>
  <si>
    <t>Eunice Abao</t>
  </si>
  <si>
    <t>FSBP00119857</t>
  </si>
  <si>
    <t>SB533</t>
  </si>
  <si>
    <t>DAKONG BALAY - DUMAGUETE CITY</t>
  </si>
  <si>
    <t>ZTEGD4FB8B59</t>
  </si>
  <si>
    <t>7/30 - - Upon arrival, coordinated with MOD. Advised about the reported issue.
- Checked the Converge modem, which showed LOS
- Performed a standalone test; network status showed “Unidentified Network.”
- Performed standalone test, Ipconfig, ping 8.8.8.8 -t.
- Status showed the destination host unreachable.</t>
  </si>
  <si>
    <t>- Advised Sir Bryan Baniqued
- Problem was escalated and reported to Converge</t>
  </si>
  <si>
    <t>Arline Joy Zamora</t>
  </si>
  <si>
    <t>FSBP00118427</t>
  </si>
  <si>
    <t>METROPLAZA COMMERCIAL COMPLEX DAGUPAN</t>
  </si>
  <si>
    <t>POS B Drawer 2</t>
  </si>
  <si>
    <t>POS Drawer</t>
  </si>
  <si>
    <t>4852-E79</t>
  </si>
  <si>
    <t>41PP504</t>
  </si>
  <si>
    <t>POS B Drawer 2 - error of OPOS_ORS_NOPORT</t>
  </si>
  <si>
    <t xml:space="preserve">7/30 -  - COORDINATE REPORTED ISSUE TO MOD
- UPON CHECKING LAN/CABLE IS NOT INSERTED PROPERLY, ASK MOD WHEN THIS PROBLEM OCCURS
- AS PER MOD THIS HAPPENED AFTER THE PM WAS DONE
- RE-INSERT CABLE AND TEST USING TOSHIBA OLE CONFIGURATION, OK
- TEST BY PARTNERS/MOD , SUCCESSFUL 
</t>
  </si>
  <si>
    <t>Re-inserted improperly connected LAN cable</t>
  </si>
  <si>
    <t xml:space="preserve">Jam Saaverda </t>
  </si>
  <si>
    <t>FSBP00119784</t>
  </si>
  <si>
    <t>SB552</t>
  </si>
  <si>
    <t>QUEZON AVENUE AND WEST 4TH</t>
  </si>
  <si>
    <t>Site Survey to Plan the IHW of Starlink</t>
  </si>
  <si>
    <t>7/31 - Upon arrivalcoordinate with Pldt, trends, and pronet 
- Advised MOD we will survey the store for starlink ihw
- Assist Teams around the store
- Wait for them to observe and plan the layout of cabling
- Assist Teams in BOH
- Wait for them to observe and plan the layout of cabling and positioning of modem.
- Pronet contacted RCOC for confirmation of standard of piping and cabling.</t>
  </si>
  <si>
    <t>successful site survey to plan IHW of starlink with PLDT, Trends and Pronet</t>
  </si>
  <si>
    <t>Angela Celerio</t>
  </si>
  <si>
    <t>FSBP00119663</t>
  </si>
  <si>
    <t>SB282</t>
  </si>
  <si>
    <t>32ND AND 7TH - BONIFACIO GLOBAL CITY</t>
  </si>
  <si>
    <t>DT Menu A</t>
  </si>
  <si>
    <t>088XHNKM700009N</t>
  </si>
  <si>
    <t>DT Menu Panel A - monitored disconnected</t>
  </si>
  <si>
    <t>7/31 - Upon arrival coordinate with MOD
- Panel-A is up and working
- Crimp lan cables end to end; good
- Ping Panel-A; good
- Coordinate with Sir Vince, Panel-A still offline
- Power off then on the Panel-A TV; done, still offline
- Sir Vince advise to plug in to port19
- The cable is too short; pulling further may cause disruption or downtime to the store
- Sir Vince advise to report to ITI for proper handling
- Work done</t>
  </si>
  <si>
    <t>recrimp Panel-A and ping all goods - reco to ITI for checking</t>
  </si>
  <si>
    <t>Lhoi Baltazar</t>
  </si>
  <si>
    <t>email ETA</t>
  </si>
  <si>
    <t>FSBP00119058</t>
  </si>
  <si>
    <t>SM SAN LAZARO - LEVEL 1</t>
  </si>
  <si>
    <t>POS A Drawer 1</t>
  </si>
  <si>
    <t>POS B - Drawer 1 Not Open After Settled Transaction</t>
  </si>
  <si>
    <t>8/1 - -Checked POS B R1 is opening but R2 is not opening.
-Y cable is defective
-Waiting for parts
-Deliver and install Y cable
-Tested and working
-Tested by MOD approved.
-Standby for 30 mins
-Work done</t>
  </si>
  <si>
    <t>Y cable on POS B replaced</t>
  </si>
  <si>
    <t>3:00:00 PM | 5:20 PM</t>
  </si>
  <si>
    <t>4:30:00 PM | 5:50 PM</t>
  </si>
  <si>
    <t>Charlie Lladone</t>
  </si>
  <si>
    <t>FSBP00119920</t>
  </si>
  <si>
    <t>Posiflex</t>
  </si>
  <si>
    <t>PP-7600X</t>
  </si>
  <si>
    <t>POS A Printer - wont print no redlight error</t>
  </si>
  <si>
    <t>8/1 - -Upon arrival, checked POS A printer is working
-Test print is working fine
-Tried to change paper, still working
-Upon checking, there’s a clip
-Tried to remove the clip printer is still working fine
-MOD advised that VEI put the clip in the printer
-MOD also advised that the printer has no problem and it’s working fine
-Standby for 30 mins
-Work done</t>
  </si>
  <si>
    <t>No issue on printer</t>
  </si>
  <si>
    <t xml:space="preserve">FSBP00119501 </t>
  </si>
  <si>
    <t>SB121</t>
  </si>
  <si>
    <t>TORRE LORENZO - TAFT AVE.</t>
  </si>
  <si>
    <t>POS A Drawer 2</t>
  </si>
  <si>
    <t>40N7130</t>
  </si>
  <si>
    <t>60-17195</t>
  </si>
  <si>
    <t>POS A - Cash Drawer 1 Data Cable replacement as per VEI's recommendation from PM activity</t>
  </si>
  <si>
    <t>8/1 - Coordinate with MOD
- Checked the reported issue; initially reported as Cash Drawer 1, but upon checking, the actual issue was with Cash Drawer 2
- C. Drawer R1 is good, and found R2 cable is defective
- Deliver and install new data cable
- Tested and Working
- Work done</t>
  </si>
  <si>
    <t>Deliver and install new data cable</t>
  </si>
  <si>
    <t>Mayeh Limbo</t>
  </si>
  <si>
    <t>FSBP00119507</t>
  </si>
  <si>
    <t>Defective Monitor</t>
  </si>
  <si>
    <t>41-NY890</t>
  </si>
  <si>
    <t>POS A - monitor replacement as per VEI's recommendation from PM activity</t>
  </si>
  <si>
    <t>8/1 - Checked POS A Monitor loose.
- Tried to tighten the nut of POS.
- Unable to tighten due to loose thread and bolt cannot be replaced.
- For replacement of hinge/bracket.</t>
  </si>
  <si>
    <t>For replacement of bracket/hinge of POS A Toshiba (replaced 08/18)</t>
  </si>
  <si>
    <t>FSBP00119989</t>
  </si>
  <si>
    <t>SB392</t>
  </si>
  <si>
    <t>PIONEER CENTRE - PASIG</t>
  </si>
  <si>
    <t>41-NW159</t>
  </si>
  <si>
    <t>POS A - Connectivity</t>
  </si>
  <si>
    <t>8/1 - Check POS A; No service tier
- Check lan cable; not working
- Crimp lan cable; random RTOs
- Recrimp several times
- Observe POS; OK
- POS A now fully operational
- Work done</t>
  </si>
  <si>
    <t>Recrimp several times</t>
  </si>
  <si>
    <t>Ryan Mamaligsa</t>
  </si>
  <si>
    <t>FSBP00119995</t>
  </si>
  <si>
    <t>SB474</t>
  </si>
  <si>
    <t>SM CENTER PULILAN</t>
  </si>
  <si>
    <t>Lenovo</t>
  </si>
  <si>
    <t>M910s</t>
  </si>
  <si>
    <t>PC0QW7T9</t>
  </si>
  <si>
    <t>POS A and B - No Service Tier</t>
  </si>
  <si>
    <t>8/1 - -BOS is up, but the unidentified network status and also connected through a Realtek PCIe NIC
-Port 3 LED has light.
-Tested and recrimped cable; speed at 1gbps
-Re-entered the IP.
-Reconnected the patch cable to built-in NIC
-Reconnected the BOS to port 7, BOS regained connectivity
-tried to reconnect to port 3 and restart Meraki
-BOS regained connectivity
-Both pos have errors
-coordinate to PASI
-PASI said need to redomain BOS
-redomain BOS done
-coordinate again with PASI
-Both POS are running now
-Pause time to observe both POS
-Work done</t>
  </si>
  <si>
    <t>Recrimp, reconnect to port 3, and restart Meraki, redomain BOS</t>
  </si>
  <si>
    <t>Ronald Nicolas</t>
  </si>
  <si>
    <t>FSBP00119999</t>
  </si>
  <si>
    <t>SB493</t>
  </si>
  <si>
    <t>ARCOVIA PARADE</t>
  </si>
  <si>
    <t>IBM</t>
  </si>
  <si>
    <t>41-VV897</t>
  </si>
  <si>
    <t>POS B - Blue Screen re occurring issue</t>
  </si>
  <si>
    <t>8/1 - - Upon arrival, POS B not booting to Windows
- Restart POS; still the same
- Resocket HDD and ram; still the same
- POS B needs reimage
- Coordinate with the asset to send HDD with the new image
- wait for the delivery of the new HDD
- Remove old HDD
- install new HDD
- start pos
- Set up the network and drivers of the POS B
- Ask PASI to configure pos
- wait for PASI
- Test by MOD; good.
- observe for possible errors; none. Work done</t>
  </si>
  <si>
    <t>Reimage POS B (reported recurring, resolved per partners 08/05)</t>
  </si>
  <si>
    <t>WMAYPOJO2EE7</t>
  </si>
  <si>
    <t>WMAYPOR39Z13</t>
  </si>
  <si>
    <t>Carl Arana</t>
  </si>
  <si>
    <t>FSBP00119919</t>
  </si>
  <si>
    <t>SB658</t>
  </si>
  <si>
    <t>2445 P GIL STA ANA</t>
  </si>
  <si>
    <t>MWS Printer</t>
  </si>
  <si>
    <t>Canon</t>
  </si>
  <si>
    <t>F166400</t>
  </si>
  <si>
    <t>PCLA875912</t>
  </si>
  <si>
    <t>MWS Printer - won't print with error code: E 100 0000</t>
  </si>
  <si>
    <t xml:space="preserve">8/1 - -Upon arrival, checked that MWS was unable to print with an error
-Tried reinstalling the driver, still unable to print.
-Turn off and on the printer, still error
-Printer has a Cartridge
-USB is secured
-Advised Sir Rico, and he advised on the replacement
</t>
  </si>
  <si>
    <t>for replacement of MWS printer - SD endorsed to RVA</t>
  </si>
  <si>
    <t>Romeo Tapay</t>
  </si>
  <si>
    <t>FSBP00118906</t>
  </si>
  <si>
    <t>SB340</t>
  </si>
  <si>
    <t>AYALA CAPITOL CENTRAL - BACOLOD</t>
  </si>
  <si>
    <t>HDD replacement for BOS due to poor health</t>
  </si>
  <si>
    <t>8/2 - Coordinate with MOD
- Waited for an hour for store closing to proceed in the activity.
- Get details of BOS:
- ip address
- host file
- undomain BOS
- Coordinate with PASI to backup BOS files
- Proceed to replace old HDD
Input computer details:
- ip address
- host file
- Slave old HDD
- Team viewer change password
- advise Pasi that Old HDD is slave and they restore backup files
- Arranged BOS area. Ping 8.8.8.8 -t both POS and pingable. Turned off MWS and both POS.</t>
  </si>
  <si>
    <t>replaced BOS HDD</t>
  </si>
  <si>
    <t>Z9AB0ABL</t>
  </si>
  <si>
    <t>Z9AK4TBW</t>
  </si>
  <si>
    <t>Shenna Jirah Labrado</t>
  </si>
  <si>
    <t>FSBP00120045</t>
  </si>
  <si>
    <t>SB538</t>
  </si>
  <si>
    <t>INVECS AUTO CENTRUM</t>
  </si>
  <si>
    <t>KSHC0082 | KSHC0036</t>
  </si>
  <si>
    <t>POS A- Lagging and slow printing receipt (Encounter RTO)</t>
  </si>
  <si>
    <t>8/2 - -Upon arrival, coordinate with MOD regarding the issue of POS A (RTO) and slow printing receipts.
-Conducted troubleshooting and found out that the POS A is 100MBPS only.
-Re-crimp and patch cable for POS A, and also MOD advice to check the connection of POS B, due to LSNav Hanging. 
-After checking the POS B, I found out is also 100MBPS only. 
-Re-crimp POS B. And after Re-crimp. MOD test both POS.
-PASI checks the POS A if working; both are working properly. 
-POS A and POS B are now 1GBS.
-Ticket Close.</t>
  </si>
  <si>
    <t>Re-crimp POS A &amp; B, both is 1GBPS</t>
  </si>
  <si>
    <t>Yang Maniti Garcia</t>
  </si>
  <si>
    <t>FSBP00120024</t>
  </si>
  <si>
    <t>SB568</t>
  </si>
  <si>
    <t>SM CENTER LAS PINAS</t>
  </si>
  <si>
    <t>PP7600</t>
  </si>
  <si>
    <t>PPM80537</t>
  </si>
  <si>
    <t>POS B Printer Paper Jam/Won't Print</t>
  </si>
  <si>
    <t>8/4 - Upon arrival coordinate to MOD for POS B printer repair
- Wait for cutter assembly to arrive
- Proceed repair
- Test self print;ok
- OPOS test print; ok
- Nav test print; ok</t>
  </si>
  <si>
    <t>Replace printer cutter assembly</t>
  </si>
  <si>
    <t>SPAP11801</t>
  </si>
  <si>
    <t>SPAP11677</t>
  </si>
  <si>
    <t>Kevin Dizon</t>
  </si>
  <si>
    <t>FSBP00120142</t>
  </si>
  <si>
    <t>SB553</t>
  </si>
  <si>
    <t>167 SUMULONG HIGHWAY</t>
  </si>
  <si>
    <t>Customer Line Display</t>
  </si>
  <si>
    <t>Samsung</t>
  </si>
  <si>
    <t>Pre Menu</t>
  </si>
  <si>
    <t>OKHJHNQT300002D</t>
  </si>
  <si>
    <t>Pre-Menu Disconnected</t>
  </si>
  <si>
    <t>8/2 - - Upon arrival, pre-menu is off.
- Transfer plug to a different outlet; now working
- Ping test pre menu; good, stable ping
- Observe for possible errors; none.
- Wait for confirmation of RCOC if pre-menu is up in dashboard; no reply. 
- Work done</t>
  </si>
  <si>
    <t>Transfer the plug to a different outlet</t>
  </si>
  <si>
    <t>Louie Daria</t>
  </si>
  <si>
    <t>8/3 - Upon arrival coordinated with MOD
-Waited for store closing
-Ask MOD for permission
-Check BOS
-Coordinate with PASI; good, PASI proceeded to backup
-Replaced the old HDD; good
-Made old HDD to slave
-PASI remote; good
-Redomain BOS
-Removed slave
-Test transaction with MOD; good
-Work done</t>
  </si>
  <si>
    <t>Replace HDD</t>
  </si>
  <si>
    <t>Z9AALZWB</t>
  </si>
  <si>
    <t>Z9A30DC0</t>
  </si>
  <si>
    <t>Reich S. Cabus</t>
  </si>
  <si>
    <t xml:space="preserve">FSBP00119762 </t>
  </si>
  <si>
    <t>SB503</t>
  </si>
  <si>
    <t>MERCEDES RESIDENCES</t>
  </si>
  <si>
    <t>Incomplete Printing</t>
  </si>
  <si>
    <t>PPM80773</t>
  </si>
  <si>
    <t>POS B printer - Printing of receipt is being cut mid way.</t>
  </si>
  <si>
    <t>8/3 - Upon arrival, coordinated with the MOD.
- Checked cutter assembly for paper jams/debris.
- Cleaned cutter assembly.
- Checked printer hook. Printer hook is good.
- Secured cables.
- Adjusted paper sensor.
- Conducted test print multiple times, all good results.
- Observed transactions.
- Printer is working properly, confirmed by the MOD</t>
  </si>
  <si>
    <t>Cleaned the cutter assembly and adjusted the paper sensor</t>
  </si>
  <si>
    <t>Kiezel Villanueva</t>
  </si>
  <si>
    <t>FSBP00119980</t>
  </si>
  <si>
    <t>SB375</t>
  </si>
  <si>
    <t>LA CONSOLACION COLLEGE MANILA</t>
  </si>
  <si>
    <t>Blurred print out</t>
  </si>
  <si>
    <t>4610 - 1NR</t>
  </si>
  <si>
    <t>41167HK</t>
  </si>
  <si>
    <t>POS B Printer - Faded print</t>
  </si>
  <si>
    <t>8/3 - Conducted test print, confirmed blurred print.
- Cleaned the thermal head of the printer.
- Conducted test print again, same results.
- Requested permission to migrate the printer to Posiflex.</t>
  </si>
  <si>
    <t>For replacement of thermal head/thermal printer</t>
  </si>
  <si>
    <t>Ed Sta. Iglesia</t>
  </si>
  <si>
    <t>FSBP00120209</t>
  </si>
  <si>
    <t>SB453</t>
  </si>
  <si>
    <t>BANAWE CORNER CALAMBA</t>
  </si>
  <si>
    <t>PPIA1397</t>
  </si>
  <si>
    <t>POS B Printer - won't print</t>
  </si>
  <si>
    <t>8/4 -Upon arrival, checked POS B printer hook defective
-Waiting for parts thermal head
-Deliver and install thermal head
-Printer unable to lock due to roller defective
-Waiting fort parts roller
-Deliver and install roller
-Printer is able to lock now
-Test print good
-MOD test printer he approved
-Standby for 15 mins
-Work done</t>
  </si>
  <si>
    <t>Replace thermal head and roller</t>
  </si>
  <si>
    <t>Thermal Head/Roller</t>
  </si>
  <si>
    <t xml:space="preserve"> PPOCO701 / KBK08</t>
  </si>
  <si>
    <t>PPIA1397 / KHH25</t>
  </si>
  <si>
    <t>Earl Jariel</t>
  </si>
  <si>
    <t>FSBP00119963</t>
  </si>
  <si>
    <t>SB276</t>
  </si>
  <si>
    <t>SOLENAD - NUVALI, STA. ROSA CITY</t>
  </si>
  <si>
    <t>10A8-S0J302</t>
  </si>
  <si>
    <t>PC03XJ77</t>
  </si>
  <si>
    <t>MWS - automatic shutdown</t>
  </si>
  <si>
    <t>8/4 - upon arrival, MWS is up.
-as per mod, Mws automatic shutdown occurs after preventive maintenance.
-checked all outlet using multitester its 217-218 volts 'normal'.
-traced the mws cpu power chord then resocket to another outlet and secured.
-open Lenovo Power Manager options set all to NEVER.
-observed mws pc, no auto shutdown occurred.
-advised Mod that once problem reoccur, possible will replace cpu power supply.
-work done</t>
  </si>
  <si>
    <t>Resocket cpu power cord to another outlet and secured. Open Lenovo Power Manager options set all to NEVER.</t>
  </si>
  <si>
    <t>Joy Leynes</t>
  </si>
  <si>
    <t>FSBP00120255</t>
  </si>
  <si>
    <t>SB515</t>
  </si>
  <si>
    <t>MADISON GALERIES</t>
  </si>
  <si>
    <t>KSIB0049</t>
  </si>
  <si>
    <t>POS B - No service tier error</t>
  </si>
  <si>
    <t>8/4 -Check POS, no internet
-Check Meraki, POS B is in port 8
-Check End to End, ok
-Return POS B connection to meraki port 6, Gained Internet</t>
  </si>
  <si>
    <t>Return POS B to meraki  port 6</t>
  </si>
  <si>
    <t>Brent Albert Facturan</t>
  </si>
  <si>
    <t>Anj Palma</t>
  </si>
  <si>
    <t>FSBP00120158</t>
  </si>
  <si>
    <t>SB456</t>
  </si>
  <si>
    <t>PARK WEST RESIDENCES BGC</t>
  </si>
  <si>
    <t>SUNMI - MOP</t>
  </si>
  <si>
    <t>V2</t>
  </si>
  <si>
    <t>VB02207F00557</t>
  </si>
  <si>
    <t>MOP Sunmi device not powering on or operational despite having a full battery charge.</t>
  </si>
  <si>
    <t>8/4 - Check sunmi v2 mop device; not powering on
- Charge device; still not working
- Waited for replacement
- Connect device to SB Delivery wifi
- Install all necessary apps
- Test MOP device; OK</t>
  </si>
  <si>
    <t>Replace MOP sunmi device</t>
  </si>
  <si>
    <t>MOP</t>
  </si>
  <si>
    <t>VB02207F00213</t>
  </si>
  <si>
    <t>Sophia Colvadores</t>
  </si>
  <si>
    <t>FSBP00119566</t>
  </si>
  <si>
    <t>SB524</t>
  </si>
  <si>
    <t>FILINVEST AXIS</t>
  </si>
  <si>
    <t>KSIB0021</t>
  </si>
  <si>
    <t>POS B Error - The network is currently not available. Repair the network and retry (related ticket FSBP00119672)</t>
  </si>
  <si>
    <t>8/4 - Upon arrival coordinate to MOD for POS B networking checking
- Found 10mbps Network speed
- Crimp lan end cable of POS B; 100mbps
- Crimp lan end cable of MX; 1gbps
- Verify to MOD</t>
  </si>
  <si>
    <t>Crimp end to end lan cable of POS B</t>
  </si>
  <si>
    <t>Ayen Aguilar</t>
  </si>
  <si>
    <t>FSBP00120283</t>
  </si>
  <si>
    <t>SB476</t>
  </si>
  <si>
    <t>THE MACTAN NEWTOWN</t>
  </si>
  <si>
    <t>POS A Printer, POS B Printer</t>
  </si>
  <si>
    <t>PPM91996 / PPM92002</t>
  </si>
  <si>
    <t>Both POS Printer - Not working</t>
  </si>
  <si>
    <t>8/4 - Coordinate with MOD
- Checking both POS; cannot print and no power on POS A Printer 
- Resocket power cable; both printers are up
- Coordinate with PASI regarding POS B printer because not detected
- Replug usb cable
- PASI config/tested by MOD
- Both POS printer is working normally witnessed by MOD
- Observe 1hour; no error
- Work done</t>
  </si>
  <si>
    <t xml:space="preserve"> Resocket power cable on POS A and B</t>
  </si>
  <si>
    <t>Christine Maldo</t>
  </si>
  <si>
    <t>FSBP00120289</t>
  </si>
  <si>
    <t>SB412</t>
  </si>
  <si>
    <t>UP TOWN CENTER 2</t>
  </si>
  <si>
    <t xml:space="preserve"> 41-MC628 / 41-MD041</t>
  </si>
  <si>
    <t>All POS - Error " The server net tcp unavailable or connection has been lost"</t>
  </si>
  <si>
    <t>8/4 - Check cables
- Recrimp multiple times on both ends
- Meraki cables are sensitive
- test ping all devices; ok
- MOD requested to observe all POS
- Observation turnover to sir Jerome Ferber
- Observe all devices for possible errors; none.
- All devices working properly. Work done</t>
  </si>
  <si>
    <t>Recrimp lan cables</t>
  </si>
  <si>
    <t>Emman Tan / Jerome Ferber</t>
  </si>
  <si>
    <t>Gian Rupe</t>
  </si>
  <si>
    <t>FSBP00120309</t>
  </si>
  <si>
    <t>SB496</t>
  </si>
  <si>
    <t>HERALD BUILDING</t>
  </si>
  <si>
    <t>41VZ412</t>
  </si>
  <si>
    <t>POS A - No Service Tier</t>
  </si>
  <si>
    <t>8/4 - Coordinated with MOD, asked permission to isolate.
- Checked the reported unit, POS A LAN internet was detected.
- Check the LAN speed status, 1GBPS ok.
- Check event viewer, no internet disconnection was detected.
- Check the meraki port 5, two LED lights blinking.
- POS A were pingable for 30mins no RTO detected.
- Internet speed test is stable.
- Secured the cables both end.
- LSNav application are working.</t>
  </si>
  <si>
    <t>Secured the cables both end</t>
  </si>
  <si>
    <t xml:space="preserve"> Karl Joseph Almonte</t>
  </si>
  <si>
    <t>Ellla Ilagan</t>
  </si>
  <si>
    <t>FSBP00119761</t>
  </si>
  <si>
    <t>SB300</t>
  </si>
  <si>
    <t>SM ILOILO SOUTHPOINT 2</t>
  </si>
  <si>
    <t>Defective Cable</t>
  </si>
  <si>
    <t>POS B Drawer 1, POS B Drawer 2</t>
  </si>
  <si>
    <t>KSM90042</t>
  </si>
  <si>
    <t>POS B – Drawer 1 &amp; 2: Defective Y-cable due to rat bite (Recommendation from Preventive Maintenance #FSBP00117697)</t>
  </si>
  <si>
    <t>8/5 - Upon arrival coordinated with MOD. 
- Checked the Y-cable of POS B Cash drawer and has rat bite. 
- Replaced the Y-cable and tested ok. 
- MOD also tested POS B cash drawer and is now operational and can transact.</t>
  </si>
  <si>
    <t>Replaced the Y-cable</t>
  </si>
  <si>
    <t>Y cable</t>
  </si>
  <si>
    <t>Pearl Sanchez</t>
  </si>
  <si>
    <t>FSBP00119719</t>
  </si>
  <si>
    <t xml:space="preserve"> BONIFACIO HIGH STREET - BLOCK 3</t>
  </si>
  <si>
    <t xml:space="preserve"> PCOD6YXH</t>
  </si>
  <si>
    <t>BOS checking (High Disk Usage 100%)</t>
  </si>
  <si>
    <t>8/5 - Upon arrival coordinated with mod
- Waited for store closing
- Ask MOD for permission
- Check BOS
- Coordinate with PASI; good, PASI proceeded to backup
- Replaced the old HDD; good
- Made old HDD to slave
- Install Ram
- PASI remote; good
- Redomain BOS
- Removed slave
- Test transaction with MOD; good
- Endorse to Sir Mino for standby
- Standby and monitoring POS; good
- Ping BOS and POS; good
- MOD acknowledge all devices is not working smooth
- Work done
PASI Action Taken:
*Backup and Restore Database
*Config NAV and Jet Reports in MWS
*Config LS NAV on POS|
*Configure Mall Sending in BOS and MWS
Next Step:
*POS Testing c/o Store partners
*BOS Domain c/o RCOC or L2
*SQL Database Maintenance Plan c/o RCOC</t>
  </si>
  <si>
    <t>replaced BOS HDD, and RAM upgrade 8gb</t>
  </si>
  <si>
    <t>Z9AAMP93</t>
  </si>
  <si>
    <t>Z9A310TS</t>
  </si>
  <si>
    <t>Sandro Labalan, Aaron Mino</t>
  </si>
  <si>
    <t>FSBP00118210</t>
  </si>
  <si>
    <t>SB560</t>
  </si>
  <si>
    <t>THE VANTAGE @ KAPITOLYO</t>
  </si>
  <si>
    <t>Meraki Switch</t>
  </si>
  <si>
    <t>Mall Sending</t>
  </si>
  <si>
    <t>Check the Sales Sending LAN cable from the stub-out to the Meraki device</t>
  </si>
  <si>
    <t>8/5 - Arrived on time; waited for facilities
- Sir Justin from RCOC arrived; also waited for facilities to arrive
- Waited til 1:30pm; still did not arrive
- per Sir Justin from RCOC, Facilities arrived exactly at 2:18 pm
- Went back to store immediately for JV
- Assist in tracing cables for mall sending
- Performed tagging
- Terminate mall sending to Port 9
- Mall sending now working
- Work done</t>
  </si>
  <si>
    <t>Performed tagging and Terminate mall sending to Port 9</t>
  </si>
  <si>
    <t>She Sales</t>
  </si>
  <si>
    <t>FSBP00120342</t>
  </si>
  <si>
    <t>SB177</t>
  </si>
  <si>
    <t>MARKET MARKET - LEVEL 1</t>
  </si>
  <si>
    <t>41-MK256</t>
  </si>
  <si>
    <t>POS B - Unresponsive (Unable to touch)</t>
  </si>
  <si>
    <t>8/5 - Upon arrival coordinate with MOD
- POS B touch screen cant use
- Secure all cables; good
- POS still cant use
- Secure touch screen cable; still cant use
- Restart POS
- POS B touch screen is now working
- Observe
- Re occur lagging POS
- Reseat lan cable
- Observe in case of problem occur
- MOD acknowledge POS B is working
- POS B is now working
- Work done</t>
  </si>
  <si>
    <t>secure cables</t>
  </si>
  <si>
    <t>Madeline Canzana</t>
  </si>
  <si>
    <t>FSBP00119817</t>
  </si>
  <si>
    <t>SB525</t>
  </si>
  <si>
    <t>PRIMEWAY PLAZA</t>
  </si>
  <si>
    <t>POS A cash drawer 1 - disconnected wire from the POS A</t>
  </si>
  <si>
    <t>8/5 - Coordinate with MOD
- Unplug y cable on POS A port and usb cable on cash drawer2
- Install the new y cable
- Testing by MOD (ok)
- Work done</t>
  </si>
  <si>
    <t>replaced y cable</t>
  </si>
  <si>
    <t>Mark Polo</t>
  </si>
  <si>
    <t>FSBP00119929</t>
  </si>
  <si>
    <t>For checking of DMB screens in FOH ASAP - ALL PANELS IN STORE THAT HAS DMB IN CAFE HAS PLAYER INACTIVE STATUS IN DASHBOARD</t>
  </si>
  <si>
    <t>8/5 - Upon arrival , DMB all panels have display.
- Coordinated with Sir Vince.
- DMB screen 3 disconnected yo komodo dragon.
- Re-connect screen 3 to komodo dragon and delete other saved networks to screen 3 like RCOC partmers wifi.
- Checked all DMB screens that only komodo dragon in saved networks.
- Ping all DMB screens; Pingable.
- Work done.</t>
  </si>
  <si>
    <t>Reconnect screen 3 to komodo dragon wifi and delete other saved networks in dmb screen 3</t>
  </si>
  <si>
    <t>Rio Castillo</t>
  </si>
  <si>
    <t>FSBP00120371</t>
  </si>
  <si>
    <t>SB486</t>
  </si>
  <si>
    <t>ZETA TOWERS</t>
  </si>
  <si>
    <t>Hang up</t>
  </si>
  <si>
    <t xml:space="preserve"> E70</t>
  </si>
  <si>
    <t>41-VZ421</t>
  </si>
  <si>
    <t>POS B - Stuck on LS NAV</t>
  </si>
  <si>
    <t>8/6 Upon arrival, POS B is powered off
- Check POS B; attempted to start LS Nav, not working.
- Waited for shipment of replacement parts
- Install new HDD with fresh image
- Config IP add, install maya and posiflex drivers, change host name and domain, etc.
- DynamicsNAV configuration done by PASI
- Test POS; OK
- Observe POS during peak hours; lagging occured for the first few transactions but performance got better overtime
- POS B is now fully operational
- Work done</t>
  </si>
  <si>
    <t>replaced new HDD</t>
  </si>
  <si>
    <t xml:space="preserve">WMAYP0J9FVWV </t>
  </si>
  <si>
    <t>WMAYP0R9MKMY</t>
  </si>
  <si>
    <t>Alvin Trangia</t>
  </si>
  <si>
    <t>FSBP00120422</t>
  </si>
  <si>
    <t>SB395</t>
  </si>
  <si>
    <t>MARCOS HIGHWAY - ANTIPOLO</t>
  </si>
  <si>
    <t>HME Zoom Timer Monitored Disconnected</t>
  </si>
  <si>
    <t>8/6 - Upon arrival coordinate with MOD
- Check LAN cable of DT Zoom timer; found damage LAN cable
- Trace spare LAN cable; recrimp
- As per Sir Vince; transfer Zoom Timer LAN cable in 24 switch.
- Terminate LAN from port 24 to port 12
- Zoom Timer is now pingable and accessible via MWS
- As per MOD POS C has intermittent connection; reseat LAN cable
- Conduct ping test; remote by PASI
- POS C now is working</t>
  </si>
  <si>
    <t>recrimp and reseat lan cable</t>
  </si>
  <si>
    <t>Rulaine Gulipardo</t>
  </si>
  <si>
    <t>FSBP00117335</t>
  </si>
  <si>
    <t>SB520</t>
  </si>
  <si>
    <t>ROBINSONS MAGNOLIA LEVEL 1</t>
  </si>
  <si>
    <t>EliteDesk 800 G4 SFF</t>
  </si>
  <si>
    <t>4CE9140GJY</t>
  </si>
  <si>
    <t>MWS - request for an upgrade due to the slow response/lagging which already affects on submissions</t>
  </si>
  <si>
    <t>8/6 - Coordinated with the MOD
- Performed testing, PC lagging when multiple apps are opened at the same time.
- Performed HDD health check. Both HDD at 100% health.
- Monitored the memory. Has high memory usage.
- Updated drivers and cleaned temp files. Resulted in slightly better performance.
- Confirmed that the MWS needed a RAM upgrade</t>
  </si>
  <si>
    <t>General checking, cleaned temp files.</t>
  </si>
  <si>
    <t>Aj Alyarde</t>
  </si>
  <si>
    <t>FSBP00120531</t>
  </si>
  <si>
    <t>SB236</t>
  </si>
  <si>
    <t>ROBINSON OTIS - LEVEL 1</t>
  </si>
  <si>
    <t>Drawer automatically open</t>
  </si>
  <si>
    <t>60-09812</t>
  </si>
  <si>
    <t>POS A Drawer - Unable to close</t>
  </si>
  <si>
    <t>8/6 - Upon arrival, checked drawer unable to close
- Checked Latch assembly.
- Tried to put R2 latch assembly and install in R1. C. Drawer is able to close.
- Noticed latch assembly is not properly in place. Fix it properly.
- R1 C. Drawer is able to closed now
- Tested by MOD she acknowledged
- Work done</t>
  </si>
  <si>
    <t>fix latch assembly not properly in place</t>
  </si>
  <si>
    <t>Decelyn Albon</t>
  </si>
  <si>
    <t>FSBP00119901</t>
  </si>
  <si>
    <t>SB427</t>
  </si>
  <si>
    <t>CITY OF DREAMS MANILA</t>
  </si>
  <si>
    <t xml:space="preserve"> SUNMIV2</t>
  </si>
  <si>
    <t>VB02207F00509</t>
  </si>
  <si>
    <t>MOP Device - No power as reco upon PM</t>
  </si>
  <si>
    <t>8/7 upon arrival,  waiting for delivery of parts, Store escort for Gatepass.
-check old mop no power and not charging.
-replaced new mop.
-tested charging.
-connect to SB delivery wifi.
-installed barista app.
-login credentials.
-tested print okay.
-pulled out defective MO&amp;P.
-work done.</t>
  </si>
  <si>
    <t>replacement of MO&amp;P.</t>
  </si>
  <si>
    <t xml:space="preserve"> EJ Tawagon</t>
  </si>
  <si>
    <t>FSBP00120532</t>
  </si>
  <si>
    <t>SB117</t>
  </si>
  <si>
    <t>III PASEO CORNER LEGASPI</t>
  </si>
  <si>
    <t>LTE Deployment</t>
  </si>
  <si>
    <t>GLOBE | SMART</t>
  </si>
  <si>
    <t>GODAN</t>
  </si>
  <si>
    <t>J10623060190200749 | J10623060190200704</t>
  </si>
  <si>
    <t xml:space="preserve"> DITO LTE Temp Deployment</t>
  </si>
  <si>
    <t>8/6  schedule the pick up of DITO and Smart LTE tomorrow at 7am, to be deployed temporary at 117 Pasedo de Roxas.
8/6 - Deploy Modem Menuboard, conduct standalone test.
- Found DITO Modem has no signal inside the store.
- RCOC reco to send Smart &amp; Globe LTE, standalone test both LTE.
- Speed &amp; signal is stable. 
- Confirmed Smart &amp; Globe will be temporary deployed to store.
- Call close</t>
  </si>
  <si>
    <t>DITO weak signal - deployed Smart and Globe LTE provided by RCOC</t>
  </si>
  <si>
    <t>Anthony Flores</t>
  </si>
  <si>
    <t>Alvin Santos</t>
  </si>
  <si>
    <t>FSBP00120254</t>
  </si>
  <si>
    <t>TPJF025065</t>
  </si>
  <si>
    <t>DT Bar Sticker labeler is not dispensing stickers.</t>
  </si>
  <si>
    <t xml:space="preserve">8/7 Upon arrival coordinate to MOD for DT labeler checking
- Test print labeler; failed, unable to feed
- Secure power source
- Test print; failed
- Unplug printer for checking and cleaning
- No paper jam found
- Clean roller and sensor
- Found broken gear of roller
- Test print several times; failed unable to feed
- Advise MOD that the printer is for replacement
</t>
  </si>
  <si>
    <t>printer replacement will be handled by L2 Lenovo Team</t>
  </si>
  <si>
    <t xml:space="preserve"> Millard Monzon</t>
  </si>
  <si>
    <t>Ree Mendoza</t>
  </si>
  <si>
    <t>FSBP00120564</t>
  </si>
  <si>
    <t>SB662</t>
  </si>
  <si>
    <t>KAUSWAGAN NATIONAL HIGHWAY CDO</t>
  </si>
  <si>
    <t>BOH, FOH</t>
  </si>
  <si>
    <t>AWP</t>
  </si>
  <si>
    <t xml:space="preserve"> All IT devices - no power due to power outage</t>
  </si>
  <si>
    <t>8/7 Checked UPS, screen shows no load but has output voltage.
- Tested the UPS wall outlet, no power.
- Tested normal wall outlet, has power.
- Reconnected all devices to normal outlet.
- All devices are now up and running.
- Tested the input and output of UPS device, all ports are good.
- Re-socket the UPS Wall outlet line to the UPS device. UPS wall outlet still has no power.
- Complied with the request to check zoom timer as monitored offline.
- Restarted zoom timer and requested dashboard checking. Zoom timer is up, confirmed by RCOC.
- Observed transactions.
- Store is operational but devices are currently connected to normal power outlet.</t>
  </si>
  <si>
    <t>Reconnected all devices to normal outlet</t>
  </si>
  <si>
    <t>Mark Adam Galamiton</t>
  </si>
  <si>
    <t>Ivanne Lingad</t>
  </si>
  <si>
    <t>FSBP00120576</t>
  </si>
  <si>
    <t>SB433</t>
  </si>
  <si>
    <t>SM CITY EAST ORTIGAS</t>
  </si>
  <si>
    <t>BOS Monitor</t>
  </si>
  <si>
    <t>M93p</t>
  </si>
  <si>
    <t xml:space="preserve">BOS cannot remote through VNC, TV and Remote Desktop Connection but Pingable
</t>
  </si>
  <si>
    <t xml:space="preserve">8/7- -Upon arrival, checked BOS is up
-Tried to connect, unable to connect
-Advised MOD that there will be downtime for 3-5 mins she agreed
-Restart BOS
-BOS is now able to connect
-Ping for 30 mins stable
-Advised Sir Vince to connect, and he acknowledged
-Standby for 30 mins
-Work done
</t>
  </si>
  <si>
    <t>Restarted BOS to restore connectivity.</t>
  </si>
  <si>
    <t>Jaca Eliora Amagsun</t>
  </si>
  <si>
    <t>FSBP00120579</t>
  </si>
  <si>
    <t>SB650</t>
  </si>
  <si>
    <t xml:space="preserve"> SM DAVAO EXPANSION</t>
  </si>
  <si>
    <t>M70Q</t>
  </si>
  <si>
    <t>GM0WLQ1</t>
  </si>
  <si>
    <t xml:space="preserve"> MWS Excel files—loading/error when opening all excel files (error not yet mentioned)</t>
  </si>
  <si>
    <t>8/7 - Upon arrival, coordinate with MOD regarding the issue
- wait for the call from the MOD before we proceed
- upon checking the Excel file, working with another filename
- The file contains with link that causes the Excel file to still be loading.
- Perform upgrade file version, still not open.
- Sign in to Microsoft Excel is still loading when opening a file.
- Reinstall MS Office 2016
- Perform the end task and open another Excel to bypass and open the file with external links temporarily.
- Can't edit the file, protected.
- For reimage for further isolation.</t>
  </si>
  <si>
    <t>Rescheduled for Re-imaging | FE tools in transit aircargo ETD 08/12</t>
  </si>
  <si>
    <t xml:space="preserve"> Rex John Mongcal</t>
  </si>
  <si>
    <t>Arvin Cabuenas</t>
  </si>
  <si>
    <t xml:space="preserve">FSBP00120324 </t>
  </si>
  <si>
    <t>SB344</t>
  </si>
  <si>
    <t>ROBINSON’S PLACE ILOILO</t>
  </si>
  <si>
    <t>41NY916</t>
  </si>
  <si>
    <t xml:space="preserve">POS B - encountering RTO after Trends replaced the Meraki device during PM activity
</t>
  </si>
  <si>
    <t>8/12 - Upon arrival coordinated with MOD. 
- Waited for the assigned personnel of trends for an hour. 
- Checked POS B and has no connection. Tried all the isolation needed. 
- Pinged POS B to BOS and has RTO. POS B showed 10mbps only. 
- Recrimped end to end multiple times and tried also to change the color coding of cable as per sir Rico to have atleast connection but still same problem has no connection in POS B. 
- Finding extra cable for POS B and has extra cable.
- Traced the cable using tone tracer if connected. 
- Found out the spare cable of POS B but has tagged as mall admin and it is connected to BOS. 
- Tried to plugged out the POS B spare cable and connect to MX meraki port 6. 
- Plugged in also the spare cable of POS B. POS B is now up. 
- Before leaving the store MOD said that POS A has down. Tried to isolate POS A. 
- Perform end to end test and cable is good. 
- Sir Bryan advise to isolate port 5 of meraki using laptop. I connected my extra cable from port 5 of meraki to laptop and config the IP details that sir Bryan has given. Tested ok. 
- Sir Bryan advised that the possible problem is the POS A. 
- MOD also said that there will be an activity for tomorrow for the side of trends and facilities for the in-house wiring and replacement of cables for POS. As per MOD Zachie Chiu.
Final Resolution: Recrimped end to end multiple times and tried also to change the color coding of cable as per sir Rico to atleast have a connection but still same problem has no connection in POS B. Finding extra cable for POS B and has extra cable. Traced the cable if it's connected end to end. Found out the extra cable of POS B. Connect the spare cable of POS B to port 6 of meraki. POS B is now up. Showed only 10mbps because it has coupler.</t>
  </si>
  <si>
    <t xml:space="preserve"> Recrimped. Connect the spare cable of POS B to port 6 of Meraki</t>
  </si>
  <si>
    <t>Zachie Chiu</t>
  </si>
  <si>
    <t>Pass</t>
  </si>
  <si>
    <t>FSBP00119819</t>
  </si>
  <si>
    <t>POS B printer keeps malfunctioning. Error message shows "OPOS_E_NOTCLAIME. Exclusive-use device is not claimed" (DEPLOY SU PRINTER AS PER SIR VINCE)</t>
  </si>
  <si>
    <t>8/9 - Coordinate with MOD
- Unplug power cord and usb cable from installed printer and plug into the newly installed service unit printer
- Coordinate with PASI possible error (no error)
- Testing by MOD (ok)
- Endorsed to MOD Gail the defective printer, labeled "for heritage warranty claim"
- Work done</t>
  </si>
  <si>
    <t>deployed SU printer</t>
  </si>
  <si>
    <t xml:space="preserve"> PP72105</t>
  </si>
  <si>
    <t xml:space="preserve">PP0C0210 </t>
  </si>
  <si>
    <t>11:;06 am</t>
  </si>
  <si>
    <t>Gail Lagadia</t>
  </si>
  <si>
    <t>FSBP00120740</t>
  </si>
  <si>
    <t>SB206</t>
  </si>
  <si>
    <t>GATEWAY CENTER - UPPER GROUND FLOOR</t>
  </si>
  <si>
    <t xml:space="preserve"> POS A: Barcode Scanner - Unable to scan</t>
  </si>
  <si>
    <t>8/9 - Check POS A Scanner; loose cable
- Waited for replacement
- Replace defective POS Scanner Honeywell
- Tested multiple times; OK
- Work done</t>
  </si>
  <si>
    <t>Replace the new POS scanner</t>
  </si>
  <si>
    <t>Bianca Basilio</t>
  </si>
  <si>
    <t>FSBP00120651</t>
  </si>
  <si>
    <t>PP050236</t>
  </si>
  <si>
    <t>POS A printer - not dispensing receipt and some wires with spark sound underneath</t>
  </si>
  <si>
    <t>8/10 - Upon arrival coordinate to MOD for POS A Printer checking
- Upon arrival printer is not Up/Working
- Check power source
- Found adapter is not plug in
- Adapter is ok
- Test print; sensor failed to detect receipt
- Intermittent sensor problem
- Check printer; no paper jammed found
- Clean sensor and roller
- Test print; printing but stuttering
- Spark sounds likely comes from the printer itself
- Replace printer
- Test self print; ok
- Test print thru OPOS; ok
- Verify to MOD; ok
- Work done</t>
  </si>
  <si>
    <t>deployed SU printer (still verifyin printer warramty)</t>
  </si>
  <si>
    <t>PP0C0223</t>
  </si>
  <si>
    <t>Dwin</t>
  </si>
  <si>
    <t>FSBP00120556</t>
  </si>
  <si>
    <t>SB350</t>
  </si>
  <si>
    <t>EUGENIO LOPEZ DR COR SCT TUAZON ST</t>
  </si>
  <si>
    <t>PC0D6YYU</t>
  </si>
  <si>
    <t xml:space="preserve"> BOS - 78% HDD health (raise via GC during PM)</t>
  </si>
  <si>
    <t>8/11 - Upon arrival, waited for store closing, partners posting sales on DynamicsNAV
- Start activity; slave new HDD and let PASI create backup
- Install new HDD to primary and slave old HDD
- Check and change IP config, computer name, domain
- Test by PASI; OK</t>
  </si>
  <si>
    <t xml:space="preserve">Install new HDD to primary </t>
  </si>
  <si>
    <t xml:space="preserve">ZN1WY67H </t>
  </si>
  <si>
    <t>Z9A30APX</t>
  </si>
  <si>
    <t xml:space="preserve"> Lynn Cruz</t>
  </si>
  <si>
    <t xml:space="preserve"> FSBP00120800</t>
  </si>
  <si>
    <t>SB450</t>
  </si>
  <si>
    <t>ROBINSONS PLACE MANILA ATRIUM</t>
  </si>
  <si>
    <t>Toshiba</t>
  </si>
  <si>
    <t>41PV939 | 41PV985</t>
  </si>
  <si>
    <t>POS A and POS B - connection to server error</t>
  </si>
  <si>
    <t>8/11 - Upon arrival, coordinated with mod
-Checked both POS upon arrival; good, connected to LS Nav
-Check POS A and B found a 100Mbps connection only
-Re-crimp both POS LAN cables; good
-Check both POS connections; good, 1.0Gbps
-Ping BOS server; good, stable, and pingable
-Ping Google; good, stable, and pingable
-Checked MWS; good, 1.0Gbps connection
-Checked BOS; good, 1.0Gbps connection
-Performed a standalone test on the Primary internet; good, fast
-Observed for a while; sudden loss of connection
-Checked BOS; found 100% disk usage at random times every 20-30 minutes, also memory usage stuck to 87% -  90%
-Coordinated with RCOC tech regarding the issue
-BOS appears to be 100mbps in the Meraki dashboard, even if it's 1.0Gbps in adapter settings
-Asked MOD if I can re-crimp BOS LAN cable; as per MOD, can only continue after 10 pm onwards (store closing time)
-Work done</t>
  </si>
  <si>
    <t>Recrimped POS A and B LAN cables</t>
  </si>
  <si>
    <t xml:space="preserve">Francisco T. Sevilla III
</t>
  </si>
  <si>
    <t>Kyle Manansala</t>
  </si>
  <si>
    <t>FSBP00120842</t>
  </si>
  <si>
    <t>SB302</t>
  </si>
  <si>
    <t>ABREEZA - LEVEL 1 - DAVAO CITY</t>
  </si>
  <si>
    <t>4852-E70| 4852-E70</t>
  </si>
  <si>
    <t>41MD019 | 41MD262</t>
  </si>
  <si>
    <t>Please assign an FE to check the connectivity of both POS A and POS B, as their IP addresses cannot be reached via ping.</t>
  </si>
  <si>
    <t>8/11 - Upon arrival, coordinate with MOD regarding the issue
- wait for the call from the MOD before we proceed
- Upon checking, ping  POS A and POS B are unreachable
- Replug and secure cables and LAN test cable; all cable areas connected, same unreachable issue.
- Re-crimp LAN cable, same issue: unreachable
- End-to-end test using LAN cable, ok
- Transfer directly to the Meraki router on ports 8 and 9. POS is reachable and working.
- POS A and B are now operational</t>
  </si>
  <si>
    <t>- Transfer POS A to port 8 and POS B to port 9</t>
  </si>
  <si>
    <t>Dea Pedroso</t>
  </si>
  <si>
    <t xml:space="preserve">FSBP00120856 </t>
  </si>
  <si>
    <t>SB575</t>
  </si>
  <si>
    <t>SHOPS AT AYALA TRIANGLE GARDENS</t>
  </si>
  <si>
    <t>CISCO</t>
  </si>
  <si>
    <t>MS210-24P</t>
  </si>
  <si>
    <t xml:space="preserve"> Q4AS-USL8-XLU6</t>
  </si>
  <si>
    <t>Meraki Switch Deployment, Network Device Proper Installation and Cable Fixing (August 11, 2025 11pm-3am)</t>
  </si>
  <si>
    <t>8/11 - Upon arrival, Trends setup 24 switch
-Plugged POS, Labeler and AP in 24 switch.
-After plugged all. Fix lan cable using Cable tie.
-Ping and test POS, Labeler and AP stable.
-MOD tested all; good
-MOD reported that Mastrena 1 and the Pastry label are not working. They already reported it.
-Work done</t>
  </si>
  <si>
    <t>Plugged POS, Labeler and AP in 24 switch</t>
  </si>
  <si>
    <t xml:space="preserve"> Sandro Labalan</t>
  </si>
  <si>
    <t>Lee Osmeña</t>
  </si>
  <si>
    <t>FSBP00120871</t>
  </si>
  <si>
    <t>OM55N-S</t>
  </si>
  <si>
    <t>0KHJHNQX600025J</t>
  </si>
  <si>
    <t xml:space="preserve"> Pre Menu board- Disconnected</t>
  </si>
  <si>
    <t>8/11 - Coordinated with MOD and the manager for the reported issue.
- Upon checking, one of the fan propellers is broken, and the adapter is disconnected from the power source.
- Reported to MOD/manager, advised to create a separate email to report to the proper vendor (OOS).
- Checked LAN connected to LAN OUT, not on LAN IN, re-socketed LAN port to LAN IN, pre-menu IP is now pingable.
- For confirmation of RCOC.
- Ticket closed.</t>
  </si>
  <si>
    <t>re-socketed LAN port to LAN IN</t>
  </si>
  <si>
    <t>Nina Dacanayan</t>
  </si>
  <si>
    <t>FSBP00120314</t>
  </si>
  <si>
    <t>ThinkCentre M910S</t>
  </si>
  <si>
    <t>PC0QW7TC</t>
  </si>
  <si>
    <t xml:space="preserve"> BOS TeamViewer - online but unable to remote</t>
  </si>
  <si>
    <t>8/11  Upon arrival coordinated with MOD. Checked the BOS and it's up. Logged in to BOS. Tried team viewer multiple times and can't remote by PASI. Decided to install new team viewer. Team viewer now has been remote.</t>
  </si>
  <si>
    <t>Installed new team viewer</t>
  </si>
  <si>
    <t xml:space="preserve"> Ralph Christian Montoyo</t>
  </si>
  <si>
    <t>Ruth Miravelles Banesio</t>
  </si>
  <si>
    <t>FSBP00120892</t>
  </si>
  <si>
    <t>8/12 - Waiting for parts.
- Upon arrival, waiting for go signal by SM.
- Replaced new system unit.
- Slave old HDD then transfer all important files.
- Remote by PASI
- Change computer name, IP, hostfile, Domain.
- Checked by SM new MWS files; okay.
- Pulled out MWS old system unit
- Work done</t>
  </si>
  <si>
    <t>MWS System Unit Replacement</t>
  </si>
  <si>
    <t>MWS Unit</t>
  </si>
  <si>
    <t>PC0JRPSU</t>
  </si>
  <si>
    <t>Pau Panganiban</t>
  </si>
  <si>
    <t xml:space="preserve">FSBP00120869 </t>
  </si>
  <si>
    <t xml:space="preserve"> [JV] POS B for checking connectivity</t>
  </si>
  <si>
    <t>FSBP00120926</t>
  </si>
  <si>
    <t>SB311</t>
  </si>
  <si>
    <t>PAVILION MALL - BINAN</t>
  </si>
  <si>
    <t>Setup Tablet</t>
  </si>
  <si>
    <t>Learning Tablet</t>
  </si>
  <si>
    <t>Store Tablet</t>
  </si>
  <si>
    <t>TB-X306X</t>
  </si>
  <si>
    <t>HA1PFV2Z</t>
  </si>
  <si>
    <t>Tablet for factory reset</t>
  </si>
  <si>
    <t>8/12 - Checked the serial of the device.
- Confirmed the device is on stock setup and not using the right configuration.
- Performed hard reset.
- Waited for app download to finish.
- Configured and setup apps.
- TeamViewer cannot be installed, tried through intune and manual download.
- Complied with tech support and performed 2nd hard reset.
- Checked if TeamViewer will be installed. TV was installed successfully.
- Configured and setup all apps again.
- Confirmed with the MOD, authenticator access is on another tablet.
- Requested MAC binding and Compliance checking.</t>
  </si>
  <si>
    <t>Performed factory reset, setup, and config.</t>
  </si>
  <si>
    <t>Erick Barbosa</t>
  </si>
  <si>
    <t>FSBP00120930</t>
  </si>
  <si>
    <t>SB303</t>
  </si>
  <si>
    <t>FOUR/NEO - BONIFACIO GLOBAL CITY</t>
  </si>
  <si>
    <t>PPN72126</t>
  </si>
  <si>
    <t>POS B printer - won't print</t>
  </si>
  <si>
    <t>8/12 - Coordinate with MOD
- Printer has no power
- Check outlet; good
- Check power cable of the printer; not good
- Power adapter has no power
- Waiting for parts
- Install new power adapter and power cable
- Test multiple times
- Pull out defective adapter
- MOD acknowledge printer is now working
- Work done</t>
  </si>
  <si>
    <t>install new printer poosiflex adapter</t>
  </si>
  <si>
    <t>DPO9BK2NG65</t>
  </si>
  <si>
    <t>DPN5BK2256</t>
  </si>
  <si>
    <t>Leila Soledad</t>
  </si>
  <si>
    <t>FSBP00120838</t>
  </si>
  <si>
    <t>SB274</t>
  </si>
  <si>
    <t>MARQUEE MALL - STREET MALL - LEVEL 1</t>
  </si>
  <si>
    <t>POS B Drawer 1</t>
  </si>
  <si>
    <t>POS B Drawer 1 - Won't open</t>
  </si>
  <si>
    <t>8/12 - coor to asset for shippment of parts today
8/13 - Upon arrival, coordinate with MOD regarding the issue of Cash Drawer 1 won't open. 
- Found the problem cash drawer is not working and damage front cover. 
- Conduct Replacement new cash drawer for POS B drawer 1
- Update the driver and testing to OPOS Manager. 
- MOD witness the POS B cash drawer 1 and 2 is properly working.
- Pull out Defective Cash Drawer for POS B drawer 1
- Ticket Close</t>
  </si>
  <si>
    <t>Replacement of Cash Drawer for POS B drawer 1</t>
  </si>
  <si>
    <t>Angelie Mae Ramos</t>
  </si>
  <si>
    <t>FSBP00120991</t>
  </si>
  <si>
    <t>Log in issue</t>
  </si>
  <si>
    <t>VB02207F01259</t>
  </si>
  <si>
    <t>MOP Sunmi Device - unable to proceed to log in * (SUNMI	V2	VB02208H00984)</t>
  </si>
  <si>
    <t>8/13 - Checked the serial number of device. Reported device not matched with the store device.
- MOD confirmed that the device is the only MOP of the store.
- MOP on low battery status.
- Charged the MOP and waited for operational battery percentage.
- Tested MOP connectivity thru hotspot; Good.
- Removed all WiFi connection to MOP except SB delivery.
- Connected the MOP to starbucks delivery WiFi.
- Conducted checking thru POS Steward.
- Re-installed Starbucks Barista App due logging out.
- Requested for MAC binding and observed.
- MOP successfully logged in and connectivity is ok.</t>
  </si>
  <si>
    <t>Connect MOP to SB delivery only</t>
  </si>
  <si>
    <t>Clarisse Galelia</t>
  </si>
  <si>
    <t xml:space="preserve"> MWS Excel files—loading/error when opening all excel files (error not yet mentioned) - Scheduled Reimage</t>
  </si>
  <si>
    <t>8/13 - Upon arrival, coordinate  MOD regarding issue
- wait for the call from the MOD before we proceed
- Perform Back up all users file.
- Save IP configuration
- Save Computer name and domain
- Backup Hosts file
- Proceed reimage MWS
- Input Configure IP address
- Install Printer Driver.
- Change Computer name
- Restore all back up file in user
- Check Excel application and check if file and its is working no lag.
- Re domain MWS
- Check with MOD if files are complete</t>
  </si>
  <si>
    <t>reimaged MWS</t>
  </si>
  <si>
    <t xml:space="preserve">FSBP00121069 </t>
  </si>
  <si>
    <t>SB559</t>
  </si>
  <si>
    <t>ETON CITY SQUARE (DTE)</t>
  </si>
  <si>
    <t>0880HNQRC00002K</t>
  </si>
  <si>
    <t>Pre Menu Disconnected</t>
  </si>
  <si>
    <t>8/13 - Upon arrival coordinate to MOD for checking of Pre menu
- Check cisco 24 switch if Pre menu port has light indication. Found pre menu port has no light
- Ping pre menu thru BOS. Unreachable
- Check pre menu cable in DT using tone tracer; undetectable
- Test the spare cable of pre menu using tone tracer; detectable
- Found that the plug in lan cable of pre menu in 24 switch is the spare cable of pre menu
- Plug in spare cable of pre menu
- Test ping; reachable
- Coordinate to RCOC Sir Vince for dashboard checking. Status is connected
- Verify to MOD
- Work done</t>
  </si>
  <si>
    <t>Plug in the spare lan cable of pre menu</t>
  </si>
  <si>
    <t>Vernon Diamante</t>
  </si>
  <si>
    <t>FSBP00121032</t>
  </si>
  <si>
    <t>SB359</t>
  </si>
  <si>
    <t>8 FORBESTOWN - GF - BGC</t>
  </si>
  <si>
    <t>PC0QW7TK</t>
  </si>
  <si>
    <t>Request for new MWS due to slow and was installed last 2019</t>
  </si>
  <si>
    <t>8/13 - Coordinated with the MOD.
- Conducted HDD health check. HDD at 100% health and no problem found.
- Performed OS scan and driver update.
- Conducted MWS Testing, MWS is responsive.
- Performed stress test. MWS runs smooth even when multiple files/applications are opened.
- According to the MOD, the main problem is jet report taking a long time to generate.
- Raised the problem to PASI and RCOC.
- According to PASI, specific reports takes a long time to generate and it is normal since it involves computation.
- MWS only lags when using jet report.
- Removed temp files and observed.</t>
  </si>
  <si>
    <t>Performed general checking. MWS is working.</t>
  </si>
  <si>
    <t>Franz Go</t>
  </si>
  <si>
    <t xml:space="preserve">FSBP00120928 </t>
  </si>
  <si>
    <t>SB141</t>
  </si>
  <si>
    <t>BAYVIEW PARK HOTEL</t>
  </si>
  <si>
    <t>EB-35019B4J6H-2B</t>
  </si>
  <si>
    <t>POS A drawer 2 - won't open</t>
  </si>
  <si>
    <t>8/13 - Upon arrival, checked C. Drawer unable to open automatically
- Keys is good
- Checked Connection of C. Drawer is good
- Checked Latch assembly noticed there’s a paper stuck
- After taking the paper C. Drawer is now automatically
- Tested by MOD; good
- Advised them to careful to put papers in C. Drawer there’s a tendency to stuck
- Work done</t>
  </si>
  <si>
    <t>Checked Latch assembly - removed stuck paper</t>
  </si>
  <si>
    <t>Jericho Delavin</t>
  </si>
  <si>
    <t xml:space="preserve">FSBP00121066 </t>
  </si>
  <si>
    <t>41-LH351</t>
  </si>
  <si>
    <t>POS A - Loose lan cable that cause no service tier</t>
  </si>
  <si>
    <t>8/13 - Upon arrival, checked POS A LAN has light
-Re-crimp end to end, still no internet
-Testing of LAN cable is good
-Advised Sir Bryan, and he said no connection in Meraki
-Tried all ports, still no internet
-Sir Brent advised that we will revisit for checking of the MOBO and tailgate
-For revisit</t>
  </si>
  <si>
    <t>awaiting the replacement parts for the MOBO and tailgate (replaced 08/18)</t>
  </si>
  <si>
    <t>Abby Coinel</t>
  </si>
  <si>
    <t xml:space="preserve">FSBP00121065 </t>
  </si>
  <si>
    <t>41-LH0914</t>
  </si>
  <si>
    <t>POS A &amp; B - Both POS automatically exit from LS NAV and error encountered "The service net error" and "The connection has been lost"</t>
  </si>
  <si>
    <t xml:space="preserve">8/13 - Upon arrival, both POS are operating 
- Random RTO on ping test
- Re-socket both POS 
- Test ping again; now stable ping 
- Ping test all devices; all good and stable
- Observe for 30mins for possible errors; none. 
- Work done
</t>
  </si>
  <si>
    <t>- Re-socket both LAN cables</t>
  </si>
  <si>
    <t>Patricia Marie Canda</t>
  </si>
  <si>
    <t>FSBP00121118</t>
  </si>
  <si>
    <t xml:space="preserve">	
4852-E70</t>
  </si>
  <si>
    <t>41NW159</t>
  </si>
  <si>
    <t>POS A - encountered RTO</t>
  </si>
  <si>
    <t xml:space="preserve">8/14- - Check POS A; No service tier
- Check LAN cable; not working
- Crimp LAN cable; random RTOs
- Re-crimp several times
- Observe POS; OK
</t>
  </si>
  <si>
    <t>Re-crimp LAN cable</t>
  </si>
  <si>
    <t xml:space="preserve"> Emman Tan</t>
  </si>
  <si>
    <t>Marvin Lacerna</t>
  </si>
  <si>
    <t>FSBP00121125</t>
  </si>
  <si>
    <t>KSHC0058</t>
  </si>
  <si>
    <t>POS A - the server is either unavailable or connection has been lost error</t>
  </si>
  <si>
    <t>8/14 - Check POS A; disconnected from the network
- Check the LAN cable; not working
- Crimp LAN cable; random RTOs
- Re-crimp several times
- Observe POS; OK
- POS A is now fully operational
- Work done</t>
  </si>
  <si>
    <t>Steph Mendoza</t>
  </si>
  <si>
    <t>FSBP00121148</t>
  </si>
  <si>
    <t>SB381</t>
  </si>
  <si>
    <t>SOLENAD 3 - NUVALI</t>
  </si>
  <si>
    <t>4610-1NR</t>
  </si>
  <si>
    <t>41179P5</t>
  </si>
  <si>
    <t xml:space="preserve">POS B Red Light indicator
</t>
  </si>
  <si>
    <t>8/14 - Upon Arrival, POS B printer is working and operational.
-As per MOD, they already fixed the problem. The printer was not closed with the top cover properly after changing paper caused of red blinking error.
-secured also the printer cables.
-work done</t>
  </si>
  <si>
    <t>c/o Glen-Store fixed the problem upon arrival, secured printer cables.</t>
  </si>
  <si>
    <t>Leandro Mopera</t>
  </si>
  <si>
    <t>FSBP00121113</t>
  </si>
  <si>
    <t>SB249</t>
  </si>
  <si>
    <t xml:space="preserve"> WORLD CENTER BLDG. - HV DELA COSTA ST.</t>
  </si>
  <si>
    <t>TM-L90</t>
  </si>
  <si>
    <t>TPJF033542</t>
  </si>
  <si>
    <t>Epson labeler no power due to power adaptor water damage</t>
  </si>
  <si>
    <t>8/14 - Upon arrival, coordinate with MOD
-The Epson labeler has no power
-check outlet voltage; good
-The power adapter has no power or light
-proceed to replace
-install new adapter; good
-Epson labeler is now working and has power
-test print multiple times; good
-MOD acknowledges the Epson labeler is now working
-pull out defective adapter
-work done</t>
  </si>
  <si>
    <t xml:space="preserve"> Replace the new Epson adapter</t>
  </si>
  <si>
    <t>D4KF314C98</t>
  </si>
  <si>
    <t>D4KF30M5RW</t>
  </si>
  <si>
    <t>Russel Pulido</t>
  </si>
  <si>
    <t>FSBP00121108</t>
  </si>
  <si>
    <t>SIERRA VALLEY</t>
  </si>
  <si>
    <t>PP050270</t>
  </si>
  <si>
    <t>Drawer 1 won't open if there are coins and Drawer 2 won't open despite it was recently replaced last Jul-18 2025</t>
  </si>
  <si>
    <t>8/14 - Upon arrival, coordinate with MOD
-Found both drawers not opening, even without the cash tray
-Tried to pull the springs of both drawers
-Check the Y cable is properly connected, but still not opening
-For the replacement of the Motherboard of POS/Y cable
-Coordinate with MOD; they will provide the preferred date and time for the replacement of the motherboard
8/18 - HD Action: emailed: advise parts are avail, asking for store pref schedule
8/20 Upon arrival coordinate MOD
- Wait for the given time (2AM) before i proceed with the activity
- Upon checking all wires are good; Y cable is working no damage
- Proceed with Drawer 1; upon testing D1 is working fine even with heavy coins (Witness By MOD)
- Upon checking in Drawer 2; it's not totally working (Test OK!) in " OPOS MANAGER " but not opening (Only with click sound)
- Borrow other Cash Drawer (Working) from other POS test to Drawer2; working even with heavy coins
- Found Cash Drawer 2  is defective</t>
  </si>
  <si>
    <t>for replacement of def CD 2 (replaced 08/22)</t>
  </si>
  <si>
    <t>Andy Bobiles</t>
  </si>
  <si>
    <t>FSBP00121160</t>
  </si>
  <si>
    <t>SB228</t>
  </si>
  <si>
    <t>AYALA CENTER CEBU - LEVEL 4</t>
  </si>
  <si>
    <t>800 G4 SFF</t>
  </si>
  <si>
    <t>4CE9140KM9</t>
  </si>
  <si>
    <t xml:space="preserve"> MWS - no internet connection</t>
  </si>
  <si>
    <t>8/14 - Upon arrival, coordinate mod
- Checking of the primary internet is Globe
- perform standalone
- restart modem
- ping 8.8.8.8 still no internet
- coordinate team and Sir Brian reported to Globe
- Recommended for Globe Checking
- Proceed to Godan LTE checking
- standalone ping CMD no internet
- pull out the SIM card and insert to the cellphone, no signal and no internet
- Recommend for LTE replacement</t>
  </si>
  <si>
    <t>Godan LTE recommendation for replacement c/o Trends</t>
  </si>
  <si>
    <t xml:space="preserve"> Reynan Domecillo </t>
  </si>
  <si>
    <t>Jayson Salcedo</t>
  </si>
  <si>
    <t xml:space="preserve">FSBP00121224 </t>
  </si>
  <si>
    <t>SB116</t>
  </si>
  <si>
    <t xml:space="preserve"> PETRON SOUTH LUZON EXPRESSWAY</t>
  </si>
  <si>
    <t>41-376VY</t>
  </si>
  <si>
    <t>POS B Printer -Blurred print out</t>
  </si>
  <si>
    <t>8/15 - Upon arrival, coordinate with MOD for POS B printer checking
- Test print Toshiba 1nr, found blurred print
- Check Toshiba for cleaning
- Test print; still blurred print
- Proceed with migrating the TOSHIBA printer to the POSIFLEX printer
- Test self print of PP7900; test ok
- Download OPOS driver
- Test print through OPOS manager; ok
- Coordinate with PASI for configuration
PASI WORKLOGS
- Check Health Printer via Posiflex OPOS Manager - Ok
- Check Printer name in NAV - Ok
- Reopen LS NAV App - No Error
Next Step: For Testing by store partners
- Verify with MOD
- Work done</t>
  </si>
  <si>
    <t>Replace the Toshiba printer with a Posiflex printer</t>
  </si>
  <si>
    <t>PP0C0252</t>
  </si>
  <si>
    <t>Eunice Forro</t>
  </si>
  <si>
    <t>FSBP00121265</t>
  </si>
  <si>
    <t>111 PASEO DE ROXAS COR LEGAZPI</t>
  </si>
  <si>
    <t>Phone Deployment</t>
  </si>
  <si>
    <t>Landline/Phone</t>
  </si>
  <si>
    <t>REDMI</t>
  </si>
  <si>
    <t>23129RN51X</t>
  </si>
  <si>
    <t>53718/64XQ14202</t>
  </si>
  <si>
    <t>Deployment of Phone</t>
  </si>
  <si>
    <t>8/15 - Receive Smart Phone, setup &amp; test device.
- Turnover to Store manager,
- Confirmed by SM Device is working.</t>
  </si>
  <si>
    <t>deployed Globe Gplan phone</t>
  </si>
  <si>
    <t xml:space="preserve">FSBP00121266 </t>
  </si>
  <si>
    <t>2319RN</t>
  </si>
  <si>
    <t xml:space="preserve">53718/64XG14190
</t>
  </si>
  <si>
    <t>8/15- -Upon arrival, coordinate with MOD
-waiting for parts
-unboxing phone
-insert sim
-set up phone
-update phone
-call my number, SIM is working
-work done</t>
  </si>
  <si>
    <t xml:space="preserve">deploy and turn over the phone
</t>
  </si>
  <si>
    <t>Lovelyn Larraquel</t>
  </si>
  <si>
    <t>FSBP00120916</t>
  </si>
  <si>
    <t>PC0JRPT2</t>
  </si>
  <si>
    <t>BOS - Connection Speed in Meraki Dashboard 100mpbs and experiencing high utilization memory and hard disk</t>
  </si>
  <si>
    <t>8/12 - HD Action: provided list of FEs &amp; tools for the permit
8/13 - HD: ffup the status of the permit to SD
8/15 - Partners: sent approved permit
8/16-17 - Arrived at the store 22:00 pm, coordinated with the MOD regarding the incident.
- Slow printing of receipts often occurred as per SS.
- Upon checking the server, HDD disk usage was 1% to 10%.
- SQL server app consumed high memory usage fluctuate between 80% to 90%.
- The store currently has 8GB RAM
- Proceeded troubleshooting.
Hard disk troubleshooting:
1. Ran CMD "Chkdsk" - no bad sector was found.
2. Check Task Manager - HDD status ok, Memory high consumed.
3. RAM: SQL Server and NAV Server showed high process consumption
4. Downloaded the event viewer.
5. Ran Lenovo diags - all tests passed.
6. UPS power source - normal power 220V.
7. Open HDD sentinel - HDD health passed.
8. LAN speed 1GBPS - crimped both end of LAN. Dashboard status 1gbs as per Sir Bryan.
9. No hot swap function available in BIOS
10. Restart the BOS and POS
- After diagnostics RAM and HDD status were back to normal
- In case of recurrence, the next step would be adding new 8GB RAM.
Final Resolution:
- Troubleshooting was performed, and the BOS HDD high disk usage and RAM consumed returned to normal.</t>
  </si>
  <si>
    <t>Crimp end to end - reco to ram upgrade in case of recurrence</t>
  </si>
  <si>
    <t>Karl Joseph Almonte, Elvin Abella</t>
  </si>
  <si>
    <t>Dani Manansala</t>
  </si>
  <si>
    <t>FSBP00121326</t>
  </si>
  <si>
    <t>SB243</t>
  </si>
  <si>
    <t>MATALINO ST. TEACHER’S VILLAGE</t>
  </si>
  <si>
    <t>PPM83812</t>
  </si>
  <si>
    <t>POS A Printer - blurred print</t>
  </si>
  <si>
    <t>8/16 - Upon arrival, the store is busy; MOD advised to wait
- check printer; restart printer; clean thermal head; still blurred printer
- The printer is not covered by warranty
- No Thermal head available
- TSG advised that the printer is for replacement
- Wait for delivery
- Remove old printer
- Install new printer
- Install drivers
- Test print; good
- Test by MOD; good.
- Pull out the old printer.
- Work done</t>
  </si>
  <si>
    <t>Replaced new Posiflex printer</t>
  </si>
  <si>
    <t>Pos Printer</t>
  </si>
  <si>
    <t>PP0C0217</t>
  </si>
  <si>
    <t>JP Villia</t>
  </si>
  <si>
    <t>FSBP00121568</t>
  </si>
  <si>
    <t>HUAWEI</t>
  </si>
  <si>
    <t>AR617VW-LTER4EQ</t>
  </si>
  <si>
    <t>2S2340009989</t>
  </si>
  <si>
    <t>GLOBE INTERNET DOWN</t>
  </si>
  <si>
    <t>8/16-17 - As per checking of Sir Bryan Baniqued, Globe internet was down. 
- Entered the provided IP address, tested LAN port GE2, GE3 no internet detected. 
- Plugged in GE1, internet detected confirmed by Sir Bryan. 
- Performed speed test, Meraki dashboard globe internet was up.</t>
  </si>
  <si>
    <t>Plugged in GE1, internet detected confirmed by Sir Bryan</t>
  </si>
  <si>
    <t>FSBP00120978</t>
  </si>
  <si>
    <t>SB480</t>
  </si>
  <si>
    <t>CALOOCAN CITY HALL</t>
  </si>
  <si>
    <t>M910S</t>
  </si>
  <si>
    <t>PC0QW7U1</t>
  </si>
  <si>
    <t>MWS Backoffice User - All files missing from Backoffice User but able to view the file when using ASM User</t>
  </si>
  <si>
    <t>8/17 - Coordinated with the MOD, confirmed the reported issue.
- Critical error start menu problem, prompting the user to sign out.
- Restarted windows explorer, relogged in the user, reinstalled thru power shell. Same problem occurred.
- Files are able to load but cannot be viewed.
- Performed HDD health check, scan, and performance checking.
- Created new backoffice user.
- Transferred the files to new backoffice.
- Renamed the previous backoffice user to "old backoffice"
- Tested the login, files, and applications.
- Endorsed to MOD regarding the backup files in the old user and the login credentials.
- MOD checked if all files are backed up.
- MWS backoffice user status is now ok. Confirmed by the MOD.</t>
  </si>
  <si>
    <t>Create new backoffice user and transferred all files.</t>
  </si>
  <si>
    <t>Irish Bertillo</t>
  </si>
  <si>
    <t>FSBP00121387</t>
  </si>
  <si>
    <t>SB447</t>
  </si>
  <si>
    <t>BELMONT HOTEL MANILA</t>
  </si>
  <si>
    <t>Aura 7600</t>
  </si>
  <si>
    <t>PPM80727</t>
  </si>
  <si>
    <t>POS A Printer - No Power</t>
  </si>
  <si>
    <t>8/18 - -Upon arrival, checked POS A, no power
-Tried to plug into another outlet, still unable to power on
-The power cable and adapter is defective
-Waiting for parts
-Waiting for the customer to decrease due to peak hours
-Deliver and install parts
-Test printer is now up and working
-Tested by MOD: approved
-Work done</t>
  </si>
  <si>
    <t>- Replaced a new adapter and power cable</t>
  </si>
  <si>
    <t>Adapter , Power Cable</t>
  </si>
  <si>
    <t>DPO3DK2NQ71</t>
  </si>
  <si>
    <t>DPL1IK2G56</t>
  </si>
  <si>
    <t>6:00:00 PM , 7:00 PM</t>
  </si>
  <si>
    <t>6:40:00 PM , 7:30 PM</t>
  </si>
  <si>
    <t>Joy Pialago</t>
  </si>
  <si>
    <t xml:space="preserve">FSBP00121329 </t>
  </si>
  <si>
    <t>41PV985</t>
  </si>
  <si>
    <t xml:space="preserve">8/18  Check POS B; disconnected to network
- Check lan cable; not working
- Crimp lan cable; random RTOs
- Recrimp several times
- Observe POS; OK 
</t>
  </si>
  <si>
    <t xml:space="preserve"> Crimp lan cable</t>
  </si>
  <si>
    <t>RJ45</t>
  </si>
  <si>
    <t>8:56 PM, 12:00 AM</t>
  </si>
  <si>
    <t>11:00 PM, 9:00 AM</t>
  </si>
  <si>
    <t>Kim Balungan</t>
  </si>
  <si>
    <t xml:space="preserve">FSBP00121403 </t>
  </si>
  <si>
    <t>POS B Barcode Scanner</t>
  </si>
  <si>
    <t>7580G-2</t>
  </si>
  <si>
    <t>15154B124D</t>
  </si>
  <si>
    <t>POS B Barcode Scanner - Unresponsive/not working</t>
  </si>
  <si>
    <t>8/18 Check POS B Scanner; has light but unable to scan
- Replace defective POS Scanner Honeywell
- Tested multiple times; OK
- Work done</t>
  </si>
  <si>
    <t>replaced new barcode scanner</t>
  </si>
  <si>
    <t>15156B070D</t>
  </si>
  <si>
    <t>Lei Apostol</t>
  </si>
  <si>
    <t>FSBP00121402</t>
  </si>
  <si>
    <t>41-KY752</t>
  </si>
  <si>
    <t xml:space="preserve">POS A - Blue screen
</t>
  </si>
  <si>
    <t>8/18 - Upon arrival coordinate to MOD for POS A checking, found POS A black screen only
- Reseat cables and clean ram
- Tried to boot but still black screen
- Proceed reimaging of POS A; successful
- Check health of HDD thru HDD sentinel, found 84% health status of HDD
- Recommend for replacement of HDD
- While waiting, setup POS A for the meantime to be able to use by partners
- Advise MOD for replacement of HDD
- Waited for parts
- After parts received, proceed to replacing HDD
- Image HDD using bootable usb; successful
- Configure computer name, IP, and host file.
- Coordinate to PASI about HDD replacement
- Configure domain and Auto login
- Observe for 30mins
- Work done</t>
  </si>
  <si>
    <t>Replace POS A HDD</t>
  </si>
  <si>
    <t>WMAYPOJAHLJA</t>
  </si>
  <si>
    <t>ZA4B4Z2Z</t>
  </si>
  <si>
    <t>12:01 PM, 6:30 PM</t>
  </si>
  <si>
    <t>4:17 PM, 7:00 PM</t>
  </si>
  <si>
    <t>Jazz Larinay</t>
  </si>
  <si>
    <t>FSBP00121238</t>
  </si>
  <si>
    <t>SB463</t>
  </si>
  <si>
    <t>ETON CENTRIS WALK</t>
  </si>
  <si>
    <t>Drawer error</t>
  </si>
  <si>
    <t>POS A Drawer 1, POS A Drawer 2</t>
  </si>
  <si>
    <t>41MK261</t>
  </si>
  <si>
    <t>POS A drawer 1 and 2- When assigning the partners in drawer 2, drawer 1 keeps on opening instead, even though the partner is correctly assigned to Drawer 2 in NAV</t>
  </si>
  <si>
    <t xml:space="preserve">8/18 - Upon Arrival, coordinate to mod, check pos A , try to switch port, ask moe to test, fix the drawer assign, check opos toshiba config, both drawer good, work done
</t>
  </si>
  <si>
    <t xml:space="preserve"> switch cashdrawer port</t>
  </si>
  <si>
    <t>Garet Tagalongos</t>
  </si>
  <si>
    <t xml:space="preserve"> FSBP00121429</t>
  </si>
  <si>
    <t>SB234</t>
  </si>
  <si>
    <t>ALI MALL - UPPER GROUND FLOOR</t>
  </si>
  <si>
    <t>41NZ357</t>
  </si>
  <si>
    <t xml:space="preserve"> POS A- Auto Shutdown and blue screen error "000044 (0X8707D008, 0X00000EC0, 0X00000000, 0X00000000)"</t>
  </si>
  <si>
    <t>8/18 - Upon arrival coordinated with MOD
- POS A working but slow
- Checked POS A disk health; good, 100%
- Performed sfc /scannow; found errors
- Checked POS A RAM; found 2Gb RAM only
- Coordinated to asset regarding the issue
- Waited for the replacement HDD and RAM to arrive
- Received the items
- Setup and replaced the HDD and RAM
- Configured network settings
- Configured hosts
- Installed paymaya driver
- Coordinated to PASI for testing; good, confirmed by PASI
- Observed POS A for a while
- Work done</t>
  </si>
  <si>
    <t>Setup and replaced the HDD and RAM</t>
  </si>
  <si>
    <t>HDD, RAM</t>
  </si>
  <si>
    <t>WMAYP0J2EWLV, 78P2667</t>
  </si>
  <si>
    <t>Z9K4STD</t>
  </si>
  <si>
    <t>Gabriel Bulusan</t>
  </si>
  <si>
    <t xml:space="preserve">FSBP00121459 </t>
  </si>
  <si>
    <t>DT Menu C</t>
  </si>
  <si>
    <t>088XHNKM70029V</t>
  </si>
  <si>
    <t xml:space="preserve">disconnected LFD Panels - Menu C </t>
  </si>
  <si>
    <t>8/18 - Upon arrival coordinate with MOD
- Upon checking; Menu C has random RTO
- Crimp Panel side; observed for 30mins
- Ping test Menu C is now stable
- Confirmed by Sir Vince Menu C in the dashboard</t>
  </si>
  <si>
    <t>Crimp side of Menu Panel C and Reseat Port 12 in 24switch</t>
  </si>
  <si>
    <t>Karlane Dy</t>
  </si>
  <si>
    <t xml:space="preserve">FSBP00121461 </t>
  </si>
  <si>
    <t>Disconnected LFD Panels - Menu B</t>
  </si>
  <si>
    <t>8/18 - Upon arrival Meny B has display but destination host unreachable in ping test
- Check lan cable in Panel B; good.
- Lan cable in 24 switch is unplugged
- Plug in lan cable to port 16; Panel B now pingable
- Ping test; stable ping
- Confirmed by RCOC Sir Vince Panel B is now up
- Observe for 10mins for possible RTO; none. Work done</t>
  </si>
  <si>
    <t>Plug back the lan cable in port 16 of 24 switch</t>
  </si>
  <si>
    <t>Mark M.</t>
  </si>
  <si>
    <t xml:space="preserve">FSBP00121564 </t>
  </si>
  <si>
    <t>EG8021V5</t>
  </si>
  <si>
    <t>48575443A13E00AF</t>
  </si>
  <si>
    <t>Converge Internet Activation
Kindly deploy L2 support onsite today Aug 18, 2025, to activate converge fiber internet.</t>
  </si>
  <si>
    <t>8/18 - Standalone test converge; Input manual IP
- Ping test, trace route and speed test; good
- Terminate Converge to WAN 2
- Remove Smart LTE
- Confirm by RCOC WAN 2 is now up
- Pull out Smart LTE. Work done</t>
  </si>
  <si>
    <t>Terminate Converge to WAN 2 and pull out Smart LTE</t>
  </si>
  <si>
    <t xml:space="preserve">FSBP00121444 </t>
  </si>
  <si>
    <t>SB208</t>
  </si>
  <si>
    <t>515 SHAW</t>
  </si>
  <si>
    <t>EchoLife EG8041V5-10</t>
  </si>
  <si>
    <t>48575443505FDEAD</t>
  </si>
  <si>
    <t>Kindly deploy L2 support onsite today to activate Source Tel internet as primary connection of the store.
IP Details:
IP Address:
122.49.215.68
Subnet Mask:
255.255.255.248
Gateway IP:
122.49.215.65   
DNS/ ADNS:
203.82.32.66/8.8.8.8</t>
  </si>
  <si>
    <t>8/18 - Upon arrival, checked converge good
- Standalone test; stable
- Checked sourcetel internet no internet
- Tried other lan cable still no internet
- Coordinate with Sir Bryan and he advised that he will email sourcetel for join activity</t>
  </si>
  <si>
    <t>still no internet, Sir Bryan advised that he will email sourcetel for join activity</t>
  </si>
  <si>
    <t>Jhorge Pecson</t>
  </si>
  <si>
    <t xml:space="preserve">FSBP00121268 </t>
  </si>
  <si>
    <t>TV Offline</t>
  </si>
  <si>
    <t>BOS TeamViewer - Offline</t>
  </si>
  <si>
    <t>8/18 - Upon arrival coordinated with MOD. Advised the reported issue. 
- Proceed to back office and checked BOS. BOS status is up. 
- Logged in to BOS. 
- Take the Team Viewer details and send to PASI. 
- PASI remote both MWS and BOS. 
- BOS can be remote by PASI.</t>
  </si>
  <si>
    <t>Added team viewer to startup</t>
  </si>
  <si>
    <t>Ruth Miravalles Banesio</t>
  </si>
  <si>
    <t>FSBP00121269</t>
  </si>
  <si>
    <t>PC0QW7TV</t>
  </si>
  <si>
    <t>MWS TeamViewer - Offline</t>
  </si>
  <si>
    <t>8/18 - Upon checking MWS is up. 
- Advised PASI to check MWS Team viewer. 
- PASI checked MWS Team viewer and remote it. Status ok.</t>
  </si>
  <si>
    <t>FSBP00121445</t>
  </si>
  <si>
    <t>SB129</t>
  </si>
  <si>
    <t>ARANETA COLISEUM - ARANETA CENTER</t>
  </si>
  <si>
    <t>INFINIVAN</t>
  </si>
  <si>
    <t>WA120L</t>
  </si>
  <si>
    <t>4857544352399A87</t>
  </si>
  <si>
    <t>Infinivan Activaton AP Deployment</t>
  </si>
  <si>
    <t>8/19 - Upon arrival, locate infinivan modem
- Perform standalone test on personal laptop; OK
- Waited for lean time
- Terminate Infinivan to WAN1
- Tested on MWS; OK
- Pullout Smart LTE
- Locate old TP Link AP
- Replace old AP to Meraki AP
- Terminate Meraki AP to Port 11
- Meraki AP not powering on; test cable ok, test direct patch cord from MX to AP still no power
- Waited for configuration; sir Bryan from RCOC advised to pull out FE and just leave the Meraki AP device terminated at port 11 due to meraki migration and power cycle
Final Resolution:
- Infinivan now active
- Meraki AP for migration as per sir Bryan
- Work done</t>
  </si>
  <si>
    <t>Terminate Infinivan to WAN1 and pull out smart LTE</t>
  </si>
  <si>
    <t>2:11 PM, 12:00 AM</t>
  </si>
  <si>
    <t>11:59 PM, 9:00 AM</t>
  </si>
  <si>
    <t>Cryzel Plaza</t>
  </si>
  <si>
    <t>FSBP00121504</t>
  </si>
  <si>
    <t>SB324</t>
  </si>
  <si>
    <t>CALAMBA ROAD - TAGAYTAY</t>
  </si>
  <si>
    <t>41-LD605</t>
  </si>
  <si>
    <t>POS C - loose inner screw resulting unstable tilt and currently using cups to stabilize both POS monitor</t>
  </si>
  <si>
    <t>8/19 -upon arrival, Pos C tilt is unstable and currently using a cup.
-tighten vezel nuts using a 10mm wrench.
-pos C tilt is now stable.
-work done</t>
  </si>
  <si>
    <t>Tighten vezel nuts on Pos C.</t>
  </si>
  <si>
    <t>Justin Reyes</t>
  </si>
  <si>
    <t>FSBP00121524</t>
  </si>
  <si>
    <t xml:space="preserve">  41-PN409</t>
  </si>
  <si>
    <t>POS B - loose inner screw resulting unstable tilt and currently using cups to stabilize both POS monitor</t>
  </si>
  <si>
    <t>8/19 upon arrival, Pos B tilt is unstable and currently using a cup.
-tighten vezel nuts using a 10mm wrench.
-pos B tilt is now stable.
-work done.</t>
  </si>
  <si>
    <t>FSBP00121508</t>
  </si>
  <si>
    <t>Missing Parts</t>
  </si>
  <si>
    <t>POS C - no HDD Tray installed (discovered during PM activity)</t>
  </si>
  <si>
    <t>8/19 -Waiting for parts
-open pos C back cover and put HDD tray.
-work done.</t>
  </si>
  <si>
    <t>Installed HDD tray on Pos C.</t>
  </si>
  <si>
    <t>HDD Tray</t>
  </si>
  <si>
    <t xml:space="preserve"> Justin Reyes</t>
  </si>
  <si>
    <t>FSBP00121516</t>
  </si>
  <si>
    <t>SB367</t>
  </si>
  <si>
    <t>AVENUE SQUARE GARDEN UN AVE</t>
  </si>
  <si>
    <t>M92P</t>
  </si>
  <si>
    <t>PBN4XKP</t>
  </si>
  <si>
    <t>8/19 - Coordinate with MOD
- MOD said MWS has already internet
- Secure cables
- Check ethernet; good
- Work done</t>
  </si>
  <si>
    <t>Sen Etolle</t>
  </si>
  <si>
    <t>FSBP00121807</t>
  </si>
  <si>
    <t>41-NW290</t>
  </si>
  <si>
    <t>POS B HDD WITH BAD SECTOR</t>
  </si>
  <si>
    <t>8/19 - Complied with the request of the MOD to check POS B.
- Confirmed NAV is lagging.
- Checked status of HDD, health at 80% and has 13 bad sectors.
- Installed new HDD, and performed initial setup.
- Requested support from PASI for config of new HDD.
- Upon re-domain, POS encountered black screen and HDD not detected.
- Used and reimaged old HDD as temporary.
- Proceeded with the setup and config.
- Observed transactions.
- For replacement of HDD.</t>
  </si>
  <si>
    <t>reimaged old HDD</t>
  </si>
  <si>
    <t>12:30 PM, 8:50 PM</t>
  </si>
  <si>
    <t>4:23 PM, 9:50 PM</t>
  </si>
  <si>
    <t>FSBP00121541</t>
  </si>
  <si>
    <t>GLOBE</t>
  </si>
  <si>
    <t>2523C0001977y</t>
  </si>
  <si>
    <t xml:space="preserve">Globe Fiber Activation </t>
  </si>
  <si>
    <t>8/19 - Upon arrival, coordinate to globe, stand alone speed test
-  coordinated to sir bryan terminated to port 1 mx, check pos a and b, 1gbps but offline online payment
- check pldt, restart , standalone, have connection coordinate to sir bryan, terminated to port 2 mx,
-  check again the pos, now have online payment, observed 30 minutes , pullout smart LTE , work done</t>
  </si>
  <si>
    <t>Terminate globe to port 1 meraki mx, and pldt to port 2</t>
  </si>
  <si>
    <t>Bea Abaca</t>
  </si>
  <si>
    <t>FSBP00122068</t>
  </si>
  <si>
    <t>MR Deployment</t>
  </si>
  <si>
    <t>Meraki AP</t>
  </si>
  <si>
    <t>MR36-HW</t>
  </si>
  <si>
    <t>Q3KA-VDZV-WSAB</t>
  </si>
  <si>
    <t>deployed Meraki AP, but for migration as per sir Bryan</t>
  </si>
  <si>
    <t xml:space="preserve">FSBP00121528 </t>
  </si>
  <si>
    <t>ELITEDESK 800 G4</t>
  </si>
  <si>
    <t>4CE0181701</t>
  </si>
  <si>
    <t>BOS - reimage of Disk 0 hard drive</t>
  </si>
  <si>
    <t>8/19 - Upon arrival coordinate with MOD regarding the activity, told them that a manager needed to witness the activity; however, the MOD stated that no one was available to do so.
-The store said they will provide their preferred date and time for the activity.
8/20  Upon arrival wait for MOD to finish cash out
- Advised PASI to back up BOS
- Back up Ip and hosts file
- Remove old HDD
- Install new HDD
- Restore IP and hosts file and pc name
- Ask PASI to reconfigure BOS
- Wait PASI until finished
- Redomain BOS.
- Restart BOS.
- No MOD supervised.
- Pull out the old HDD. Work done
PASI Action Taken:
*Backup and Restore Database
*Config NAV and Jet Reports in MWS
*Config LS NAV on CAFE POS &amp; DT POS
Next Step:
*POS Testing c/o Store partners
*BOS Domain c/o RCOC or L2
*SQL Database Maintenance Plan c/o RCOC</t>
  </si>
  <si>
    <t>8/21 replaced new HDD</t>
  </si>
  <si>
    <t>Clark Fragata</t>
  </si>
  <si>
    <t>FSBP00121652</t>
  </si>
  <si>
    <t>SB558</t>
  </si>
  <si>
    <t>464 STO. ROSARIO</t>
  </si>
  <si>
    <t>KSJA0905</t>
  </si>
  <si>
    <t>POS A - No service error</t>
  </si>
  <si>
    <t>8/20 - Upon arrival coordinated with the MOD.
- Confirmed POS A encountered no service tier error due to an unidentified network.
- POS network has wrong IP configuration.
- Input correct static I.P.
- Recrimped end-to-end connection.
- Observed testing and transactions.
- POS A connectivity status is ok.</t>
  </si>
  <si>
    <t>Input correct I.P. and recrimped end-to-end connection.</t>
  </si>
  <si>
    <t>LJ Manalang</t>
  </si>
  <si>
    <t xml:space="preserve">FSBP00121699 </t>
  </si>
  <si>
    <t>SB163</t>
  </si>
  <si>
    <t>EASTWOOD CITY WALK</t>
  </si>
  <si>
    <t>Cisco</t>
  </si>
  <si>
    <t xml:space="preserve"> Q3KA-JYKW-ZGGM</t>
  </si>
  <si>
    <t>Meraki AP DOWN - cabling issue?</t>
  </si>
  <si>
    <t>8/20 - -Upon arrival, coordinated with mod
-AP is down upon arrival
-Checked Meraki port 11; found no light
-Recrimp LAN on the Meraki side; still has no light
-Recrimp LAN on AP side; good, has light, confirmed by Sir Bryan
-Performed speed test on Starbucks delivery: good, fast
-Performed speed test on Starbucks customer; good
-Performed speed test on RCOC partners using a MOD phone; good
-Observed for a while
-Work done</t>
  </si>
  <si>
    <t>Recrimp LAN on AP side</t>
  </si>
  <si>
    <t>Shane Ramirez</t>
  </si>
  <si>
    <t>Mall sending - Intermittent Connection from MWS to NAIA Mapdrive (10.145.151.180) - For replacement of Lan Cable</t>
  </si>
  <si>
    <t>8/19 - HD Action: ack but also requested a separate ticket for this act.
8/20 - -Upon arrival at NAIA, Pass control, waiting for the Store  Escort.
-Upon arrival at the Store, wait for the facilities team.
-Joint Visit with Mall IT &amp; Facilities.
-The facilities team performed a Mall sending Survey for laying down Cat6.
-The mall sending connection is currently from the Meraki switch to the store TPlink AP to NAIA TPlink AP.
-Mall IT suggested to direct the LAN cable from the Meraki switch to the NAIA server switch (bypassing the AP to AP).
-coordinated with Sir Vince &amp; Sir Clence.
-work done.</t>
  </si>
  <si>
    <t>Facilities team mall sending survey with Mall IT.</t>
  </si>
  <si>
    <t xml:space="preserve"> Glen Banania</t>
  </si>
  <si>
    <t>Miguel Bautista</t>
  </si>
  <si>
    <t xml:space="preserve">FSBP00121600 </t>
  </si>
  <si>
    <t>SB465</t>
  </si>
  <si>
    <t>HIGHPOINTE MEDICAL HUB</t>
  </si>
  <si>
    <t>41-MA749</t>
  </si>
  <si>
    <t>POS B - Bluescreen</t>
  </si>
  <si>
    <t>8/20 upon arrival coordinate with mod
-upon arrival pos-b is working
-check hd sentinel;good no bad sector
-check disk;good no bad sector
-check event viewer
-restart pos
-after restart pos suddenly blue screen and hang,
-waiting for parts
-install new hdd, but the problem insist
-waiting for parts
-install new mobo
-pos still hang and cannot boot up
-waiting for parts
-install ram and new power sata
-pos still hangs and cannot boot up
-cleaned pos properly
-pos suddenly working and bootup, but if whenever i plug in usb printer, cradle pay maya pos hang and won't boot again
-install all the old parts of the store hdd,tailgate,mobo,ram
-pos still unable to boot
-unplugged cradle usb cradle pay maya ; pos is started to boot
-test old parts of the store; pos is working still unplugged cradle of paymaya
-all new parts (pull out)
-observe for 30mns to 1hour in case of problem;occur
-pos is working but cash only
-advise mod to email pay maya immediately
-work done</t>
  </si>
  <si>
    <t xml:space="preserve">unplugged cradle pay maya </t>
  </si>
  <si>
    <t xml:space="preserve">1:19 PM, 3:04 PM, 7:34 PM, 9:50 PM, 12:00 AM </t>
  </si>
  <si>
    <t xml:space="preserve">2:30 PM, 4:45 PM, 8:50 PM, 10:50 PM, 1:00 AM </t>
  </si>
  <si>
    <t>dana lazelo</t>
  </si>
  <si>
    <t xml:space="preserve">FSBP00121893 </t>
  </si>
  <si>
    <t>Redmi A3</t>
  </si>
  <si>
    <t>A3</t>
  </si>
  <si>
    <t>54094/64T200673</t>
  </si>
  <si>
    <t>Globe Gplan for 520 Robinson Magnolia L1</t>
  </si>
  <si>
    <t>8/20 - - Upon arrival, coordinated with mod
- Waited for the phone to arrive
- Received the item
- Set up the phone
- Test inbound and outbound calls; good
- Performed speed test; good
- Turned over the phone to the store manager
- Work done</t>
  </si>
  <si>
    <t xml:space="preserve"> Deployed phone with Globe Gplan</t>
  </si>
  <si>
    <t>Christian Firmal</t>
  </si>
  <si>
    <t xml:space="preserve">FSBP00121819 </t>
  </si>
  <si>
    <t>SB675</t>
  </si>
  <si>
    <t>THREE CENTRAL</t>
  </si>
  <si>
    <t>DITO</t>
  </si>
  <si>
    <t>H155-381</t>
  </si>
  <si>
    <t>6MQ7S24524001602</t>
  </si>
  <si>
    <t>LTE Deployment (DITO LTE)</t>
  </si>
  <si>
    <t>8/20 - Asset for pick-up at SC</t>
  </si>
  <si>
    <t>Deployed DITO LTE to new store as sched AUG 22</t>
  </si>
  <si>
    <t>Brent Facturan</t>
  </si>
  <si>
    <t>FSBP00121822</t>
  </si>
  <si>
    <t>SB654</t>
  </si>
  <si>
    <t>SM CITY LA UNION</t>
  </si>
  <si>
    <t>6MQ7S24524001601</t>
  </si>
  <si>
    <t>Deployed DITO LTE to new store as sched AUG 23</t>
  </si>
  <si>
    <t xml:space="preserve">FSBP00121827 </t>
  </si>
  <si>
    <t>SB672</t>
  </si>
  <si>
    <t>GREENHILLS SOUTHWING</t>
  </si>
  <si>
    <t>GO-CYBERWI5</t>
  </si>
  <si>
    <t>LTE Deployment (Godan Globe Sim)</t>
  </si>
  <si>
    <t>Francis Sevilla</t>
  </si>
  <si>
    <t>FSBP00120449</t>
  </si>
  <si>
    <t>SB218</t>
  </si>
  <si>
    <t>ROBINSON'S CYBERGATE</t>
  </si>
  <si>
    <t xml:space="preserve">Lenovo </t>
  </si>
  <si>
    <t>PC03XJJB</t>
  </si>
  <si>
    <t>MWS Refresh</t>
  </si>
  <si>
    <t>8/20 - - Check MWS; perform check disk, no problems found on both disk C and D
- Open task manager to view process status; CPU and Disk usage are good, noticed RAM usage is high
- Advised to close Google Chrome if not in use due to Chrome's high-demand usage of memory
- Check for updates on Windows; install pending updates
- Reboot PC
- Test MWS, opened multiple tabs on Microsoft Edge and multiple Excel files; so far, no hanging or lagging
- As per MOD, they are encountering the hanging issue when multiple applications, like multiple Excel files, Google Chrome browser with multiple tabs, and PPTs, are all running at the same time. Advised MOD that if the problem still recurs, a request for an additional RAM stick will be a huge help for their MWS problem.
- Work done</t>
  </si>
  <si>
    <t>System optimized and updates applied; advised RAM upgrade if issue persists with heavy usage.</t>
  </si>
  <si>
    <t>James Senador</t>
  </si>
  <si>
    <t>FSBP00121675</t>
  </si>
  <si>
    <t>POS D Printer</t>
  </si>
  <si>
    <t xml:space="preserve"> PP7600X </t>
  </si>
  <si>
    <t>PPM80795</t>
  </si>
  <si>
    <t>POS D Printer - blurred print out and jamming that causes crumpled/compressed printing</t>
  </si>
  <si>
    <t>8/20 Upon arrival wait for delivery of thermal head sent by asset
- Advised Mod i will borrow printer for disassembly
- Disassemble printer; new thermal head is not same with current printer; wrong model was sent
- Also current printer has broken hook; printer is for replacement
- Advised team to send new printer
- Wait for delivery of new printer
- Sir emman delivered printer
- Uninstall old printer
- Install new printer
- Install drivers
- Test print; good
- Test by MOD; good.
- Pull out the old printer. Work done</t>
  </si>
  <si>
    <t>Install new printer &amp; drivers</t>
  </si>
  <si>
    <t>PRINTER</t>
  </si>
  <si>
    <t>PP0C0397</t>
  </si>
  <si>
    <t>Jerome Ferber / Emman tan</t>
  </si>
  <si>
    <t xml:space="preserve"> Ivanni Leonardo</t>
  </si>
  <si>
    <t>no email yet</t>
  </si>
  <si>
    <t>coretech GC</t>
  </si>
  <si>
    <t>FSBP00121853</t>
  </si>
  <si>
    <t>OKHJHNQY300022D</t>
  </si>
  <si>
    <t>MENU A DISCONNECTED</t>
  </si>
  <si>
    <t>8/20 - - Upon arrival coordinate mod
- Check panel A, panel is UP
- Crimp and test using a multitester both ends, test ok
- Ping on MWS
- Observe 20 minutes for possible, no RTO
- Coordinate RCOC sir Vince, confirmed panel A is up on dashboard
- Work done</t>
  </si>
  <si>
    <t>Recrimp end-to-end LAN cable</t>
  </si>
  <si>
    <t>Ram Abbu</t>
  </si>
  <si>
    <t xml:space="preserve">FSBP00121702 </t>
  </si>
  <si>
    <t>SB468</t>
  </si>
  <si>
    <t>MET LIVE MALL - PASAY CITY</t>
  </si>
  <si>
    <t>VB53227T20228</t>
  </si>
  <si>
    <t>MOP device - Not working or wont turn on</t>
  </si>
  <si>
    <t>8/20 - - Upon arrival, coordinate with MOD for MOP checking
- Found MOP device is up and working
- Physical check MOP device; good status
- Check and test charger port; good
- Verify with MOD
- Work done</t>
  </si>
  <si>
    <t>John Carlo Beley</t>
  </si>
  <si>
    <t>12:25 AM, 2:47 AM</t>
  </si>
  <si>
    <t>2:00 AM, 3:00 AM</t>
  </si>
  <si>
    <t>Jaime Santos</t>
  </si>
  <si>
    <t xml:space="preserve">FSBP00121723 </t>
  </si>
  <si>
    <t>SB667</t>
  </si>
  <si>
    <t>BRIDGETOWNE BLVD</t>
  </si>
  <si>
    <t>White screen</t>
  </si>
  <si>
    <t>Sunmi</t>
  </si>
  <si>
    <t>V3B0252C20275</t>
  </si>
  <si>
    <t>MO&amp;P loading only and white display</t>
  </si>
  <si>
    <t>8/20 - - Check MO&amp;P; unable to input location
- Reinstall app; no avail
- Factory reset device; still no avail
- Asked partners if MO&amp;P has been activated; no activation email received
- Advised partners that MO&amp;P is for activation and endorsement to the vendor through email
- MO&amp;P for activation
- Work done</t>
  </si>
  <si>
    <t>MO&amp;P is for activation and endorsement to the vendor through email</t>
  </si>
  <si>
    <t>Lorraine Bonafe</t>
  </si>
  <si>
    <t>FSBP00121713</t>
  </si>
  <si>
    <t>10A8-SOJ30Z</t>
  </si>
  <si>
    <t>PC03XJJS</t>
  </si>
  <si>
    <t>MWS Date and Time not updated</t>
  </si>
  <si>
    <t>8/20 - - check MWS, issue confirmed
- update date and time
- change IP
- coordinate with MOD if there's mall sending, as per MOD, there is no mall sending
- tried redo main MWS, rustancofee.ph can't reach
- Change computer name to MWS000271, same issue
- coordinate with RCOC, no response
- recommended to RCOC to domain MWS</t>
  </si>
  <si>
    <t>update date, time, and IP, recommended to RCOC to domain MWS</t>
  </si>
  <si>
    <t>Mark Angelo Depedro</t>
  </si>
  <si>
    <t>Alyesa Guzon</t>
  </si>
  <si>
    <t>FSBP00121774</t>
  </si>
  <si>
    <t>7JB1M24</t>
  </si>
  <si>
    <t xml:space="preserve">POS C RTO and 100MBPS
</t>
  </si>
  <si>
    <t>8/20 Upon arrival coordinated with MOD.
-Advised the reported issue.
-Proceed to back office and conducted Ipconfig/all and pinged test POS C to MWS it has shown destination host unreachable.
-Pinged test POS C to BOS status ok.
-Checked Ethernet status speed of POS C and it showed 1Gbps.
-Checked POS C and MWS firewall and all is off.
-Advised Pasi to ping test POS C to BOS and there was a RTO
-Reseat POS C Lan cable
-After Reseat advised Pasi to test again and there was no RTO found
-Continued ping test for 30 mins. Status is good.
-Work done.</t>
  </si>
  <si>
    <t>Reseat POS C Lan cable</t>
  </si>
  <si>
    <t>Hannah Mae Macasilhig</t>
  </si>
  <si>
    <t>FSBP00121855</t>
  </si>
  <si>
    <t xml:space="preserve">SHANGRI-LA PLAZA - LEVEL 1
</t>
  </si>
  <si>
    <t>TOSHIBA , TOSHIBA</t>
  </si>
  <si>
    <t xml:space="preserve"> 4852-E70 ,  4852-E70
</t>
  </si>
  <si>
    <t>41PN262 , 41PF629</t>
  </si>
  <si>
    <t xml:space="preserve">POS A &amp; B - Experiencing blue screen as encountered twice (x2) on both POS resulting to manual transactions
</t>
  </si>
  <si>
    <t>8/20 arrive at 21:30 stop time in 21: 45,
-  MOD concerned for pause the isolation due to  customer rush line but open up the problem encountered while serving customer, 
- bluescreen  encounter twice on  both pos A &amp; B
-  resume time in 10:45 after checking all connection conduct check desk both POS A &amp; B, no found error,
-  check ping test both no found RTO happened, both pos working normally, but POS B have problem, error found in MAYA Device
-  already restart POS B and MAYA Device but same problem, already endorse to MOD to report in MAYA team.</t>
  </si>
  <si>
    <t xml:space="preserve"> error message in MAYA Device c/o Maya</t>
  </si>
  <si>
    <t>Elvin Abella</t>
  </si>
  <si>
    <t>JHE ALONSANGAY</t>
  </si>
  <si>
    <t xml:space="preserve">FSBP00121954 </t>
  </si>
  <si>
    <t>SB460</t>
  </si>
  <si>
    <t>AYALA MALLS CLOVERLEAF</t>
  </si>
  <si>
    <t xml:space="preserve"> 41-MA848</t>
  </si>
  <si>
    <t xml:space="preserve"> POS B: HDD Health (issue encounter upon PM Activity)</t>
  </si>
  <si>
    <t xml:space="preserve">8/21  Waited for store closing
- Install new HDD with fresh image
- Unable to load OS; resulting in bluescreen, OS corrupted
- Waited for shipment of flashdrive for reimage
- Reimage new HDD of POS B
- Config IP add, install maya and posiflex drivers, change host name and domain, etc.
- DynamicsNAV configuration done by PASI
- Test POS; OK
</t>
  </si>
  <si>
    <t xml:space="preserve">Z995H2T2 </t>
  </si>
  <si>
    <t>WMAYP0FA5ZNY</t>
  </si>
  <si>
    <t xml:space="preserve"> Elton Tropel</t>
  </si>
  <si>
    <t>FSBP00121734</t>
  </si>
  <si>
    <t>SB507</t>
  </si>
  <si>
    <t>MAIN SQUARE</t>
  </si>
  <si>
    <t>KSHC0065</t>
  </si>
  <si>
    <t>8/21 - - Upon arrival, coordinate with MOD for POS A checking
- Found a blue screen error
- Tried running a disk check using Hiren’s, but it only scans the USB drive and doesn’t detect the HDD.
- Try to boot POS A, but the blue screen error persists
- Clean the disk through Hiren's using CMD
- Activate disk
- Proceed to reimaging
- Tried to boot POS A; successfully proceeded to Windows
- Check HDD health status; 100% health
- Configure computer name, IP, drivers, and hostfile
- Coordinate with PASI
- Set up autologin
- Tried to domain but account POSA507 &amp; POSA000507 already exist
- Wait for RCOC to delete the previous account
- Verify with MOD
- Work done</t>
  </si>
  <si>
    <t>Reimage POS A</t>
  </si>
  <si>
    <t>Cindy Batuyong</t>
  </si>
  <si>
    <t>FSBP00121952</t>
  </si>
  <si>
    <t xml:space="preserve">KS-7412P </t>
  </si>
  <si>
    <t>KSHC0031</t>
  </si>
  <si>
    <t xml:space="preserve">POS A - No Service Tier </t>
  </si>
  <si>
    <t>8/21 - - Upon arrival, informed MOD about the reported ticket.
- Checked the reported unit POS-A ethernet adapter was undetected, and upon checking the LAN cable was thorned out, need to crimp.
- Crimped both ends, Ethernet adapter displays 1Gbps.
- Checked port 5 Meraki dashboard, Sir Bryan confirmed ethernet status 1GBPS.
- Remoted VNC working, IP addresses were pingable, no RTO encountered.</t>
  </si>
  <si>
    <t>Crimped both ends, pingable for 30 minutes, Remoted through VNC.</t>
  </si>
  <si>
    <t>Jelli Mae Arcano</t>
  </si>
  <si>
    <t xml:space="preserve">FSBP00121976 </t>
  </si>
  <si>
    <t>LTE WAN 1, LTE WAN 2</t>
  </si>
  <si>
    <t>Converge , Globe</t>
  </si>
  <si>
    <t>F670L , HG8145X6-10</t>
  </si>
  <si>
    <t>ZTELQJNP2411423 , HWTC31092DB0</t>
  </si>
  <si>
    <t>Store Connection for checking</t>
  </si>
  <si>
    <t>8/21 -- -Upon arrival, checked Converge WAN 1, no internet
-Checked Wan 2 globe RED LOS
-Tried restarting, still no internet
-Trends arrived they checked the internet
-Plugged LAN cable to port 1 of Converge internet, and it is now up.
-Advised Sir Bryan and he acknowledged
-recommendation for globe checking
-Work done</t>
  </si>
  <si>
    <t>Plugged LAN cable to port 1 of Converge internet</t>
  </si>
  <si>
    <t>FSBP00122014</t>
  </si>
  <si>
    <t>RAM Upgrade</t>
  </si>
  <si>
    <t>Elite Desk 800 G4 SFF</t>
  </si>
  <si>
    <t>MWS RAM UPGRADE</t>
  </si>
  <si>
    <t>8/22 - -Upon arrival, coordinate with MOD
-waiting for parts
-check manager task; good
-mod tried to open multiple Excel and Chrome; good
-mod acknowledge MWS is now fast
-work done</t>
  </si>
  <si>
    <t>installed additional RAM</t>
  </si>
  <si>
    <t>RAM</t>
  </si>
  <si>
    <t>M378A1K43BB1-CPB</t>
  </si>
  <si>
    <t>2:25 PM, 4:50 PM</t>
  </si>
  <si>
    <t>4:23 PM, 5:50 PM</t>
  </si>
  <si>
    <t>Christian Firmalino</t>
  </si>
  <si>
    <t xml:space="preserve">FSBP00121991 </t>
  </si>
  <si>
    <t>41LD605</t>
  </si>
  <si>
    <t>POS C error : No Service Tier Available</t>
  </si>
  <si>
    <t>8/22 upon arrival, Pos C nonservice tier error.
-Pos C has patch cable to IO at cah drawer area. Tested patch cable using lan tester continous.
-tested lan cable from IO to meraki not continous (skipped no 6 led light)
-recrimp lan cable from IO still not continous (skipped no 6).
-findings IO problem for R3.
-connect patch cable for pos c to spare IO.
-pos C is now pingable.
-observe pos C operational.
-work done.</t>
  </si>
  <si>
    <t>connect lan cable of pos C to spare IO.</t>
  </si>
  <si>
    <t>Ronnel Rodrigues</t>
  </si>
  <si>
    <t xml:space="preserve"> FSBP00122005</t>
  </si>
  <si>
    <t>HA1Q6Q52(22)</t>
  </si>
  <si>
    <t>2nd Store Tablet - Returned to default</t>
  </si>
  <si>
    <t>8/22 - - Upon arrival, coordinated with MOD regarding the issue.
- Waited for the go signal to reset the tablet.
- Performed full configuration of all app settings.
- Tablet was reset successfully.
- Encountered configuration issues with SPConnect and RizePoint.
- Reached out to RCOC for assistance; experienced approximately one hour of waiting.
- Completed setup using the Authenticator.
- Authenticator now functioning correctly.</t>
  </si>
  <si>
    <t>reset and reconfigured tablet</t>
  </si>
  <si>
    <t>Claris Mae Limit</t>
  </si>
  <si>
    <t xml:space="preserve"> FSBP00122006</t>
  </si>
  <si>
    <t>SB602</t>
  </si>
  <si>
    <t xml:space="preserve">SHELL NLEX MEXICO </t>
  </si>
  <si>
    <t>Kindly assign FE to check POS C connection, as seen disconnected</t>
  </si>
  <si>
    <t>8/22 Upon Arrival, coordinate to MOD regarding the issue of POS C No Internet Connection
- Upon checking the POS C is working, But POS C Partner Camera is not functioning.
- Conduct IP Test Ping for POS C, and Content PC pingable and connected to network
- Advised to MOD to create ticket for ITI for POS C Partner Camera not function.
- All Network of POS C and Content PC are work done properly
- Ticket is Close</t>
  </si>
  <si>
    <t>Conduct IP Test Ping for POS C</t>
  </si>
  <si>
    <t>Cha Castro</t>
  </si>
  <si>
    <t>FSBP00122017</t>
  </si>
  <si>
    <t xml:space="preserve"> SIERRA VALLEY</t>
  </si>
  <si>
    <t>DT Menu Panel C - Monitored disconnected</t>
  </si>
  <si>
    <t>8/22 - - Upon arrival, coordinate with MOD
- Upon checking, Menu C has a random RTO
- Re-crimp Panel side; observe for 30 minutes
- Ping test Menu C is now stable</t>
  </si>
  <si>
    <t>Re-crimp both ends</t>
  </si>
  <si>
    <t xml:space="preserve"> Karlan Dy</t>
  </si>
  <si>
    <t xml:space="preserve">FSBP00120776 </t>
  </si>
  <si>
    <t>POS A drawer 2 - Won't open automatically</t>
  </si>
  <si>
    <t>8/23 - Upon arrival coordinate with MOD as per MOD cash drawer is working
- Locate and verify reported cash drawer; ensuring it matches the received serial number
- They said the cash drawer has been working fine since they opened the store (6:00AM)
- Check drawer; test multiple times- witness by MOD
- Stress test with heavy coins
- Secured cables of cash drawer</t>
  </si>
  <si>
    <t>NFT, secured cables of cash drawer</t>
  </si>
  <si>
    <t>Camz Bazar</t>
  </si>
  <si>
    <t xml:space="preserve">FSBP00122124 </t>
  </si>
  <si>
    <t>PC0D6Z0S</t>
  </si>
  <si>
    <t>BOS - monitored offline</t>
  </si>
  <si>
    <t>8/23 - Upon arrival, BOS is ON but no network connection/ unreachable.
- Check IP, okay
- Resocket BOS lan cable to Meraki and BOS same problem.
- Restart meraki &amp; BOS, BOS is now UP.
- Checked all devices are UP.
- POS A and B are now operational.
- Observed BOS.
- Work done.</t>
  </si>
  <si>
    <t>Restart Meraki &amp; BOS</t>
  </si>
  <si>
    <t>Nej Avecila</t>
  </si>
  <si>
    <t xml:space="preserve">FSBP00121914 </t>
  </si>
  <si>
    <t>SB386</t>
  </si>
  <si>
    <t>NEPO CENTER</t>
  </si>
  <si>
    <t>4852-E70`</t>
  </si>
  <si>
    <t>41-PN445</t>
  </si>
  <si>
    <t>POS B - Power button was stocked up and partner cannot turn it on</t>
  </si>
  <si>
    <t>8/23 - - Upon arrival, coordinate to MOD regarding the issue of power button stocked.
- Conduct troubleshooting, and open the front panel of POS B,
- Fix the problem of the power button,
- Also found out the Sata power cable is loose and damaged.
- Replace the power sata cable.
- MOD witness and testing the power button,
- Now properly working.
- Work done</t>
  </si>
  <si>
    <t>-Fix the Power Button
-Replace Sata Power Cable</t>
  </si>
  <si>
    <t>Shin Alvis</t>
  </si>
  <si>
    <t>FSBP00122160</t>
  </si>
  <si>
    <t>PP050292</t>
  </si>
  <si>
    <t>POS A Printer - OPOS_E_NOT CLAIMED error.</t>
  </si>
  <si>
    <t>8/23 - Upon arrival coordinated with mod
- POS A Printer is isolated upon arrival
- Setup POS A printer
- Test print; error
- Restart POS A
- Checked control panel; no printer found
- Checked cables; found cable not plugged properly
- Replugged printer cable; good
- Test print; good
- Reprint receipt; good, working
- Work done</t>
  </si>
  <si>
    <t>Replugged printer cable</t>
  </si>
  <si>
    <t>Mark Mabansag</t>
  </si>
  <si>
    <t>FSBP00122193</t>
  </si>
  <si>
    <t>SB656</t>
  </si>
  <si>
    <t>PETRON TPLEX SB</t>
  </si>
  <si>
    <t>Network offline</t>
  </si>
  <si>
    <t>MWS Monitor</t>
  </si>
  <si>
    <t>11GDPAR1WW</t>
  </si>
  <si>
    <t>V30AH4Y5</t>
  </si>
  <si>
    <t xml:space="preserve"> MWS TeamViewer - Monitored Offline</t>
  </si>
  <si>
    <t>8/24 -- - Upon arrival, coordinated with the MOD regarding the issue with the MWS.
- Performed troubleshooting to verify whether the MWS was offline.
- Restarted the Meraki MX. After the reboot, the LED light turned solid white, indicating the device is online.
- Level 2 support advised PASI to check if TeamViewer on the MWS was active.
- Verified connectivity by pinging all POS and the MWS; all devices showed a 1 Gbps connection.
- The MOD confirmed that the MWS is now operational and the internet connection is stable at 1 Gbps.
- Issue resolved.
- Work ends.</t>
  </si>
  <si>
    <t>-Restart Meraki MX
-PASI Check the TeamViewer
-All POS and MWS at least 1Gbps</t>
  </si>
  <si>
    <t>William Jade Subaran</t>
  </si>
  <si>
    <t xml:space="preserve">FSBP00122225 </t>
  </si>
  <si>
    <t>SB513</t>
  </si>
  <si>
    <t>ROBINSONS GALLERIA SOUTH</t>
  </si>
  <si>
    <t>ELITE DESK 800 G4</t>
  </si>
  <si>
    <t>4CE9140GJS</t>
  </si>
  <si>
    <t>BOS - wont boot up (All POS no service tier)</t>
  </si>
  <si>
    <t xml:space="preserve">8/25 -Confirmed all POS no service tier
-Checked BOS, confirmed no power, fan in PSU not running.
-POS on normal outlet.
-Checked voltage of normal and UPS outlet, both are normal at 220v.
-Checked UPS, it is on bypass mode.
-Powered the BOS up, BOS LED lit up.
-Checked port 3 of Meraki, no light displayed.
-Used test LAN cable for troubleshooting, BOS was able to connect to Meraki.
-Checked HDD, both HDD at 100% health
-Reseated both connections, meraki port 3 connection is loose even after recrimp.
-Upon reseat, BOS regained network connection.
-Restarted both POS.
-Removed firewall, performed ping test, all host are pingable.
-Observed transactions and repunching.
-Requested PASI checking for displayed batch file script on BOS.
-All POS and BOS network connectivity status are ok.
</t>
  </si>
  <si>
    <t>, recrimp, and reseat both network and power connections</t>
  </si>
  <si>
    <t xml:space="preserve"> Jonalyn Rabino</t>
  </si>
  <si>
    <t>FSBP00121945</t>
  </si>
  <si>
    <t>4852_E70</t>
  </si>
  <si>
    <t>41 - MA749</t>
  </si>
  <si>
    <t>JV with Maya: Issue:  POS B card terminal - USB cradle defective</t>
  </si>
  <si>
    <t>8/25 - - Upon arrival, MAYA is already replace Power adapter and cradle
- Still no com7 and unable to detect
- Tried other port still unable to detect
- Reimage HDD; done
- Still undetected maya
- Checked power outlet no power possible shorted
- Tried using Power bank maya is now detected
- Install Maya and OPOS manager and let PASI configure
- Redomain POS
- Plugged the power adapter to POS A outlet
- Maya is now up and working
- Tested by MOD; approved
- Standby for 30 mins; No issue
- Recommended to Facilities to check the power outlet
- Work done</t>
  </si>
  <si>
    <t>- Plugged the power adapter to POS A outlet</t>
  </si>
  <si>
    <t xml:space="preserve"> Jadz Garcia</t>
  </si>
  <si>
    <t>FSBP00122164</t>
  </si>
  <si>
    <t>RT-6016 G2</t>
  </si>
  <si>
    <t>RT051806</t>
  </si>
  <si>
    <t>POS A - LSNAV Start wont open</t>
  </si>
  <si>
    <t>8/25 Upon arrival, coordinate to MOD regarding the issue of LSNav start won't open
-  checked the POS A connection and found out the internet is 1GB. 
- advised PASI to check the POS A LSnav is not working. 
- PASI conducts remote POS A and configures, after remote POS A is now properly working. 
- MOD testing the POS A, and after testing. Now it's working properly. Ticket Close.</t>
  </si>
  <si>
    <t>PASI Check POS A Due to LSnav not working</t>
  </si>
  <si>
    <t>Ralph Dela Cruz</t>
  </si>
  <si>
    <t>FSBP00122236</t>
  </si>
  <si>
    <t>SB126</t>
  </si>
  <si>
    <t>PETRON NORTH LUZON EXPRESSWAY - BALAGTAS</t>
  </si>
  <si>
    <t>PPM83784</t>
  </si>
  <si>
    <t xml:space="preserve">POS A Printer - Not proceeding printing receipt
</t>
  </si>
  <si>
    <t>8/25 Upon arrival coordinate to MOD for POS A checking
- Confirmed POS A not printing receipt
- Tried self test print, it prints but not totally complete and the cutter assembly cant completely cut the thermal receipt
- Tried cleaning thermal head and test for self print; issue still persist
- Tried update the driver; still not printing
- Proceed for replacement of the printer
- Install new printer
- Test self print; ok
- Test print thru OPOS; ok
- Coordinate to MOD for test print; ok
- Work done</t>
  </si>
  <si>
    <t xml:space="preserve"> Replace printer</t>
  </si>
  <si>
    <t>PP0C0166</t>
  </si>
  <si>
    <t xml:space="preserve"> Pauline Reyes</t>
  </si>
  <si>
    <t>FSBP00122271</t>
  </si>
  <si>
    <t xml:space="preserve"> CASH &amp; CARRY MAKATI</t>
  </si>
  <si>
    <t>41NZ293</t>
  </si>
  <si>
    <t>POS B - Won't open</t>
  </si>
  <si>
    <t>8/25 - - Upon arrival, POS B has a black screen with a green light
- MOD advised that someone do preventive maintenance yesterday, and after that POS is unable to power on
- Force shutdown and power on POS is now up
- Checked HDD health 100%
- Checked the disk for no bad sectors
- Restart the POS to check if the problem occurs; the POS is stable
- Standby till close time to check if a problem occurs; None
- POS is stable and working fine
- Work done</t>
  </si>
  <si>
    <t>- Force shutdown on POS</t>
  </si>
  <si>
    <t>Amane Castillo</t>
  </si>
  <si>
    <t xml:space="preserve">FSBP00122098 </t>
  </si>
  <si>
    <t>PPM83912</t>
  </si>
  <si>
    <t>POS B Printer - There was a broken piece inside the roller</t>
  </si>
  <si>
    <t>8/25 - - Pickup Parts at the office
- Delivered &amp; installed a new Posiflex printer for replacement.
- installed Opos driver.
- remote by PASI for the POS B cash drawer error. Reinstalled the Opos Driver, tick all devices. Done and fixed.
- Tested print and Cash drawer okay.
- work done.</t>
  </si>
  <si>
    <t xml:space="preserve"> Pos B printer Replacement.</t>
  </si>
  <si>
    <t>PP0C0231</t>
  </si>
  <si>
    <t>FSBP00122280</t>
  </si>
  <si>
    <t>SB449</t>
  </si>
  <si>
    <t>SOUTHWOODS MALL</t>
  </si>
  <si>
    <t>41RA938</t>
  </si>
  <si>
    <t>POS A - Random RTO</t>
  </si>
  <si>
    <t>8/25 - Coordinated with the MOD, confirmed POS A is losing connection and prompting POS unresponsive.
-Performed a ping test, POS A has a random RTO.
-Checked physical connection, LAN, and port connection is loose.
-Checked end-to-end status. All twisted pair continuity is good.
-Reseated LAN cable, problem still persists.
-Re-crimped end-to-end. Continuity is good and connection at 1gbps.
-Performed a ping test.
-Observed transactions and ping.
-POS A has no RTO; connectivity status is ok.</t>
  </si>
  <si>
    <t>- Re-crimped end-to-end.</t>
  </si>
  <si>
    <t xml:space="preserve"> Aaron Barroga</t>
  </si>
  <si>
    <t>Kelly Aira Avinado Lusabia</t>
  </si>
  <si>
    <t>FSBP00121800</t>
  </si>
  <si>
    <t xml:space="preserve"> MATALINO ST. TEACHER’S VILLAGE </t>
  </si>
  <si>
    <t>Unable to cut</t>
  </si>
  <si>
    <t xml:space="preserve"> PPM83924</t>
  </si>
  <si>
    <t>POS B Printer - cut print out</t>
  </si>
  <si>
    <t>8/26 - Upon arrival store is busy; MOD advice to wait
- Check printer; restart printer; clean thermal head; still blurred printer
- Printer is OOW confirmed with RCOC Sir Floyd
- Reco for replacement
- Wait for delivery
- Remove old printer
- Install new printer
- Install drivers
- Test print; good
- Test by MOD; good.
- Printer randomly cuts power when transacting.
- Transfer power of printer to different outlet
- Transfer to other USB port of POS
- Test again; now working and not turning off
- Monitor for 15mins; good
- Pull out old printer. Work done</t>
  </si>
  <si>
    <t>Replaced POS B Printer (Posiflex)</t>
  </si>
  <si>
    <t>Posiflex Printer</t>
  </si>
  <si>
    <t>PP0C0230</t>
  </si>
  <si>
    <t>Ton Billiones</t>
  </si>
  <si>
    <t>FSBP00122350</t>
  </si>
  <si>
    <t>SB305</t>
  </si>
  <si>
    <t>VICTORY PARK &amp; SHOP - ANTIPOLO</t>
  </si>
  <si>
    <t>PPO40860</t>
  </si>
  <si>
    <t>POS A Printer - Not working</t>
  </si>
  <si>
    <t>8/26 pon arrival coordinate with MOD
- Proceed with the printer as per checking found; broken hook
- Advise MOD that the printer is under warranty of Heritage</t>
  </si>
  <si>
    <t>For replacement of printer under Heritage Team</t>
  </si>
  <si>
    <t>Elaine Luahati</t>
  </si>
  <si>
    <t>POS B printer keeps malfunctioning. Error message shows "OPOS_E_NOTCLAIME. Exclusive-use device is not claimed" (DEPLOY/PULL OUT SU PRINTER AS PER SIR VINCE)</t>
  </si>
  <si>
    <t>c/o Reynan, for pull out SU - Sir Vince is in coor with Heritage to return the SU</t>
  </si>
  <si>
    <t>FSBP00122379</t>
  </si>
  <si>
    <t>SB264</t>
  </si>
  <si>
    <t xml:space="preserve"> PHILPLANS CORP CENTER-G/F-BONIFACIO GLOBAL CITY</t>
  </si>
  <si>
    <t>GLOBE/SMART</t>
  </si>
  <si>
    <t xml:space="preserve"> 2S2340010296/861585041596634</t>
  </si>
  <si>
    <t>GLOBE DIA ACTIVATION
Please be advised that the following stores are priority for DIA activation so that the stores will have stable internet connection.
REMARKS: SMART LTE FOR PULLOUT</t>
  </si>
  <si>
    <t>8/26 -upon arrival coordinate with mod
-input ip to my laptop and plug to ge0;good
-stand alone test and ping;good
-waiting for config
-globe wan1 and pldt wan2
-pull out smart lte
-work done</t>
  </si>
  <si>
    <t>successful activation globe</t>
  </si>
  <si>
    <t xml:space="preserve"> yssa obsena</t>
  </si>
  <si>
    <t xml:space="preserve">FSBP00122390 </t>
  </si>
  <si>
    <t>SB292</t>
  </si>
  <si>
    <t>RESORTS WORLD NEWPORT MALL L2</t>
  </si>
  <si>
    <t>wall-mounted/6MQ7524524004292</t>
  </si>
  <si>
    <t>GLOBE DIA ACTIVATION
Please be advised that the following stores are priority for DIA activation so that the stores will have stable internet connection.
REMARKS: DITO LTE FOR PULLOUT</t>
  </si>
  <si>
    <t>8/26 - Activate Globe Fiber then standalone test.
- Connect Globe as WAN 1, PLDT as WAN 2.
- Confirmed to dashboard by Sir Bryan.
- DITO LTE WAN 2 pull out.
- Work done.</t>
  </si>
  <si>
    <t>Activate Globe Fiber as WAN 1</t>
  </si>
  <si>
    <t>CJ Castillo</t>
  </si>
  <si>
    <t>FSBP00122387</t>
  </si>
  <si>
    <t>SB333</t>
  </si>
  <si>
    <t xml:space="preserve"> EVIA - DAANG HARI (DTL)</t>
  </si>
  <si>
    <t>6MQ7S24524001961</t>
  </si>
  <si>
    <t>DITO PULL OUT
For 333 EVIA - DAANG HARI, advise L2 to check and test PLDT DSL status before the pull-out of DITO LTE.
DITO LTE will be deployed to 241 FASTBYTES NORTHGATE CYBERZONE as primary internet.</t>
  </si>
  <si>
    <t>8/26 Upon arrival coordinate to MOD for DITO LTE pull out
- Upon arrival Globe is up and currently plugged in to MX port 1 while DITO LTE is on port 2
- Check PLDT status thru stand alone test; ok
- Pull out DITO LTE and switch to PLDT
- Speed test; ok
- Work done</t>
  </si>
  <si>
    <t>Pull out DITO LTE</t>
  </si>
  <si>
    <t>Darlene Gonzales</t>
  </si>
  <si>
    <t xml:space="preserve">FSBP00122416 </t>
  </si>
  <si>
    <t>FASTBYTES NORTHGATE CYBERZONE</t>
  </si>
  <si>
    <t>DITO/SMART</t>
  </si>
  <si>
    <t>H155-381/H8951-RHZ</t>
  </si>
  <si>
    <t>6MQ7S24524001961/8951R201405ZH06169</t>
  </si>
  <si>
    <t>DITO LTE will be deployed to 241 FASTBYTES NORTHGATE CYBERZONE as primary internet.</t>
  </si>
  <si>
    <t>8/26 - Upon arrival coordinate to MOD for DITO LTE deployment
- Upon arrival SMART LTE currently up and plugged in to MX port 2
- Pull out SMART LTE and replace it with DITO LTE
- Conduct test placement of DITO LTE
- Tried to place it on FOH but speed test doesn’t proceed and its on 4G status
- Tried to place it on BOH same status occur; 4G signal with a speed of 1mbps
- Coordinate to sir Bryan for dashboard checking; status is UP
- Verify to MOD
- Work done</t>
  </si>
  <si>
    <t>Deploy DITO LTE and pull put SMART LTE</t>
  </si>
  <si>
    <t>Denmark Villanueva</t>
  </si>
  <si>
    <t>FSBP00122384</t>
  </si>
  <si>
    <t>SB401</t>
  </si>
  <si>
    <t xml:space="preserve"> 5 ECOM CENTER</t>
  </si>
  <si>
    <t>ECS4100-12T</t>
  </si>
  <si>
    <t>EC2509003016</t>
  </si>
  <si>
    <t>8/26 -Activate Converge then standalone test.
-connect converge as wan 1, PLDT as Wan 2.
-smart Lte wan 2 pull out.
-work done.</t>
  </si>
  <si>
    <t>activate converge as Wan 1.</t>
  </si>
  <si>
    <t>Christine Perez</t>
  </si>
  <si>
    <t>FSBP00122401</t>
  </si>
  <si>
    <t>SB308</t>
  </si>
  <si>
    <t>JP LAUREL BLDG - ROXAS BLVD</t>
  </si>
  <si>
    <t>53718/64XQ14203</t>
  </si>
  <si>
    <t>Globe GPLAN Deployment</t>
  </si>
  <si>
    <t>8/26 - Upon arrival, waiting for parts
- Deliver and setup redmi globe gplan
- Tested by MOD; Approved
- Work done</t>
  </si>
  <si>
    <t>Deliver and setup redmi globe gplan</t>
  </si>
  <si>
    <t>Nico Tibre</t>
  </si>
  <si>
    <t>FSBP00122400</t>
  </si>
  <si>
    <t>53718/64XQ14189</t>
  </si>
  <si>
    <t>8/26 - Coordinated with MOD
- Upon arrival unbox new phone
- Setup sim and phone
- Endorse to MOD
- Tested by MOD; good. Work done</t>
  </si>
  <si>
    <t>deployed globe gplan</t>
  </si>
  <si>
    <t xml:space="preserve"> Jerome Ferber</t>
  </si>
  <si>
    <t>Jhon Bantas</t>
  </si>
  <si>
    <t xml:space="preserve">FSBP00122368 </t>
  </si>
  <si>
    <t>VERDANT STRIP</t>
  </si>
  <si>
    <t>DT Menu Panel A Disconnected - 10.161.198.54 -MENU A</t>
  </si>
  <si>
    <t>8/26 - Upon arrival, as per MOD Zion we cannot proceed the activity today due to permit is not processed yet
- The activity will be rescheduled on August 28 same day with the DTE Coin ticket "FSBP00121923"</t>
  </si>
  <si>
    <t>reschedue due to work permit is required - Aug 28</t>
  </si>
  <si>
    <t>Zion Manikis 26296</t>
  </si>
  <si>
    <t>FSBP00122367</t>
  </si>
  <si>
    <t>SB151</t>
  </si>
  <si>
    <t>PETRON NORTH LUZON EXPRESSWAY - MARILAO</t>
  </si>
  <si>
    <t>OKHUHNQT300003B</t>
  </si>
  <si>
    <t xml:space="preserve"> DT Panel B Intermittent RTO  Menu B </t>
  </si>
  <si>
    <t>8/26 - Upon Arrival, check the DT Panel B, found there is no internet connection. 
- Conduct Recrimp the patch cable of DT panel. 
- Fix the HDMI cable at the order point. 
- Ping the DT panel B.
- Test the patch cable using tone Tracer. 
- MOD check at the back if the connection is working.
- Ticket Close.</t>
  </si>
  <si>
    <t>Recrimp Patch Cable</t>
  </si>
  <si>
    <t>Fernan Capin</t>
  </si>
  <si>
    <t>FSBP00122359</t>
  </si>
  <si>
    <t>wont Scan</t>
  </si>
  <si>
    <t xml:space="preserve"> POS B Scanner- Keeps on turning off as the cable is loose
</t>
  </si>
  <si>
    <t>8/26 - Upon arrival coordinate with MOD
- Honeywell scanner has no light
- Waiting for parts
- Install new scanner
- Test multiple times
- MOD acknowledge scanner is working
- Work done</t>
  </si>
  <si>
    <t>install new scanner to POS B (Honeywell)</t>
  </si>
  <si>
    <t>Honeywell</t>
  </si>
  <si>
    <t>15149B064F</t>
  </si>
  <si>
    <t>15152B123C</t>
  </si>
  <si>
    <t>Hannah Trinanes</t>
  </si>
  <si>
    <t xml:space="preserve">FSBP00122360 </t>
  </si>
  <si>
    <t>41-BA671</t>
  </si>
  <si>
    <t>POS A - No Power</t>
  </si>
  <si>
    <t>8/26 - Coordinated with MOD 
- Upon arrival, POS A has no power
- Checked Power cable and outlet is good
- Checked the power cable in POS is slightly unplugged. Plugged properly POS is now up
- Test print; good
- Tested by MOD; good
- Standby for 30 mins for possible problem; none
- POS is now up and stable.
- Work done</t>
  </si>
  <si>
    <t>Plugged power cable properly</t>
  </si>
  <si>
    <t>Jadz Garcia</t>
  </si>
  <si>
    <t>FSBP00121243</t>
  </si>
  <si>
    <t>Cable Grooming</t>
  </si>
  <si>
    <t>PLDT</t>
  </si>
  <si>
    <t>FHTT959531A8</t>
  </si>
  <si>
    <t>Request for wire organization in back office</t>
  </si>
  <si>
    <t>8/26 approved by Sir Pow sched date Aug 27 1AM-3AM
8/27 - Coordinated with the MOD, the request for cable grooming is for the PLDT modem.
- Waited for the MOD to complete the EOD.
- Waited for the PLDT personnel to arrive.
- Gained approval from the MOD to start the activity.
- No PLDT personnel onsite.
- Proceeded with the grooming and cleaning of BOH, focusing on the request for the PLDT modem.
- Performed ping test and ensured devices are up.
- Requested checking from MOD.
- Activity done.</t>
  </si>
  <si>
    <t>grooming and cleaning of BOH, focusing on PLDT modem as request</t>
  </si>
  <si>
    <t>11:30 PM, 12:00 AM</t>
  </si>
  <si>
    <t>11:59 PM, 2:00 AM</t>
  </si>
  <si>
    <t>Harry Lacson</t>
  </si>
  <si>
    <t>FSBP00122004</t>
  </si>
  <si>
    <t>41PH553</t>
  </si>
  <si>
    <t>POS A - Loose Monitor</t>
  </si>
  <si>
    <t>8/25 - Upon arrival, tried to tighten the POS A Loose thread
- Advised on the replacement of the hinge
- MOD advised replacement in time of 12am onwards
- Recommendation for replacement of Hinge
- Pending
8/27 - Coordinated with MOD
- Waited for customers to subside
- Found nut sunk on the monitor hinge
- Used drill and installed new hinge
- Tested by MOD; good
- Work done</t>
  </si>
  <si>
    <t>installed new hinge</t>
  </si>
  <si>
    <t>9:10 AM, 12:00 AM</t>
  </si>
  <si>
    <t>11:59 PM, 10:00 PM</t>
  </si>
  <si>
    <t>FSBP00122391</t>
  </si>
  <si>
    <t>SB287</t>
  </si>
  <si>
    <t>I TOWER P-NOVAL ST.</t>
  </si>
  <si>
    <t>ZTEGD5D56764</t>
  </si>
  <si>
    <t>CICT DIA ACTIVATION
Please be advised that the following stores are priority for DIA activation so that the stores will have stable internet connection.
REMARKS: SMART LTE FOR PULLOUT</t>
  </si>
  <si>
    <t>8/27 - Upon arrival coordinate with mod
- Input ip
- Speedtest
- Check ping; stable
- Standalone test
- Plugged to port2 meraki mx
- Sir Bry acknowledge converge is now up and stable
- Work done</t>
  </si>
  <si>
    <t>activate converge to port2 Meraki MX</t>
  </si>
  <si>
    <t>7:05 AM, 12:00 AM</t>
  </si>
  <si>
    <t>11:59 PM, 10:00 AM</t>
  </si>
  <si>
    <t>Eira Agoya</t>
  </si>
  <si>
    <t>FSBP00122394</t>
  </si>
  <si>
    <t>CONVERGE/SMART</t>
  </si>
  <si>
    <t>OptiXstar B610-S1-4E / ET610 4G LTE</t>
  </si>
  <si>
    <t>2198031297AGP6000110 Y H87Z00B61008 / 861585041348606</t>
  </si>
  <si>
    <t>8/27 - Activate Globe Fiber then standalone test.
- Connect Globe as WAN 1, PLDT as WAN 2 as advised by Sir Bryan.
- Confirmed to dashboard by Sir Bryan.
- Smart LTE WAN 2 pull out.
- Work done.</t>
  </si>
  <si>
    <t xml:space="preserve">Activate Globe Fiber as WAN 1 </t>
  </si>
  <si>
    <t>Jam Estomata</t>
  </si>
  <si>
    <t>FSBP00121048</t>
  </si>
  <si>
    <t>Activity: In-house wiring and replacement of cables for POS A and B (related to ITN FSBP00120869)</t>
  </si>
  <si>
    <t>8/27 - Coordinated with the MOD, who stated that the permit was still not ready.
- Waited for the facilities team to arrive.
- Facilities team arrived at 8:45 PM but did not bring the required cables for replacement.
- Since the permit was not yet ready, requested permission from the MOD to conduct only a site survey for the activity.
- Proceeded with the site survey as the facilities team measured the needed length for the replacement.
- Coordinated with Sir Aljohn from facilities team and MOD Kristel. The activity will be rescheduled/continued tomorrow (August 28, 2025) from 9pm onwards.
- Received assurance from the facilities team that they will bring the required cable for the activity.</t>
  </si>
  <si>
    <t>Conducted a site survey since the permit &amp; cables were not yet ready, resched Aug 28</t>
  </si>
  <si>
    <t>8:38 PM, 12:00 AM</t>
  </si>
  <si>
    <t>Kristel Delos Reyes</t>
  </si>
  <si>
    <t>FSBP00122481</t>
  </si>
  <si>
    <t>SB421</t>
  </si>
  <si>
    <t>BGC CORPORATE CENTER</t>
  </si>
  <si>
    <t>41-LD557</t>
  </si>
  <si>
    <t>POS B - Blue screen</t>
  </si>
  <si>
    <t>8/27 - Upon arrival coordinate with MOD
- Upon checking POS not booting; reseat HDD cables from motherboard to HDD
- Clean RAM; Restart POS
- Configure BIOS
- Replace HDD
- Configure by PASI
- Domain by RCOC
Final resolution:
- Update host file
- Change Computer name
- Configure IP
- Set up auto log in
- Replace HDD</t>
  </si>
  <si>
    <t>Patrica Forteza</t>
  </si>
  <si>
    <t>FSBP00122482</t>
  </si>
  <si>
    <t>SB543</t>
  </si>
  <si>
    <t>CYBERSCAPE ALPHA</t>
  </si>
  <si>
    <t>4CE9241XWS</t>
  </si>
  <si>
    <t>BOS - Auto shutdown</t>
  </si>
  <si>
    <t>8/27 - Upon arrival, all POS fully operational
- Check BOS; OK
- Secure lan cable and power cable
- Ping test; random RTOs
- Change BOS cable and use spare patch cable
- Ping test; OK
- Observe thru peak hours; OK
- Advise partners to observe if problem will reoccur
- Work done</t>
  </si>
  <si>
    <t>Change BOS cable and use spare patch cable</t>
  </si>
  <si>
    <t>Miles Tantiado</t>
  </si>
  <si>
    <t>FSBP00122347</t>
  </si>
  <si>
    <t>POS C - On sleep mode</t>
  </si>
  <si>
    <t xml:space="preserve">8/27 - Upon arrival, Pos C is on windows login credentials.
- Checked regedit and System properties -computer Description for autologin it is correct POSC324.
- Restart POS C still need credentials.
- Remote by Sir Marvin, POS C is now autologin.
- Checked also power options 'Never'.
- Work done.
</t>
  </si>
  <si>
    <t>Remote by Sir Marvin for Autologin</t>
  </si>
  <si>
    <t>Adrea Rojo</t>
  </si>
  <si>
    <t>FSBP00122614</t>
  </si>
  <si>
    <t>POS A - Error "The connection of the server has been lost"</t>
  </si>
  <si>
    <t>8/27 - Upon arrival, checked POS A is up
- Checked lan cable is good
- End to end test is good
- Ping POS A is stable
- Noticed that POS A is getting 100 mbps. Recrimp POS A is now 1gbps
- Standby for 30 mins
- POS A is now up and working
- Work done</t>
  </si>
  <si>
    <t>Recrimp POS A is now 1gbps</t>
  </si>
  <si>
    <t>Jennalou Ferrer</t>
  </si>
  <si>
    <t xml:space="preserve">FSBP00122675 </t>
  </si>
  <si>
    <t>Request to Organize Lan Cable Terminated in Meraki MX</t>
  </si>
  <si>
    <t xml:space="preserve">8/28 Coordinated with the MOD
-Waited for permission to start the activity as the MOD needs to finish  the EOD.
-Checked and traced the cables for continuity.
-Out of 8 ports for LAN wall outlets, only 4 ports have connectivity from FOH to BOH.
-Proceeded with the cable grooming.
-Recrimped and tagged all the necessary cables.
-Traced the 4th port on the BOH wall outlet for the Access Point.
-Relocated the A.P. to under POS C area as it is the only one with spare that has connectivity to BOH.
-Coordinated with trends and confirmed connectivity of all devices are up and at 1gbps speed.
-Requested MOD to test all POS and units that are included/affected by the activity.
-MOD acknowledged the completion of the activity.
</t>
  </si>
  <si>
    <t>done cable grooming</t>
  </si>
  <si>
    <t xml:space="preserve"> Aaron Barroga, Brent Facturan</t>
  </si>
  <si>
    <t>Christopher Jason A. Reyes</t>
  </si>
  <si>
    <t xml:space="preserve">FSBP00121279 </t>
  </si>
  <si>
    <t>SB510</t>
  </si>
  <si>
    <t>LIBERTY PLAZA - MAKATI</t>
  </si>
  <si>
    <t>POS B Cash Drawer 2 - Unable to open and register area drawer is worn out</t>
  </si>
  <si>
    <t>8/27 - Upon arrival coordinate with MOD
- Drawer can't open
- Found drawer is misaligned
- Align drawer and reseat cable; good
- Test by MOD; good
- Work done</t>
  </si>
  <si>
    <t>align drawer and reseat cable</t>
  </si>
  <si>
    <t>Tin Nograles</t>
  </si>
  <si>
    <t>FSBP00122623</t>
  </si>
  <si>
    <t>SB586</t>
  </si>
  <si>
    <t>MOLINO BOULEVARD</t>
  </si>
  <si>
    <t>Defective power adapter</t>
  </si>
  <si>
    <t xml:space="preserve"> KS-7412p</t>
  </si>
  <si>
    <t>KSM90285</t>
  </si>
  <si>
    <t>For replacement of POS D power adapter and cord (CID)</t>
  </si>
  <si>
    <t xml:space="preserve">8/27 - Upon arrival, waiting for parts.
- Existing POS D Power Cord has burnt mark &amp; smell.
- Replace new Power Adapter and Cord.
- Secure power adapter.
- Open POS and tested.
- POS D is now operational.
- Pull out defective power adaptor.
- Work done.
</t>
  </si>
  <si>
    <t>replaced power adaptor &amp; cord of POS D</t>
  </si>
  <si>
    <t>Posiflex Adapter</t>
  </si>
  <si>
    <t>SPAOB1749</t>
  </si>
  <si>
    <t>DPN2AKB066</t>
  </si>
  <si>
    <t>Jam Cabauatan</t>
  </si>
  <si>
    <t>FSBP00121923</t>
  </si>
  <si>
    <t xml:space="preserve">ELITE DESK 800 G5 </t>
  </si>
  <si>
    <t>4CE02816ZK</t>
  </si>
  <si>
    <t xml:space="preserve">DTE COIN Installation assistance
</t>
  </si>
  <si>
    <t>8/28 - - Upon arrival,  waiting for mall IT.
- Transfer Mall sending LAN cable from MWS to BOS.
- Done input IP, Ping, and get the MAC address by Mall it.
- Remote by PASI and tested coin app sending.
- confirmed also with the mall IT.
- work done.</t>
  </si>
  <si>
    <t>-JV with MALL IT for Coin App.</t>
  </si>
  <si>
    <t>Zion Manikis</t>
  </si>
  <si>
    <t>FSBP00121697</t>
  </si>
  <si>
    <t>Network Assistance, Joint Visit</t>
  </si>
  <si>
    <t xml:space="preserve"> RT-6016 G2</t>
  </si>
  <si>
    <t>RTO51888</t>
  </si>
  <si>
    <t>POS D- CONFIGURE USB PORT TO THE POS</t>
  </si>
  <si>
    <t>8/28 - - Upon arrival, the store is waiting for JV personnel from PayMaya
- Proceed to the POSD, unplug PayMaya port and change to another port, not recognized, change the cradle, and wire the problem exists.
- Install new PayMaya driver (ok)
- Coordinate PASI for configuration from port 7 to port 12
- PASI request for testing by mod
- Testing by QR, card, and cash (good)
- PayMaya device is working and operational
- Work closed</t>
  </si>
  <si>
    <t>JV with Maya c/o Reynan ongoing</t>
  </si>
  <si>
    <t>Jonel Gupit</t>
  </si>
  <si>
    <t>088XHNTN200012B</t>
  </si>
  <si>
    <t>8/28 - - Upon arrival, Menu A ping unreachable.
- Checked Menu Panel A has Display.
- Re-socket LAN cable to 24zwitch port15.
- Menu A is now pingable.
- Work Done.</t>
  </si>
  <si>
    <t>- Re-socket LAN cable to 24Switch Port 15.</t>
  </si>
  <si>
    <t>FSBP00122676</t>
  </si>
  <si>
    <t>Miscalibrated</t>
  </si>
  <si>
    <t>(E-70)</t>
  </si>
  <si>
    <t>41-NZ293</t>
  </si>
  <si>
    <t>POS B - assigning partner to drawer 1 it will move to drawer 2</t>
  </si>
  <si>
    <t>8/28 - - Upon arrival, coordinate with MOD
- switch cable 2 to 1 drawer
- drawer is now replaced
- test config multiple times
- mod acknowledge drawer is now replace
- work done</t>
  </si>
  <si>
    <t>- config and switch cable</t>
  </si>
  <si>
    <t>Risha Abraham</t>
  </si>
  <si>
    <t>FSBP00119886</t>
  </si>
  <si>
    <t>SB132</t>
  </si>
  <si>
    <t>POWERPLANT CINEMA - LEVEL 4</t>
  </si>
  <si>
    <t xml:space="preserve"> KS-7412P</t>
  </si>
  <si>
    <t>KSE33399</t>
  </si>
  <si>
    <t>POS B drawer 2 (OOW) - for replacement as recommended by VEI following PM Activity due to the drawer being found defective and unable to open, with no MOD available to open it using a key</t>
  </si>
  <si>
    <t>7/30 reroute to VEI requesting clear and complete isolation report
8/26 - Sir Pow forwarded a video in our CerxCoretech GC sent by stores, drawer still not working
8/30 - - Upon arrival, coordinate with MOD
- test drawer using OPOS Manager
- drawer won't open, even if, test is ok.
- found cable loose
- plugged in
- test multiple times
- MOD acknowledge drawer is now working
- work done</t>
  </si>
  <si>
    <t xml:space="preserve">- plugged the cable and secured cables
</t>
  </si>
  <si>
    <t>Thalia Caparas</t>
  </si>
  <si>
    <t xml:space="preserve">FSBP00122849 </t>
  </si>
  <si>
    <t>Precision 3680</t>
  </si>
  <si>
    <t xml:space="preserve"> 2QQQ874</t>
  </si>
  <si>
    <t>BOS Server - Connection currently 100 Mbps should be 1 Gbps as affects loading of LSNAV</t>
  </si>
  <si>
    <t>8/28 - - Upon arrival coordinate with MOD
- Upon checking all machines is up; BOS has stable ping
- The MOD doesn't want to have the BOS handled, so he said to just reschedule it for 5 AM later.
8/29 - Upon arrival coordinate with MOD
- Proceed to check LAN cable of BOS; reseat still 100MBPS
- Replace new patch cable; still 100mbps
- Ping test BOS for 30mins no RTO
- All POS is up
- Store has visitors; OM , DM
- Observe for first transaction
- Acknowledge by MOD</t>
  </si>
  <si>
    <t>Restart BOS</t>
  </si>
  <si>
    <t>Amber Timkang</t>
  </si>
  <si>
    <t xml:space="preserve">FSBP00122886 </t>
  </si>
  <si>
    <t>Globe LTE</t>
  </si>
  <si>
    <t>Go-CyberWi5</t>
  </si>
  <si>
    <t>Deployment of Globe LTE</t>
  </si>
  <si>
    <t>8/28 -- -Wait for the Delivery to arrive 
-Terminate to Meraki port 1
-Pullout DITO LTE</t>
  </si>
  <si>
    <t>c/o Brent-Install and terminate to Meraki port 1</t>
  </si>
  <si>
    <t>Shaira Pangan</t>
  </si>
  <si>
    <t xml:space="preserve">FSBP00122020 </t>
  </si>
  <si>
    <t>SB581</t>
  </si>
  <si>
    <t xml:space="preserve">GREYSTONE CONGRESSIONAL AVE EXT
</t>
  </si>
  <si>
    <t>Epson</t>
  </si>
  <si>
    <t xml:space="preserve"> TM-L90 (M313A)</t>
  </si>
  <si>
    <t>PJF032960</t>
  </si>
  <si>
    <t xml:space="preserve"> Labeler printer - not functioning even if the machine was plugged in</t>
  </si>
  <si>
    <t>8/28 Upon arrival install new adaptor of cbs labeler; labeler now has power
- Test cbs labeler; not detected
- Also Mastrena 1 labeler not detected
- Ping test both; not pingable
- Recrimp lan cable of both
- both labeler now pingable
- Test print; good.
- Test by MOD; good. Work done</t>
  </si>
  <si>
    <t>Recrimp lan cable of both</t>
  </si>
  <si>
    <t>Cams Marcos</t>
  </si>
  <si>
    <t>FSBP00122885</t>
  </si>
  <si>
    <t>SB537</t>
  </si>
  <si>
    <t>81 NEWPORT BOULEVARD</t>
  </si>
  <si>
    <t>KSHC0009</t>
  </si>
  <si>
    <t>POS A drawer- wont close</t>
  </si>
  <si>
    <t>8/28 - - Upon arrival, coordinate with MOD for POS A CR 1 checking
- Found POS A CR 1 not opening
- Check CR 1 spring
- Adjust the spring
- Test; ok
- Test with coins inside; ok
- Verify with MOD
- Work done</t>
  </si>
  <si>
    <t>- Adjust the spring of CR1</t>
  </si>
  <si>
    <t>Rodel Cerdiña Jr.</t>
  </si>
  <si>
    <t>FSBP00122644</t>
  </si>
  <si>
    <t>JV with Trends - For the cable organization at the back office and for the tracing of patch cable at the menu board for access point location.</t>
  </si>
  <si>
    <t>8/28 Our Field Engineer assigned for tonight's activity has an emergency and will be unable to proceed. We sincerely apologize for this short notice, as we just received the update.
We would like to request to reschedule the activity tomorrow at the same time. We assure you that a dedicated support will be provided.
8/29 No show from Partners</t>
  </si>
  <si>
    <t>Cable grooming resched Aug 31 at 10PM</t>
  </si>
  <si>
    <t>Millard Monzon, Rico Garcia</t>
  </si>
  <si>
    <t>FSBP00122915</t>
  </si>
  <si>
    <t>Meraki MX</t>
  </si>
  <si>
    <t>Meraki Device</t>
  </si>
  <si>
    <t>KS Series</t>
  </si>
  <si>
    <t>KSIBPP0024 , KSIB0010 , KSIB30030</t>
  </si>
  <si>
    <t>Checking the connectivity Issue</t>
  </si>
  <si>
    <t>8/29 - - Check network speed of all POS and MWS; 100MBPS
- Re-crimp LAN cables of all POS and MWS from end to end; network speed now at 1gbps
- Check port 7 or Meraki; POS C terminated to port 7</t>
  </si>
  <si>
    <t>- All POS and MWS network speed now @1gbps
- Work done</t>
  </si>
  <si>
    <t>Christian Frinalio</t>
  </si>
  <si>
    <t>FSBP00122917</t>
  </si>
  <si>
    <t>41LD649</t>
  </si>
  <si>
    <t>POS A - Blue Screen</t>
  </si>
  <si>
    <t>8/29 upon arrival coordinate with mod
-pos-a loop only
-unplugged cradle pay maya and secure sata cable
-posA ongoing checkdisk
-check hdd health;good
-posA is now up; for observation
-as per mod drawer2 is not working
-check tosh manager, drawer2 not detected
-asking to config by pasi;good
-posA for testing;good
-mod test multiple times; pos a is now working
-MOD requesting for new printer; heritage not showup and fix the assembly
-advise MOD to email.
-work done</t>
  </si>
  <si>
    <t>secure cables and config error by pasi</t>
  </si>
  <si>
    <t xml:space="preserve"> harb pablo</t>
  </si>
  <si>
    <t xml:space="preserve">FSBP00123153 </t>
  </si>
  <si>
    <t>SB676</t>
  </si>
  <si>
    <t>THE OUTLETS AT LIPA</t>
  </si>
  <si>
    <t xml:space="preserve">DITO LTE </t>
  </si>
  <si>
    <t>8/30 - Troubleshooting/Action Taken:
-Upon arrival, proceed deployment of DITO LTE
-Terminate to Meraki port 2
-Request RCOC to check if WAN 2 is up in the dashboard
-WAN 2 is up with confirmation from Sir Vernon</t>
  </si>
  <si>
    <t>endorsed - S/O not counted as ticket (per Sir. Anthon)</t>
  </si>
  <si>
    <t xml:space="preserve"> Brent Albert Facturan</t>
  </si>
  <si>
    <t>Michelle K. Rodriguez</t>
  </si>
  <si>
    <t>FSBP00122962</t>
  </si>
  <si>
    <t>SB482</t>
  </si>
  <si>
    <t>EAST BAY RESIDENCES</t>
  </si>
  <si>
    <t>PPO40042</t>
  </si>
  <si>
    <t>8/29 - - Upon arrival, coordinate with MOD for POS B Printer checking
- Upon arrival, found the POS B printer is up
- Test print using LSNav; not proceeding to print receipt
- Check power outlet voltage; ok 240V
- Reset the power adapter
- Check printer physically / clean sensors
- Test self print; ok
- Test print through OPOS; ok
- Coordinate with MOD for LSNav for reprint receipts; inconsistent printing/ incomplete printing
- Change thermal paper roll
- Test print in LSNAV; ok
- Use a different thermal paper roll
- Test print; ok
- Stress test printer; ok
- Verify with MOD
- Work done</t>
  </si>
  <si>
    <t>- Reset power cables/adapter</t>
  </si>
  <si>
    <t>Alex Manansala</t>
  </si>
  <si>
    <t>8/29 - Upon arrival coordinated with the MOD and advised for the activity later.
- Waited for Store closing.
- Facilities team arrived at exactly 8:55pm
- Upon waiting to partners for the closing of the store, I get the details of both POS.
- The activity started at 9:36 pm.
- The facilities team having a hard time to locate the cables due to multiple splices. They said that if they pulled out all the cables the other connection might be interrupted.
- They also said that they needed a blueprint of the store just to ensure that they can't pulled out other cables connection.
- After the activity I start up both POS and check if there is a connection.  But both POS has no connection.
- We also tried end to end cable testing and the cables are good.
- Recrimped cables, unplugged then plugged in but still there is no connection both POS.
- Advised Sir Anthony that there was a problem in the port of both POS.
- Checked ping status and both POS can't be pinged.
- Unplugged and Plugged in cables, tighten Rj45, but still has no connection both POS.
- Tailgate problem; for replacement of tailgate; coordinated with the team regarding the shipment of parts.</t>
  </si>
  <si>
    <t>successful JV w/ Faci regarding cabling - pending replacement of tailgate (new ticket)</t>
  </si>
  <si>
    <t xml:space="preserve">FSBP00122988 </t>
  </si>
  <si>
    <t>SB528</t>
  </si>
  <si>
    <t>SM CENTER DAGUPAN</t>
  </si>
  <si>
    <t>Defective Display</t>
  </si>
  <si>
    <t>P203</t>
  </si>
  <si>
    <t xml:space="preserve">CNC8351C0T </t>
  </si>
  <si>
    <t>MWS - damaged LCD</t>
  </si>
  <si>
    <t>8/31 - - Checked reported device
- Upon inspection, monitor had visible horizontal lines
- Replaced/deployed new monitor</t>
  </si>
  <si>
    <t xml:space="preserve">- Replaced/deployed new monitor
</t>
  </si>
  <si>
    <t xml:space="preserve">VNA1FL43 </t>
  </si>
  <si>
    <t xml:space="preserve"> Robert Soriano</t>
  </si>
  <si>
    <t xml:space="preserve">FSBP00122902 </t>
  </si>
  <si>
    <t>SB307</t>
  </si>
  <si>
    <t>BAGUIO TECHNOHUB CAMP JOHN HAY</t>
  </si>
  <si>
    <t>DPS-300AB-80A | 4852-E70</t>
  </si>
  <si>
    <t>JP63X1PC | 41PP493</t>
  </si>
  <si>
    <t>POS A - Cannot be turned on, No power</t>
  </si>
  <si>
    <t xml:space="preserve">8/30 - CHECK POWER VOLTAGE
- CLEAN TAIL GATE/PSU, RAM AND RE-SOCKET ALL CONNECTION
- STILL NO POWER
</t>
  </si>
  <si>
    <t>replaced POS Motherboard, PSU (09/02) pending for bezel replacement</t>
  </si>
  <si>
    <t>Jaime Adona Jr</t>
  </si>
  <si>
    <t>ED Galera</t>
  </si>
  <si>
    <t>FSBP00123106</t>
  </si>
  <si>
    <t>SB255</t>
  </si>
  <si>
    <t>SHOPPES@VICTORIA TIMOG AVE. - LEVEL 1</t>
  </si>
  <si>
    <t>41LG975</t>
  </si>
  <si>
    <t xml:space="preserve"> POS B - No power</t>
  </si>
  <si>
    <t>8/31 - Coordinated with MOD
- POS B is off upon arrival
- Checked power adapter; found unplugged on POS B side
- Replug and secured the power adapter; good, confirmed by MOD
- Work done</t>
  </si>
  <si>
    <t>Replug and secured the power adapter</t>
  </si>
  <si>
    <t>Veth Mendoza</t>
  </si>
  <si>
    <t>FSBP00123069</t>
  </si>
  <si>
    <t>41NY906/41NY916</t>
  </si>
  <si>
    <t>POS A and POS B - for replacement of tailgate upon reco last IHW (related to ticket#FSBP00121048 )</t>
  </si>
  <si>
    <t>8/31 - Upon arrival coordinated with the MOD. Proceed in replacing the tailgate of POS A and POS B
- Test the Lan cables of POS A end and was ok.
- Replaced POS A tailgate then after replacing the connection has up and pinged at the Back office and has reply.
- Replaced POS B tailgate then after replacing the connection hasn't up.
- Recrimped end to end and tested ok.
- Ipconfig POS B because it has different IP details to POS A. After the config POS B has up.
- Both POS tested by partners and both POS are now operational.</t>
  </si>
  <si>
    <t>Replaced the tailgate of both POS. Recrimped end to end in POS B</t>
  </si>
  <si>
    <t>Tailgate</t>
  </si>
  <si>
    <t>FSBP00122363</t>
  </si>
  <si>
    <t>8/31 - Upon arrival, coordinate with MOD for POS A Cash Drawer 2 checking
- Upon arrival, found CR 2 is working properly
- Test CR 2 with cash and coins inside; ok
- Stress test the cash drawer for almost half an hour; 2 test failures occurred
- Found that CR 2 is inconsistent in opening the drawer
- Proceed with the replacement of the new Cash Drawer
- Test new cash drawer; ok
- Test through LSNAV; ok
- Verify with MOD
- Work done</t>
  </si>
  <si>
    <t xml:space="preserve">- Replace cash drawer
</t>
  </si>
  <si>
    <t>FSBP00123218</t>
  </si>
  <si>
    <t xml:space="preserve">4852-E70
</t>
  </si>
  <si>
    <t>POS A - No Service Tier Available</t>
  </si>
  <si>
    <t>9/1 - Check the reported unit, Ethernet connectivity status was 10mbps.
- Crimped both ends.
- Ping test POS-A, pingable okay.
- Store internet experienced fluctuation in network bandwidth.
- Observed the behavior of ISP and reported to RCOC team to monitor the store ISP.
- Store gained internet, performed alone test.
- MOD requested the status of the secondary internet of the store from RCOC.</t>
  </si>
  <si>
    <t>- Crimped both ends of the LAN.</t>
  </si>
  <si>
    <t>Ronel Del Rosario</t>
  </si>
  <si>
    <t>FSBP00123213</t>
  </si>
  <si>
    <t>SB431</t>
  </si>
  <si>
    <t>CYBERPARK TOWER 1</t>
  </si>
  <si>
    <t>Re-image</t>
  </si>
  <si>
    <t>3852-E70</t>
  </si>
  <si>
    <t>A1-PW012</t>
  </si>
  <si>
    <t xml:space="preserve"> POS B - HDD HEALTH 67% (raised before PM)</t>
  </si>
  <si>
    <t>9/1 - Upon arrival, wait for the delivery  of parts
- Backup hosts file, IP, and computer name
- Remove old HDD 
- Install new HDD
- Restore IP, hosts file, and computer name
- Install drivers
- Configure by PASI 
- Test by MOD; good. 
- Work Done</t>
  </si>
  <si>
    <t>Install new HDD</t>
  </si>
  <si>
    <t>WMAYPOJ09RJP</t>
  </si>
  <si>
    <t>WMAYPOF9TAKP</t>
  </si>
  <si>
    <t>Marlon Lao</t>
  </si>
  <si>
    <t xml:space="preserve">FSBP00123214 </t>
  </si>
  <si>
    <t>Drawer broken</t>
  </si>
  <si>
    <t>60-19698</t>
  </si>
  <si>
    <t>POS A Cash Drawer falls off when it is opened (raised before PM)</t>
  </si>
  <si>
    <t>9/1 - Upon arrival, wait for the delivery  of parts
- Check C. Drawer; falls when opening
- Remove the old drawer
- Install a new drawer
- POS A terminates LS Nav randomly
- Ping test; random RTO
- Recrimp LAN cable; now stable ping
- Test drawer; good
- Test by MOD; good
- Defective drawer Endorsed to MOD</t>
  </si>
  <si>
    <t>- Install a new drawer</t>
  </si>
  <si>
    <t>60-10477</t>
  </si>
  <si>
    <t>FSBP00122928</t>
  </si>
  <si>
    <t xml:space="preserve"> DUMAGUETE BALAY DAKO</t>
  </si>
  <si>
    <t>Joint Visit, Cable Grooming</t>
  </si>
  <si>
    <t xml:space="preserve"> INSTALLATION OF MWS OVERHEAD CABINET</t>
  </si>
  <si>
    <t>9/1 - Upon arrival coordinated with MOD and waited for the partners cleaning and the store to be closed.
- The facilities team arrived at 23:10
- At 12:00am started to dismantle the BOS, MWS Devices and peripherals
- Ended dismantle BOS, MWS Devices and peripherals at 12:45am.
- Team facilities started to dismantle the overhead cabinet .
Replaced the cabinet At 5:00am but not done to install the outlet.
- Team facilities are done at 6:30am replacing the overhead cabinet.
- 6:30am onwards the activity was still ongoing for the adjustments of the cabinet just to fit all the outlets.
- 7:30am started the resetup of the MWS, BOS and peripherals.
- Can't finish the work due to challenges of the facilities team and need to pause.
- 8:30am onwards continued the setup of  the BOS, MWS, and peripherals.
- Store opened late and couldn't do card transactions because there was no connection but they could transact cash.
Final Resolution: 
- All of the IT equipment including BOS, MWS and peripherals have been installed but the connection of the PLDT has shown LOS. 
- Tried to standalone test PLDT but there was no connection. 
- Tries also converge and have connections. 
- Insert the converge Lan port into Wan 1 and PLDT port into Wan 2 but still have no connection.</t>
  </si>
  <si>
    <t>Activity for continuation tomorrow night Sept 2, 2025</t>
  </si>
  <si>
    <t>Arline Zamora</t>
  </si>
  <si>
    <t>FSBP00123372</t>
  </si>
  <si>
    <t>SB102</t>
  </si>
  <si>
    <t>ROBINSONS PLACE MANILA - LEVEL 1</t>
  </si>
  <si>
    <t>15111B134F</t>
  </si>
  <si>
    <t xml:space="preserve"> POS A Barcode Scanner - No Power</t>
  </si>
  <si>
    <t>9/2 upon arrival coordinate with mod
-scanner has no power
-secure cables, still no power
-waiting for parts
-install new scanner
-test multiple times
-mod acknowledge scanner is working
-pull out defective scanner
-work done</t>
  </si>
  <si>
    <t>install new scanner</t>
  </si>
  <si>
    <t>15153B1E48</t>
  </si>
  <si>
    <t>Khim Ballon</t>
  </si>
  <si>
    <t>FSBP00123386</t>
  </si>
  <si>
    <t>FOH</t>
  </si>
  <si>
    <t xml:space="preserve"> Café DMB - Screen 1 Connected on Customer Wifi</t>
  </si>
  <si>
    <t>9/2 Upon arrival, Checked DMB Screen 1 is connected to customer wifi
-Connect to Komodo Dragon and forget customer wifi
-Checked by RCOC approved
-Work done</t>
  </si>
  <si>
    <t>Connect to Komodo Dragon</t>
  </si>
  <si>
    <t xml:space="preserve"> Shaina Pangan</t>
  </si>
  <si>
    <t>FSBP00123393</t>
  </si>
  <si>
    <t xml:space="preserve">FASTBYTES NORTHGATE CYBERZONE </t>
  </si>
  <si>
    <t>41-NY886</t>
  </si>
  <si>
    <t xml:space="preserve"> POS A - Drawer 1 unable to open
</t>
  </si>
  <si>
    <t>9/2 - Coordinate with MOD
- Proceed to check the reported device
- Unable to open using key
- Tested open POS A cash drawer1 in config utility; okay.
- There is broken parts inside of drawer.
- Waiting for parts.
- Replaced cash drawer 1 for POS A, same key.
- Tested open cash drawer automatically and manually okay.
- Pullout defective cash drawer.
- Work Done.</t>
  </si>
  <si>
    <t>replaced cash drawer 1 of POS A</t>
  </si>
  <si>
    <t>Toshiba Drawer</t>
  </si>
  <si>
    <t>60-11496</t>
  </si>
  <si>
    <t>60-18439</t>
  </si>
  <si>
    <t>JM Gardoze</t>
  </si>
  <si>
    <t xml:space="preserve"> FSBP00123399</t>
  </si>
  <si>
    <t>SB119</t>
  </si>
  <si>
    <t>EASTON PLACE - VALERO</t>
  </si>
  <si>
    <t>CURIOPlayer 28</t>
  </si>
  <si>
    <t>Y83504FG31066</t>
  </si>
  <si>
    <t xml:space="preserve"> Curio Player Disconnected on port 10</t>
  </si>
  <si>
    <t>9/2 - Coordinated with MOD
- Upon arrival, checked curio is disconnected
- Noticed that lan cable is needed a recrimp
- Recrimp lan cable
- Curio playnetwork is now working
- Checked by Sir Bryan and he acknowledged
- Work done</t>
  </si>
  <si>
    <t>Recrimp lan cable</t>
  </si>
  <si>
    <t>Irish Zapata</t>
  </si>
  <si>
    <t>FSBP00122740</t>
  </si>
  <si>
    <t>POS D Drawer</t>
  </si>
  <si>
    <t xml:space="preserve"> POS D Till drawer- needs repair as won't close</t>
  </si>
  <si>
    <t>9/2 - Waited for parts
- Check POS D Drawer 1; drawer falls off due to missing stopper and unable to close due to deformed drawer
- Install new cash drawer 1
- Tested; ok
- POS D Drawer 1 now working properly
- Work done</t>
  </si>
  <si>
    <t xml:space="preserve"> Install new cash drawer 1 (POS D)</t>
  </si>
  <si>
    <t>Posiflex Drawer</t>
  </si>
  <si>
    <t>Allen Jhane Payawal</t>
  </si>
  <si>
    <t>FSBP00123406</t>
  </si>
  <si>
    <t>12GG264</t>
  </si>
  <si>
    <t>POS C is not working as they received an error "FTP server is currently unavailable"</t>
  </si>
  <si>
    <t>9/2 - Coordinate with MOD
- Upon arrival POS C no network
- Check POS C IP; DHCP automatic obtain
- Input manual IP; still no network
- Check and test lan cable; good.
- Disable and re enable ethernet driver; still no network
- Uninstall and reinstall ethernet driver; still no network
- Restart POS; still same
- Manual download and install ethernet driver then restart POS; still no network
- POS C is for reco for reimage
- Advised MOD POS C will be reco to ITI for reimage.</t>
  </si>
  <si>
    <t>for reco to ITI for NIC and driver or possible for Reimage</t>
  </si>
  <si>
    <t>Joviedan Pariola</t>
  </si>
  <si>
    <t>PP-7900-B</t>
  </si>
  <si>
    <t>POS B printer keeps malfunctioning. Error message shows "OPOS_E_NOTCLAIME. Exclusive-use device is not claimed"</t>
  </si>
  <si>
    <t>9/2 - Upon arrival coordinate MOD
- Checking POS B printer
- Found out no power 
- Checking adapter and outlet
- Unplug power cord and plug another outlet 
- Perform selftest check printer is good and  working normally 
- Testprint by MOD opos E not claimed error
- Restart POS B 
- Test print 3 times; no error observed no error
- Printer is operational witnessed by MOD
- Work done</t>
  </si>
  <si>
    <t xml:space="preserve">Power cord loose connection - plug to another outlet </t>
  </si>
  <si>
    <t>Christian Misanes</t>
  </si>
  <si>
    <t>8/30 - CHECK POWER VOLTAGE
- CLEAN TAIL GATE/PSU, RAM AND RE-SOCKET ALL CONNECTION
- STILL NO POWER
9/2 - REPLACES PSU, SAME ISSUE
- PROCEED ON REPLACING MOBO, UPON POWERING THE MACHINE STILL NO POWER
- UPON FURTHER TROUBLESHOOTING FOUND OUT POWER SWITCH IS DIRECTLY PUSH DOWN CAUSING THE MACHINE TO SHUTDOWN
- RE-ALIGNED POWER BUTTON
- TESTED BY STORE MANAGER, POS A IS NOW WORKING PROPERLY</t>
  </si>
  <si>
    <t>replaced POS Motherboard, PSU (09/02) incase reoccur reco bezel replacment</t>
  </si>
  <si>
    <t>MoBo, PSU</t>
  </si>
  <si>
    <t>Lene Daza</t>
  </si>
  <si>
    <t>FSBP00122941</t>
  </si>
  <si>
    <t xml:space="preserve">THE VANTAGE @ KAPITOLYO
</t>
  </si>
  <si>
    <t>Elite desk 800 G4</t>
  </si>
  <si>
    <t>4CE02816ZY</t>
  </si>
  <si>
    <t xml:space="preserve"> Requesting to remove the domain on BOS temporarily to install Mall sending requirements</t>
  </si>
  <si>
    <t>8/29 - HD action. Asking for the preferred schedule for the task
9/2-3 - arrive @1020pm inform to MOD and stop time
- @1130pm Done cash out of MOD and start undomain BOS
- 1159pm PASI start installation of mall sending finish at 1205am
- 0100am done redomain BOS supported by RCOC and TSG anthony.
-  0110am PASI decided to un-domain BOS due to the name of the store change.
Recommendation :  unit back to un-domain due to name of store save in SBSVR00560 not in old name of the store. 
- to be redomain by RCOC with the original name of the store.</t>
  </si>
  <si>
    <t>pending to RCOC for redomain</t>
  </si>
  <si>
    <t xml:space="preserve"> Elvin Abella</t>
  </si>
  <si>
    <t>Jonathan Vidal</t>
  </si>
  <si>
    <t>FSBP00123523</t>
  </si>
  <si>
    <t xml:space="preserve">Globe </t>
  </si>
  <si>
    <t>Relocate Globe LTE to POS Area</t>
  </si>
  <si>
    <t>9/3 - - Ask permission from MOD before starting.
- Test Globe LTE at BOH before relocating to FOH, confirmed Globe LTE no signal at BOH
- Traced the LAN cable for LTE, tested end to end before terminating, test ok.
- Relocated the LTE on POS area, perform stand alone testing, provide results to Sir Bryan.
- As per Sir Bryan globe LTE failed on Meraki port 2.
- Performed troubleshooting by rebooting and restarting the globe LTE, tester the LAN cable resulted both end ok.
- Performed stand alone test again on laptop, internet detected.
- Terminated the LTE but failed on Meraki side again.
- As per Sir Bryan stay put the LTE on POS area.</t>
  </si>
  <si>
    <t xml:space="preserve"> Relocation of LTE was successful.</t>
  </si>
  <si>
    <t>SHAIRA PANGAN</t>
  </si>
  <si>
    <t xml:space="preserve">FSBP00123512 </t>
  </si>
  <si>
    <t>CONVERGE/PLDT</t>
  </si>
  <si>
    <t>ZXHN F679W/</t>
  </si>
  <si>
    <t>ZTEEQTTQ8542114/FHTT92A2DED8</t>
  </si>
  <si>
    <t>JV with PLDT - Network Down</t>
  </si>
  <si>
    <t>9/3 - Observed for the PLDT personnel for troubleshooting.
- After changing the cable and connector of the PLDT fiber the PLDT modem was up.
- Standalone test the PLDT modem and has connection.
- There was a problem in the cable of PLDT and I used my spare cable and the PLDT was detected in the meraki dashboard.
- Pulled out the Smart LTE as per sir Bryan.
- Wan 1 converge and Wan 2 PLDT in the meraki port and both are up.</t>
  </si>
  <si>
    <t>standalone test, pull out Smart LTE</t>
  </si>
  <si>
    <t>Deem Abadiano</t>
  </si>
  <si>
    <t xml:space="preserve">FSBP00123492 </t>
  </si>
  <si>
    <t>Request Standby Support</t>
  </si>
  <si>
    <t>9/4 - -Upon arrival coordinated with MOD
-Standby and wait for store concerns
-Checked POS C; found no internet connection
-Checked adapter settings; found ipv4 configuration setup is good (10.163.19.18)
-Checked LAN cable, found no light indicator
-Used POS C spare LAN cable end-to-end; still no light indicator on the POS C side
-Tested POS C spare LAN cable; good, complete 1 to 8
-Tested POS C main LAN cable; good, complete 1 to 8
-Still re-crimped POS C main LAN cable; good, complete 1 to 8
-Plugged POS C main LAN cable to POS C system unit; has light indicator but still has no connection
-Coordinated RCOC coretech regarding the issue
-Changed POC port in Meraki switch from 5 to 18 as per Sir Vince; still has no internet connection
-Coordinated with ITI regarding the issue
-Waited for the ITI system unit replacement to arrive
-ITI replaced the system unit of POS C; good
-Checked POS C; good, now has internet
-Installed cup labellers on POS C; good
-Configured the host file
-Coordinated with PASI regarding POS C; good confirmed by PASI
-Set up autologin for POS C; good
-Restart POS C to test; good, logged in automatically
-Set up the domain for  POS C; error joining the domain
-Coordinated with RCOC coretech regarding the issue; good
-Checked POS C; good, joined to the domain
-Coordinated ITI after the domain
-ITI finished the setup
-While still on standby, store power fluctuation occurs, store electricity is down for 15 seconds
-Turned on BOS; good
-Checked all tech devices; good
-As per the MOD store, blessing will start, asked all FE to go outside for a while
-Waited for the store blessing to finish
-Standby for a while
-No more issues while standing by
-Work done</t>
  </si>
  <si>
    <t>Replaced POS C's system unit and resolved all internet and domain issues,</t>
  </si>
  <si>
    <t>Francisco T. Sevilla III / Jerico Rada / Emman Tan</t>
  </si>
  <si>
    <t>Jervie Rodriguez</t>
  </si>
  <si>
    <t xml:space="preserve"> FSBP00123521</t>
  </si>
  <si>
    <t>SB384</t>
  </si>
  <si>
    <t>BONIFACIO STOPOVER</t>
  </si>
  <si>
    <t>POS A (E-70)</t>
  </si>
  <si>
    <t>41-MK225</t>
  </si>
  <si>
    <t>POS B - Disk error on boot up</t>
  </si>
  <si>
    <t>9/4 - -Upon arrival, coordinate with MOD
-POSB is working, but pos no autologin
-waiting for RCOC to configure
-advise for reimage
-Proceed with reimage; however, USB got corrupted. No files found
-waiting items
-proceed to image; good
-install Maya drivers
-test multiple times
-mod acknowledge pos is now working
-work done</t>
  </si>
  <si>
    <t>re-image the hard drive</t>
  </si>
  <si>
    <t xml:space="preserve">11:50 AM , 3:10 PM </t>
  </si>
  <si>
    <t xml:space="preserve"> 3:00 PM , 4:00 PM</t>
  </si>
  <si>
    <t>SD Bert</t>
  </si>
  <si>
    <t>Renzo Garno</t>
  </si>
  <si>
    <t>FSBP00123464</t>
  </si>
  <si>
    <t>PP-7900</t>
  </si>
  <si>
    <t>PP0C0411</t>
  </si>
  <si>
    <t>POS A Printer Red light indicator</t>
  </si>
  <si>
    <t>9/3 - HD Action: Thank you for your email, however as per checking, the printer is still under Heritage warranty, please route to proper handling. (mm)
9/4 HD-Jave: Advse by RCOC to check printer</t>
  </si>
  <si>
    <t>Fixed the paper inside the POS A printer</t>
  </si>
  <si>
    <t>SD MJ</t>
  </si>
  <si>
    <t>FSBP00123536</t>
  </si>
  <si>
    <t>VB5222AE20257</t>
  </si>
  <si>
    <t xml:space="preserve">MOP No Internet Connection
</t>
  </si>
  <si>
    <t>9/4 - -Upon arrival, checked MOP no internet
-Per checking, no internet in FOH
-AP is down, no power, power cable is unplugged
-Plugged the power cable. AP is now up
-Tested and working
-Tested by MOD; approved
-Work done</t>
  </si>
  <si>
    <t>Plugged the power cable.</t>
  </si>
  <si>
    <t>Airisa Hao</t>
  </si>
  <si>
    <t>FSBP00123557</t>
  </si>
  <si>
    <t>DITO LTE Temp Deployment</t>
  </si>
  <si>
    <t>9/5 - -Upon arrival coordinated with MOD
-Waited for the device to arrive
-Received the device
-Terminate the device to WAN 2
-Trends checked and confirmed
-Work done</t>
  </si>
  <si>
    <t>-Installed DITO LTE</t>
  </si>
  <si>
    <t>TS Bryan</t>
  </si>
  <si>
    <t>Francisco T. Sevilla II</t>
  </si>
  <si>
    <t>Jeff Galindo</t>
  </si>
  <si>
    <t xml:space="preserve">FSBP00123573 </t>
  </si>
  <si>
    <t>PPM3842</t>
  </si>
  <si>
    <t>POS A Printer- Cut Print Out</t>
  </si>
  <si>
    <t>9/5 - Upon arrival coordinate to MOD for POS A printer checking
- Test self print
- Found that printer wont print consistently
- Check printer physically
- Found that upper casing already damaged
- Clean printer roller and cutt assembly
- Test print; it prints but incomplete text format
- Found that roller is defective
- Try to replace roller from the other defective printer
- Test print; issue still persist
- Found that flex cable has an issue
- Try to reseat thermal head wirings/flex
- Test print; ok complete
- Test print several times; ok complete
- Test print thru LSNAV; ok complete
- Verify to MOD
- Work done</t>
  </si>
  <si>
    <t>Replace roller and reseat thermal head flex cables</t>
  </si>
  <si>
    <t>SD IRA</t>
  </si>
  <si>
    <t>Laren Atienza</t>
  </si>
  <si>
    <t xml:space="preserve"> FSBP00123637</t>
  </si>
  <si>
    <t>BOS Server - Auto shutdown (7-8 times a day since August 22)</t>
  </si>
  <si>
    <t>9/5 - Upon arrival  Bos is up and working
- MWS is being used by SM
- wait after SM
- Remote BOS
- check event viewer;
- event 41 error; reboots system without cleanly shutting down the system; power interrupt
- check HDD health in HD sentinel; 100% health and good temp at 34°, no bad sectors
- check task scheduler; no auto/scheduled shutdown/reboot
- Check system unit's PSU fan; good working
- Ask MOD to have window time for checking the BOS power cable
- turn off BOS, check power cable; good no burnt conductor.
- Check UPS; not charging and 100v
- Transfer BOS to normal outlet
- As per sir Rico UPS is for replacement and for recommendation to Facilities.
- Work done</t>
  </si>
  <si>
    <t>BOS temporarily transferred to a normal outlet to restore full functionalit</t>
  </si>
  <si>
    <t>SD RR</t>
  </si>
  <si>
    <t>Kyle Arok</t>
  </si>
  <si>
    <t xml:space="preserve">FSBP00123648 </t>
  </si>
  <si>
    <t>SB345</t>
  </si>
  <si>
    <t>THE GLOBE TOWER</t>
  </si>
  <si>
    <t xml:space="preserve">Toshiba | Toshiba | </t>
  </si>
  <si>
    <t>POS A (E-70) | POS B (E-70) | AUB</t>
  </si>
  <si>
    <t>41-LH232 | 41-LD515 | 28P-984-327</t>
  </si>
  <si>
    <t xml:space="preserve"> To check physical connection since store cannot transact because AUB has problem</t>
  </si>
  <si>
    <t>9/5 -Upon arrival coordinate with mod
-AUB is on but not working and it has an error on the pos
-crimp LAN cable ; good (AUB still has an error on pos)
-ping and standalone test
-as per Sir Ralph recommendation to AUB team
-work done</t>
  </si>
  <si>
    <t>crimp and standalone | recommendation to AUB team</t>
  </si>
  <si>
    <t>Banj Millado</t>
  </si>
  <si>
    <t xml:space="preserve"> FSBP00123656</t>
  </si>
  <si>
    <t xml:space="preserve">Posiflex </t>
  </si>
  <si>
    <t>KS-7415G</t>
  </si>
  <si>
    <t>KSGA0482</t>
  </si>
  <si>
    <t>KDS 100mbps Connectivity Issue</t>
  </si>
  <si>
    <t>9/5 - -Upon arrival, coordinated with the MOD regarding the issue: KDS was only running at 100 Mbps.
-Conducted troubleshooting and confirmed that the KDS monitor was limited to 100 Mbps.
-Recrimped the patch cable connected to the KDS monitor.
-After the fix, the connection speed registered as 1 Gbps on the RCOC dashboard.
-Ticket marked as closed.</t>
  </si>
  <si>
    <t>Recrimped the patch cable for the Posiflex KDS monitor.</t>
  </si>
  <si>
    <t>Genesis Mendoza</t>
  </si>
  <si>
    <t>FSBP00123654</t>
  </si>
  <si>
    <t>088XHNKM900001A</t>
  </si>
  <si>
    <t xml:space="preserve"> DT Panel A 100mbps</t>
  </si>
  <si>
    <t>9/5 - Upon arrival, coordinated with the MOD regarding the 100 Mbps issue on DT Panel A.
Conducted troubleshooting on LFD Menu Board A and found no display output.
Unplugged and replugged the LFD monitor.
Recrimped the patch cable for the panel.
After the repair, Menu Board A resumed normal operation.
Ticket closed.</t>
  </si>
  <si>
    <t>Recrimped patch cable for Menu Board A.</t>
  </si>
  <si>
    <t xml:space="preserve">FSBP00123655 </t>
  </si>
  <si>
    <t>KSHC0036</t>
  </si>
  <si>
    <t>POS B 100mbps Connectivity Issue</t>
  </si>
  <si>
    <t>9/5 - Upon arrival, coordinated with the MOD regarding the initial report of DT Panel A running at 100 Mbps.
Conducted full network troubleshooting and identified that POS B was also operating at only 100 Mbps.
Recrimped the patch cable connected to POS B.
After the fix, the RCOC dashboard confirmed the connection speed had increased to 1 Gbps.
Ticket marked as closed.</t>
  </si>
  <si>
    <t>Recrimped patch cable for Posiflex POS B</t>
  </si>
  <si>
    <t>FSBP00123660</t>
  </si>
  <si>
    <t>QM49R</t>
  </si>
  <si>
    <t>088UHNFM900016R</t>
  </si>
  <si>
    <t>Disconnected LFD Panels  - RTO
IP : 10.161.182.64 - Menu B</t>
  </si>
  <si>
    <t>9/5 - Upon arrival, coordinated with the MOD regarding the Sev2 issue: LFD Panel Menu Board B was disconnected from RTO.
Conducted troubleshooting and found that the panel displayed no output.
Unplugged and replugged the LFD monitor.
Recrimped the patch cable connected to the panel.
After recrimping, Menu Board B came back online and registered a 1 Gbps connection on the RCOC dashboard.
Verified connectivity by pinging IP: 10.161.182.64.
Ticket closed.</t>
  </si>
  <si>
    <t>Recrimped patch cable</t>
  </si>
  <si>
    <t>FSBP00123659</t>
  </si>
  <si>
    <t>SB327</t>
  </si>
  <si>
    <t>CENTRIO - G/F - CAGAYAN DE ORO</t>
  </si>
  <si>
    <t>11GD-PAR1-WW</t>
  </si>
  <si>
    <t>V30AP72C</t>
  </si>
  <si>
    <t>MWS - 100mbs lan status on meraki port</t>
  </si>
  <si>
    <t>9/5 - -Upon arrival, coordinated with MOD
-checked MWS LAN speed
-re-crimp LAN cable
-ping test MWS: OK
-test LAN cable: OK</t>
  </si>
  <si>
    <t>re-crimp the LAN cable</t>
  </si>
  <si>
    <t>SD BERT</t>
  </si>
  <si>
    <t xml:space="preserve"> Mark Adam Galamiton</t>
  </si>
  <si>
    <t>Jonard Boycillo</t>
  </si>
  <si>
    <t>FSBP00123661</t>
  </si>
  <si>
    <t>Curio Player Z8</t>
  </si>
  <si>
    <t>2012H0FG09152</t>
  </si>
  <si>
    <t>Curio Player - 100mbs lan status on meraki port</t>
  </si>
  <si>
    <t>9/5 --coordinate RCOC for Meraki dashboard checking
-re-crimp LAN cable
-test LAN cable
-Work Done</t>
  </si>
  <si>
    <t>FSBP00123634</t>
  </si>
  <si>
    <t xml:space="preserve">Epson </t>
  </si>
  <si>
    <t>M313A</t>
  </si>
  <si>
    <t>TPJF032927</t>
  </si>
  <si>
    <t>CBS printer - faulty adapter</t>
  </si>
  <si>
    <t>9/5- Upon arrival, inspected the adapter of the CBS Epson printer.
Found the printer to be operational and the adapter properly installed.
According to MOD Genesis Mendoza, the Epson printer adapter was already replaced by L2 support on September 3, 2025.
Confirmed that the replacement adapter is functioning and the printer is working as intended.
Ticket marked as closed.</t>
  </si>
  <si>
    <t>Epson printer adapter was replaced by partners on 09/03/2025.
Printer confirmed to be fully operational.</t>
  </si>
  <si>
    <t>SD RICA</t>
  </si>
  <si>
    <t>FSBP00123683</t>
  </si>
  <si>
    <t>POS A, POS B, POS C, POS D</t>
  </si>
  <si>
    <t>4CE9241XXD</t>
  </si>
  <si>
    <t xml:space="preserve"> All POS - locked by another user</t>
  </si>
  <si>
    <t xml:space="preserve">9/5 - - Upon arrival coordinate to MOD for ALL POS &amp; Server checking
- Upon arrival all pos is up and working
- Ping test both POS and server; ok
- Check speed test POS, MWS, and BOS
- Found that BOS is 100mbps
- Coordinate to MOD for recrimping of BOS Lan cables
- Recrimp LAN cables
- Check speed test; 1GBPS
- observe for 30 mins
- No RTO found
- Verify with MOD
- Work done
</t>
  </si>
  <si>
    <t>Recrimp BOS LAN cable</t>
  </si>
  <si>
    <t>8/19 - HD Action: ack but also requested a separate ticket for this act.
8/20 - Upon arrival at NAIA, Pass control, waiting for the Store  Escort.
-Upon arrival at the Store, wait for the facilities team.
-Joint Visit with Mall IT &amp; Facilities.
-The facilities team performed a Mall sending Survey for laying down Cat6.
-The mall sending connection is currently from the Meraki switch to the store TPlink AP to NAIA TPlink AP.
-Mall IT suggested to direct the LAN cable from the Meraki switch to the NAIA server switch (bypassing the AP to AP).
-coordinated with Sir Vince &amp; Sir Clence.
-work done.
9/5 - Upon arrival to naia pass control, Waiting for the Store Escort.
- Upon arrival to Store, waiting for facilities team.
- Joint Visit with Mall IT &amp; Facilities.
- Facilities team laid down 3x Cat6 from Meraki area to Server switch area.
- Crimped cat6 end to end.
- Terminate to Meraki port 9 and Server switch Port 12 with Mall IT.
- 10.145.151.180 is stable pingable.
- Labeled mall sending &amp; cable groom
- Remote by pasi.
- Mall sending is now stable.
- Work done.</t>
  </si>
  <si>
    <t>laying (Faci), crimped &amp; terminating (Cerv) new Cat6 cables, verified w/ PASI</t>
  </si>
  <si>
    <t>SD Rica</t>
  </si>
  <si>
    <t xml:space="preserve"> Liz Maraan</t>
  </si>
  <si>
    <t xml:space="preserve">FSBP00123636 </t>
  </si>
  <si>
    <t>41-MH961</t>
  </si>
  <si>
    <t>POS B - lags during delivery transactions and turns off for almost an hour</t>
  </si>
  <si>
    <t xml:space="preserve">9/6 - Upon arrival coordinate MOD
- Checking WAN1 &amp; WAN2 internet connection, ok
- Checking power outage, ok
- As per MOD both POS shutting down last time due to brownout
- Checking POS B connection both 1gbps
- Restart grab device done
- Restart Nav on POS B, ok
- No problem like paymaya &amp; cash transaction logs only on grab.
- Advised mod regarding the issue probably software update of grab
- Work done
</t>
  </si>
  <si>
    <t>NFT - Grab transaction logs probably of grab software updates</t>
  </si>
  <si>
    <t>SD Ira</t>
  </si>
  <si>
    <t>Reah Blanquero</t>
  </si>
  <si>
    <t>FSBP00123506</t>
  </si>
  <si>
    <t>SB174</t>
  </si>
  <si>
    <t>MEDICAL CITY - LEVEL 1 - ORTIGAS AVE</t>
  </si>
  <si>
    <t>PP050194</t>
  </si>
  <si>
    <t xml:space="preserve">POS B Printer - Blurred Print out </t>
  </si>
  <si>
    <t xml:space="preserve">9/6 - Coordinated with MOD
- Checked the reported device and verified the issue
- Attempted to fix printer; check cutter, thermal head, flex cables but still not working
- Deep cleaned posiflex printer
- Test printer after deep clean; print out is now readable
- Tested multiple times; OK
- POS B printer now working properly
- Work done
</t>
  </si>
  <si>
    <t>Deep cleaned posiflex printer</t>
  </si>
  <si>
    <t>SD Cha</t>
  </si>
  <si>
    <t>Nicole Lalangan</t>
  </si>
  <si>
    <t>FSBP00123722</t>
  </si>
  <si>
    <t>SB181</t>
  </si>
  <si>
    <t>PACIFIC CENTER BINONDO</t>
  </si>
  <si>
    <t>PP050262</t>
  </si>
  <si>
    <t>POS A Printer- Has no power</t>
  </si>
  <si>
    <t>9/6 -upon arrival coordinate with mod
-printer is working but printer has an error on pos
-unplug usb cable and plug, secure cables;good
-fix paper properly
-restart pos
-test multiple times
-reoccur
-waiting for parts
-install new adaptor
-pull out defective
-MOD ack printer is now working
-work done</t>
  </si>
  <si>
    <t>secured cable and restart pos</t>
  </si>
  <si>
    <t>DP09BK2NM15</t>
  </si>
  <si>
    <t>DP03DK2NS18</t>
  </si>
  <si>
    <t>SD Jona</t>
  </si>
  <si>
    <t>Jersaw tamondo</t>
  </si>
  <si>
    <t xml:space="preserve"> FSBP00122970 </t>
  </si>
  <si>
    <t>POS A MSR - unable to read All partner ID's</t>
  </si>
  <si>
    <t>9/7 Upon arrival coordinated with the MOD
- Confirmed card need to be swiped multiple times before login.
- Performed cleaning of MSR.
- Reseated and secured the cable.
- Tested multiple times using notepad
- Tested thru NAV login with partners id card multiple times.
- MSR status is ok and working, confirmed and witnessed by the MOD.</t>
  </si>
  <si>
    <t>Reseated and secured the cable</t>
  </si>
  <si>
    <t>SD- Miguel</t>
  </si>
  <si>
    <t>Mark Angelo De Pedro</t>
  </si>
  <si>
    <t>Raphael Padrones</t>
  </si>
  <si>
    <t>FSBP00123814</t>
  </si>
  <si>
    <t>SB531</t>
  </si>
  <si>
    <t>THE ARTON STRIP</t>
  </si>
  <si>
    <t xml:space="preserve"> 4CE9241XWZ</t>
  </si>
  <si>
    <t>MWS Desktop - Encountered RTO</t>
  </si>
  <si>
    <t xml:space="preserve">9/7 Upon arrival coordinate with MOD mws is intermittent
- Remote BOS from mws then ping test mws; random RTO occurs
- Recrimp Lan cable of MWS
- Ping test again; good
- observe for possible rto; none. Work done
</t>
  </si>
  <si>
    <t xml:space="preserve"> Recrimp Lan cable of MWS</t>
  </si>
  <si>
    <t>SD-Miguel</t>
  </si>
  <si>
    <t xml:space="preserve"> Kevin Cachero</t>
  </si>
  <si>
    <t xml:space="preserve"> FSBP00123772 </t>
  </si>
  <si>
    <t>Defective Battery</t>
  </si>
  <si>
    <t>VB02207F01187</t>
  </si>
  <si>
    <t>MO&amp;P Device - Battery easily drained</t>
  </si>
  <si>
    <t xml:space="preserve">9/8  Upon arrival coordinate with MOD 
-  Upon checking on device settings; found that MOP device is on sports mode
- Select normal mode; observe for battery consumption 
- It takes 7 minutes for the device's battery to decrease by 1%.
- Also compare with other device battery decreasing they're just the same
</t>
  </si>
  <si>
    <t>no trouble found</t>
  </si>
  <si>
    <t>Chao Camacho</t>
  </si>
  <si>
    <t>FSBP00123877</t>
  </si>
  <si>
    <t xml:space="preserve"> DT Panel C Disconnected/RTO</t>
  </si>
  <si>
    <t>9/8 Upon arrival coordinate to MOD for DT PANEL C checking
- Ping test DT Panel C
- Confirmed DT panel C is disconnected/unreachable 
- Recrimp Panel C lan cable
- Ping test Panel C; ok reachable
- Coordinate to Sir Vince for checking of DT Panel C status
- Confirmed DT panel C is connected
- Ping test for 15 mins; no RTO found
- Verify to MOD
- Work done</t>
  </si>
  <si>
    <t>System-Vince</t>
  </si>
  <si>
    <t xml:space="preserve">Cha De </t>
  </si>
  <si>
    <t>FSBP00123883</t>
  </si>
  <si>
    <t>rto51888</t>
  </si>
  <si>
    <t xml:space="preserve"> POS D 100mbps Connectivity Issue</t>
  </si>
  <si>
    <t>9/8 Upon arrival coordinate mod
Proceed to pos D for checking
Unplug lan cable and recrimp 
Test using lan tester (ok)
Ping on mws ok no rto
Coordinate sir vince and confirmed posD is up on dashboard and get 1gbps
Work done
Call Closed</t>
  </si>
  <si>
    <t xml:space="preserve">Unplug lan cable and recrimp </t>
  </si>
  <si>
    <t>Pongase Ervan Jorge</t>
  </si>
  <si>
    <t xml:space="preserve">FSBP00123884 </t>
  </si>
  <si>
    <t>st-7hdyq54</t>
  </si>
  <si>
    <t>Content PC 100mbps Connectivity Issue</t>
  </si>
  <si>
    <t>9/8 Upon arrival coordinate mod
Proceed to back office
Check lan unplug and recrimp end to end.
Test using lan tester ok
Ping on mws no rto
Check on port 14 green lights indicated 
Chat sir vince and confirmed 1gbps up on dashboard 
Work done
Call Closed</t>
  </si>
  <si>
    <t>recrimped end to end</t>
  </si>
  <si>
    <t xml:space="preserve"> FSBP00123882</t>
  </si>
  <si>
    <t>SB235</t>
  </si>
  <si>
    <t>PNB BUILDING - MAKATI</t>
  </si>
  <si>
    <t xml:space="preserve">TOSHIBA  </t>
  </si>
  <si>
    <t xml:space="preserve"> 41LD579</t>
  </si>
  <si>
    <t>POS B till drawer 2- won't open</t>
  </si>
  <si>
    <t>9/8 - Upon arrival coordinate with MOD
- Upon checking found under the cash trays roller is missing/broken
- Replace whole cash drawer
- Test multiple times; witness by MOD</t>
  </si>
  <si>
    <t>Replaced cash drawer</t>
  </si>
  <si>
    <t>60-20016</t>
  </si>
  <si>
    <t>60-11554</t>
  </si>
  <si>
    <t xml:space="preserve"> Jerome Valencia</t>
  </si>
  <si>
    <t>FSBP00123783</t>
  </si>
  <si>
    <t>SB370</t>
  </si>
  <si>
    <t>THE ROCK HOLY SPIRIT DRIVE</t>
  </si>
  <si>
    <t>41MD358</t>
  </si>
  <si>
    <t xml:space="preserve">POS B - Cannot use it since it frequently shuts down
</t>
  </si>
  <si>
    <t xml:space="preserve">9/8 - Upon arrival POS B is up
- Check event viewer; random shutdown
- Event 41; shutsdown without cleanly shutting down possible cause power interruption
- Check task scheduler; no schedules shutdown
- Check power cable; loose
- Snug fit power cable to psu
- Observed for 1hr; did not shutdown. Work done
</t>
  </si>
  <si>
    <t>Snug fit power cable to psu</t>
  </si>
  <si>
    <t>Matt Santiago</t>
  </si>
  <si>
    <t>FSBP00098195</t>
  </si>
  <si>
    <t>SB415</t>
  </si>
  <si>
    <t>GRACELANE DT</t>
  </si>
  <si>
    <t>Z8</t>
  </si>
  <si>
    <t>2012H0FG03234</t>
  </si>
  <si>
    <t xml:space="preserve"> Play Network log in credentials needed+ 415 Grace Lane DT</t>
  </si>
  <si>
    <t>9/8 - Upon arrival, coordinate to MOD regarding the issue of Corio Player Network Login Credentials. 
- Conduct recrimp patch cable end to end. 
- Restart the corio player and login, input username and password. 
- MOD witness that the curio player is properly working. Ticket Close.</t>
  </si>
  <si>
    <t>6:03 PM, 12:00 AM</t>
  </si>
  <si>
    <t>11:59 PM, 2:40 PM</t>
  </si>
  <si>
    <t>Ian Zapata</t>
  </si>
  <si>
    <t xml:space="preserve">FSBP00123892 </t>
  </si>
  <si>
    <t>SB652</t>
  </si>
  <si>
    <t>TIMES PLAZA UN AVE</t>
  </si>
  <si>
    <t>SMART</t>
  </si>
  <si>
    <t>ET610 4G LTE</t>
  </si>
  <si>
    <t xml:space="preserve">Smart LTE Deployment
</t>
  </si>
  <si>
    <t xml:space="preserve">9/8 - Install smart LTE
- Standalone
- Work done
</t>
  </si>
  <si>
    <t>install smart biz LTE</t>
  </si>
  <si>
    <t>Smart LTE</t>
  </si>
  <si>
    <t>RCOC Bryan</t>
  </si>
  <si>
    <t>Jessica Gawiran</t>
  </si>
  <si>
    <t>FSBP00123546</t>
  </si>
  <si>
    <t>SB120</t>
  </si>
  <si>
    <t xml:space="preserve"> ALPAP I - LEVISTE</t>
  </si>
  <si>
    <t>41LH189</t>
  </si>
  <si>
    <t>POS B - root element is missing error</t>
  </si>
  <si>
    <t xml:space="preserve">9/9 - Upon arrival coordinate with mod
- POS B is up after restart POS wont bootup
- Waiting for parts
- Install HDD and config by PASI; good
- Config by RCOC for domain; good
- Config autolog in; good
- Pull out defective HDD
- Test multiple times
- MOD ack POS B is now working
- Observe in case of problem occur; none
- Work done
</t>
  </si>
  <si>
    <t>replaced HDD</t>
  </si>
  <si>
    <t>10B7E9WKSFUC</t>
  </si>
  <si>
    <t>ZN1WY6XP</t>
  </si>
  <si>
    <t>11:03 AM, 2:11 PM</t>
  </si>
  <si>
    <t>12:35 PM, 3:00 PM</t>
  </si>
  <si>
    <t>SD Miguel</t>
  </si>
  <si>
    <t>Keith Torres</t>
  </si>
  <si>
    <t>FSBP00123892</t>
  </si>
  <si>
    <t>ET610 4G LTE Router</t>
  </si>
  <si>
    <t>Kindly pickup Smart LTE in HO, for deployment tomorrow at 652 UN Times Plaza.</t>
  </si>
  <si>
    <t>9/9 - Upon arrival, waiting for parts
- Deliver and Install Smart LTE
- Standalone test Smart LTE at FOH slow
- Standalone test Smart LTE at BO fast
- Plugged to meraki port 2
- Checked by Sir Bryan and he acknowledged
- Tested maya transaction QR it reflect
- Tested by MOD good
- Work done</t>
  </si>
  <si>
    <t>deployed Smart LTE</t>
  </si>
  <si>
    <t>12:25 PM, 2:00 PM</t>
  </si>
  <si>
    <t>1:01 PM, 3:30 PM</t>
  </si>
  <si>
    <t>Jesica Gawiran</t>
  </si>
  <si>
    <t>FSBP00123984</t>
  </si>
  <si>
    <t>SB221</t>
  </si>
  <si>
    <t xml:space="preserve">IMPERIAL PALACE SUITES
</t>
  </si>
  <si>
    <t>41LH251</t>
  </si>
  <si>
    <t>POS B - blue screen</t>
  </si>
  <si>
    <t>9/9 - Upon arrival POS B not booted to windows
- Restart POS B; still not booting to windows
- Reseat HDD and ram; still same
- Try to reimage with hirens; HDD not detected
- Restart again pos and reseat hdd; still same
- Try to change sata cable; still same.
- Coordinate with asset to send HDD with fresh image
- Wait for delivery of HDD
- Uninstall defective HDD
- Install HDD with fresh image
- Setup POS
- Restore IP, computer name and hosts file
- Install maya driver
- Install opos driver
- Ask PASI to configure POS
- PASI started to remote POS
- PASI advised to test POS
- Test by MOD; good.
- Pull out defective hdd. Work done</t>
  </si>
  <si>
    <t>Install HDD with fresh image</t>
  </si>
  <si>
    <t>5VVWQ8VS</t>
  </si>
  <si>
    <t>WCC2E7VYSSFJ</t>
  </si>
  <si>
    <t>Hest Reyes</t>
  </si>
  <si>
    <t>FSBP00123098</t>
  </si>
  <si>
    <t>POS B Line Display</t>
  </si>
  <si>
    <t>KSJA0887</t>
  </si>
  <si>
    <t>POS B: Customer display - detached screen</t>
  </si>
  <si>
    <t>9/9 - Upon Arrival coordinate to MOD
- Check line /customer display
- Detached screen, with - display only
- Check if any pin is up, upon checking all 4 pin is down
- Up pin, check opos to test
- Test ok
- Secure lock of line display
- Ask PASI for support
- Replug line display
- Ask MOD to check and test
- Observed
- Confirm MOD test ok
- Work done</t>
  </si>
  <si>
    <t>Secure lock of line display</t>
  </si>
  <si>
    <t>SD Vincent</t>
  </si>
  <si>
    <t>Kristine Anajao</t>
  </si>
  <si>
    <t>FSBP00123692</t>
  </si>
  <si>
    <t>Slow Response, Network Assistance</t>
  </si>
  <si>
    <t>PLDT Home Fibr</t>
  </si>
  <si>
    <t xml:space="preserve"> 90610C96EDF0</t>
  </si>
  <si>
    <t>All POS - takes 10minutes to settle all transactions</t>
  </si>
  <si>
    <t>9/9 Upon arrival coordinated with MOD
-All transactions are normal upon arrival
-Checked BOS adapter; good, 1.0Gbps
-Checked BOS health; good, 100% health
-Observed BOS task manager for an hour; good, no 100% disk and Memory usage
-Ping 8.8.8.8; found unstable, RTO sometimes
-Checked Meraki; good WAN 1 and WAN 2 and BOS, good light indicators
-Checked PLDT (WAN1) Modem; found sensitive LAN cable when moved
-Touched LAN of WAN 1 on meraki side; good, not disconnecting
-Touched PLDT modem LAN; confirmed  disconnecting when touched / moved
-Coordinated with MOD that I need to recrimp WAN 1 on modem side; good
-Recrimp PLDT LAN cable on modem side; good
-Performed standalone test on WAN 1 and WAN 2; good, fast
-Ping 8.8.8.8; good, stable and pingable
-Observed for a while; good
-Checked all transactions on both POS; good, normal transactions
-Work done</t>
  </si>
  <si>
    <t>Recrimp PLDT LAN cable on modem side</t>
  </si>
  <si>
    <t xml:space="preserve"> Shaina Medina</t>
  </si>
  <si>
    <t>FSBP00124023</t>
  </si>
  <si>
    <t>41-LH249</t>
  </si>
  <si>
    <t>POS A - Auto shutdown</t>
  </si>
  <si>
    <t>9/10 upon arrival coordinate with mod
-According to the mod, when an error appears and  click 'Yes', the LS Nav suddenly disappears, and the POS shuts down unexpectedly.
-posa is working
- check hard drive,good
-check outlet;good
-check ethernet 1gb good
-check power button good
-check task scheduler;good
-observe bos to pos ping;good
-check mws ping isp;good
-secure cables
-work done</t>
  </si>
  <si>
    <t>SD Hershie</t>
  </si>
  <si>
    <t>Bel Comeda</t>
  </si>
  <si>
    <t>FSBP00124044</t>
  </si>
  <si>
    <t>SB364</t>
  </si>
  <si>
    <t>SIGNA DESIGNER RESIDENCES - GF - MAKATI</t>
  </si>
  <si>
    <t>41-LH305</t>
  </si>
  <si>
    <t>POS B error- For replacement of RAM</t>
  </si>
  <si>
    <t>9/10 Upon arrival, coordinated with the MOD.
- Confirmed problem with Memory Diagnostic Tool.
- Waited parts for replacement.
- Installed new RAM to POS B.
- Standby for 30 mins
- Work done</t>
  </si>
  <si>
    <t>replaced RAM</t>
  </si>
  <si>
    <t>11S78P2667YK12MV62S026</t>
  </si>
  <si>
    <t xml:space="preserve"> CMV4GX3M1A1600C11</t>
  </si>
  <si>
    <t>Gwyneth Relano</t>
  </si>
  <si>
    <t xml:space="preserve"> FSBP00122385</t>
  </si>
  <si>
    <t>SB414</t>
  </si>
  <si>
    <t>PORTICO RETAIL AREA</t>
  </si>
  <si>
    <t>POS A Wiring Organization</t>
  </si>
  <si>
    <t>9/9 - Sir Pow approved via email
9/11 - Upon arrival coordinated with MOD
- Checked cables on both POS
- Tested devices before grooming; good
- Organize and groomed both POS cables
- Test devices again; good, all working
- Waited for MOD for confirmation; confirmed by MOD
- Work done</t>
  </si>
  <si>
    <t>successful cable grooming at POS Area</t>
  </si>
  <si>
    <t>System Pow</t>
  </si>
  <si>
    <t xml:space="preserve"> Jamie Trinidad</t>
  </si>
  <si>
    <t xml:space="preserve">FSBP00124104 </t>
  </si>
  <si>
    <t>SB156</t>
  </si>
  <si>
    <t>6788 AYALA AVE</t>
  </si>
  <si>
    <t>PC0ANAQ6</t>
  </si>
  <si>
    <t xml:space="preserve"> For Replacement of HDD *reco before PM </t>
  </si>
  <si>
    <t>9/11 FE:Sandro - Upon arrival, MOD advised that if possible reschedule the activity. She advised that they are doing report in this time
-Reschedule activity time 6pm onwards
-Pending
9/11 FE:Brent - Upon arrival coordinate with MOD, as per MOD since the activity took a lot of time, we will proceed after store hours.
- Undomain MWS
- Proceed HDD replacement
- Transfer old files
- PASI configuration
- MOD test, ok
- Check transfered files, ok
- Domain, failed</t>
  </si>
  <si>
    <t>replaced HDD (MWS) - for RCOC to domain</t>
  </si>
  <si>
    <t>W62AS82N</t>
  </si>
  <si>
    <t>10:20 AM, 6:00 PM, 7:20 PM, 8:50 PM, 1:24 AM</t>
  </si>
  <si>
    <t>6:00 PM, 7:15 PM, 8:37 PM, 11:29 PM, 1:45 AM</t>
  </si>
  <si>
    <t>Sandro Labalan, Brent Facturan</t>
  </si>
  <si>
    <t>Christian Cano</t>
  </si>
  <si>
    <t>FSBP00124132</t>
  </si>
  <si>
    <t xml:space="preserve">Digital Menu Board Screen 5 Monitored Disconnected
</t>
  </si>
  <si>
    <t>9/11 - -Disconnected and connected to Komodo dragon
-Forget other networks except Komodo
-Did to others' menu board
-Advised Sir Vince, and he acknowledged
-MOD reported that their menu board suddenly on around the closing time of the store.
-Reco to ITI
-Work done</t>
  </si>
  <si>
    <t>-Disconnected and connected to Komodo dragon</t>
  </si>
  <si>
    <t>TS Vince</t>
  </si>
  <si>
    <t>Angelo Monzon</t>
  </si>
  <si>
    <t>FSBP00124086</t>
  </si>
  <si>
    <t xml:space="preserve"> Zoom nitro</t>
  </si>
  <si>
    <t>9/11 Upon arrival coordinate to MOD for DT Zoom timer checking
- Ping test zoom timer; found RTO/Unreachable
- Check end to end port; found defective Rj45 lock
- Recrimp end to end
- Test ping zoom timer; ok
- Access DT timer in MWS; ok 
- Coordinate to sir Vince for dashboard checking; online
- Verify to MOD
- Work done</t>
  </si>
  <si>
    <t>Recrimp end to end rj45</t>
  </si>
  <si>
    <t xml:space="preserve"> Erika Artuz</t>
  </si>
  <si>
    <t xml:space="preserve">FSBP00124139 </t>
  </si>
  <si>
    <t>6MQ7S24524001605</t>
  </si>
  <si>
    <t>DITO Deployment</t>
  </si>
  <si>
    <t>9/11 Upon arrival, waiting for parts
-Deliver and installed DITO LTE
-Standalone Test fast and stable
-Terminate to meraki port 1
-Store is now up
-Pull out SMART LTE
-Advised Sir Jade and he acknowledged
-Work done</t>
  </si>
  <si>
    <t>Terminate to meraki port 1</t>
  </si>
  <si>
    <t>LTE SMART</t>
  </si>
  <si>
    <t xml:space="preserve"> 6MQ7S24524001605</t>
  </si>
  <si>
    <t>System Jade</t>
  </si>
  <si>
    <t xml:space="preserve">Sandro Labalan
</t>
  </si>
  <si>
    <t>FSBP00124138</t>
  </si>
  <si>
    <t>SB490</t>
  </si>
  <si>
    <t>DON ANTONIO DRIVE</t>
  </si>
  <si>
    <t>wall mounted</t>
  </si>
  <si>
    <t xml:space="preserve"> Cafe Digital Menu Board - Screen 5 Monitored Disconnected</t>
  </si>
  <si>
    <t>9/11 Upon arrival coordinate to mod
-check network disconnected
-try to scanz no any network found
-power cycle the digital menuboard screen 5
-check network connected in komodo
-check save network, komodo only saved
-work done</t>
  </si>
  <si>
    <t xml:space="preserve"> power cycle dmb</t>
  </si>
  <si>
    <t>Jayric Fernandez</t>
  </si>
  <si>
    <t xml:space="preserve">FSBP00124150 </t>
  </si>
  <si>
    <t>SB518</t>
  </si>
  <si>
    <t>19 VISAYAS AVE</t>
  </si>
  <si>
    <t>POS A drawer 2 - broken till drawer (no stopper)</t>
  </si>
  <si>
    <t>9/11 - - Upon arrival, wait for the delivery of the new cash drawer
- wait to finish customers in POS A
- uninstall old drawer
- install a new drawer
- test by MOD; good.
- Endorse the old drawer to MOD. Work done</t>
  </si>
  <si>
    <t>install a new drawer</t>
  </si>
  <si>
    <t>Posiflex Cash Drawer</t>
  </si>
  <si>
    <t>Erika Erfelo</t>
  </si>
  <si>
    <t xml:space="preserve">FSBP00124148 </t>
  </si>
  <si>
    <t xml:space="preserve">41-PH562
</t>
  </si>
  <si>
    <t xml:space="preserve"> POS B Error - No service tier</t>
  </si>
  <si>
    <t>9/11 Upon arrival coordinate with MOD 
- Upon checking POS has "X" indicator on internet; recrimp LAN cable of POS end to end
- Reseat LAN of Meraki to ethernet wall socket 
- Reseat LAN of POS to ethernet wall socket 
- Ping test POS; POS to BOS 
- 1GBPS Connection 
- Test print; done
- Open both drawers; done</t>
  </si>
  <si>
    <t xml:space="preserve">direct lan cable to ethernet wall socket </t>
  </si>
  <si>
    <t xml:space="preserve">Jericho Rada </t>
  </si>
  <si>
    <t>Julliana Galarian</t>
  </si>
  <si>
    <t>FSBP00124160</t>
  </si>
  <si>
    <t>SB213</t>
  </si>
  <si>
    <t xml:space="preserve"> ALLEGRO BLDG - PASONG TAMO</t>
  </si>
  <si>
    <t>ThinkCentre</t>
  </si>
  <si>
    <t>GM067E84</t>
  </si>
  <si>
    <t>MWS 100mbps and can't remote</t>
  </si>
  <si>
    <t>9/11 -Upon arrival, coordinate with Mod
-found MWS has 100mbps
-crimp end to end
-MWS is now 1 GB
-TeamViewer good
-Sir Vince advises TeamViewer that it can now be remote
-work done</t>
  </si>
  <si>
    <t>crimp end to end</t>
  </si>
  <si>
    <t>TS Marvin</t>
  </si>
  <si>
    <t xml:space="preserve"> Nina Pinza</t>
  </si>
  <si>
    <t xml:space="preserve">FSBP00124166 </t>
  </si>
  <si>
    <t>SB182</t>
  </si>
  <si>
    <t>WALTERMART - CHINO ROCES AVE</t>
  </si>
  <si>
    <t>41MD241</t>
  </si>
  <si>
    <t xml:space="preserve"> POS A - no power due to the power button being submerged.</t>
  </si>
  <si>
    <t>9/11 -Upon arrival, coordinate with MOD
-The button has submerged
-waiting for parts
-install new bezel
-work done</t>
  </si>
  <si>
    <t>installed a new bezel</t>
  </si>
  <si>
    <t>Bezel</t>
  </si>
  <si>
    <t>11S742999OYK11RL61E009</t>
  </si>
  <si>
    <t>11S742999OYK11RL4AD129</t>
  </si>
  <si>
    <t xml:space="preserve"> Justine Mabuti</t>
  </si>
  <si>
    <t>FSBP00124095</t>
  </si>
  <si>
    <t>SB337</t>
  </si>
  <si>
    <t>ZUELLIG BUILDING - 2F - MAKATI</t>
  </si>
  <si>
    <t>41MC595</t>
  </si>
  <si>
    <t>Open Result Error: (401) OPOS_ORS_NOPORT Port configured for device is invalid or inaccessible</t>
  </si>
  <si>
    <t>9/12 - - Upon arrival coordinate to MOD for POS A CD checking
- Check CD’s in configuration utility
- Test CD 1; ok
- Test CD 2; When testing cash drawer 2, it failed to open, but cash drawer 1 proceed to open.
- Check configuration of CD 2
- Found that the cash drawer name is set to cash drawer 1
- Change it to cash drawer 2
- Test both CD’s; ok open successfully
- Coordinate to MOD for LSNAV testing; ok
- Verify to MOD
- Work done</t>
  </si>
  <si>
    <t>Assigned CD 2 for Cash drawer 2</t>
  </si>
  <si>
    <t>Jerome Resurreccion</t>
  </si>
  <si>
    <t>FSBP00124157</t>
  </si>
  <si>
    <t>KSM60462</t>
  </si>
  <si>
    <t>POS B Drawer 1 - won't open due to cut wires</t>
  </si>
  <si>
    <t>9/12 - - Upon arrival, coordinate to MOD
- Check drawer 1; cut wire y cable
- Waited for parts delivery
- Replace y cable
- Check in opos if drawer is working
- Check by MOD
- Observed
- Work done</t>
  </si>
  <si>
    <t>replaced y cable due to cut wires</t>
  </si>
  <si>
    <t>Aly Chaneco</t>
  </si>
  <si>
    <t xml:space="preserve">FSBP00124198 </t>
  </si>
  <si>
    <t>SB297</t>
  </si>
  <si>
    <t>GLORIETTA 5 LEVEL 2</t>
  </si>
  <si>
    <t>Lenovo ThinkCentre M900</t>
  </si>
  <si>
    <t>MT-M-10FG-S1R501</t>
  </si>
  <si>
    <t>PCID6Z4R</t>
  </si>
  <si>
    <t>Mall sending missing CSV files for July 06 onwards</t>
  </si>
  <si>
    <t>9/12 - Upon arrival coordinate to MOD for Mall sending checking
- Check Mall sending status in BOS server
- Found unplugged network status
- Try Lan cable tester to Mall sending hook up
- No light/No response
- Found that the other end of mall sending is mounted on the wall
- Reseat lan cable
- Test using lan tester; ok
- Found that the wall mounted end cable is loose
- Recrimp end cable of mall sending; ok
- Test ping; ok
- Coordinate to Mall IT; pingable
- Coordinate to PASI for CSV file uploading
- Verify to MOD
- Work done</t>
  </si>
  <si>
    <t>Recrimp lan cable of mall sending</t>
  </si>
  <si>
    <t>SD Jojo</t>
  </si>
  <si>
    <t>Hanna Miravalles</t>
  </si>
  <si>
    <t>FSBP00124231</t>
  </si>
  <si>
    <t>Pull-out</t>
  </si>
  <si>
    <t>PPN72105</t>
  </si>
  <si>
    <t>Pull Out Service Unit Printer</t>
  </si>
  <si>
    <t>9/12 -Coordinated with MOD upon arrival
Proceeded to the back office
Located and pulled out the service unit (SU) printer
Work completed
Call closed</t>
  </si>
  <si>
    <t>Pulled out the service unit printer</t>
  </si>
  <si>
    <t xml:space="preserve"> Reynan Domecillo</t>
  </si>
  <si>
    <t>FSBP00124248</t>
  </si>
  <si>
    <t>EliteDesk 800 G4</t>
  </si>
  <si>
    <t xml:space="preserve"> BOS - Sudden Shutdown at 1:08 pm, Sep-12 2025</t>
  </si>
  <si>
    <t>9/12 - -Upon arrival, coordinated with MOD
-Checked BOS upon arrival; BOS is turned on
-Checked BOS health; good, 100%
-Checked BOS adapter settings; found 100Mbps only; found 2 sets of LAN cable for BOS
-Advised MOD regarding downtime
-Switched LAN cable for BOS; still 100Mbps
-Crimped the other LAN cable end-to-end and plugged it to BOS and Meraki; good, 1.0Gbps
-Checked both POS; found POS B adapter settings also 100Mbps only
-Crimped POB LAN cable on POS B side; good, 1.0Gbps
-Found still store is disconnecting
-Checked BOS; BOS good and up
-Checked Meraki; found rainbow light indicator
-Reseat LAN on PLDT modem; still same
-Checked Ping 8.8.8.8; unstable connection, had some RTO
-Performed standalone test on PLDT (WAN1); can't connect at first try, 2nd try good.
-Made sure both POS NAV are up
-Advised MOD regarding unstable connection
-Observed for a while
-Store still up
-Work done</t>
  </si>
  <si>
    <t>reco line check by PLDT</t>
  </si>
  <si>
    <t>Louie Amor</t>
  </si>
  <si>
    <t>FSBP00124214</t>
  </si>
  <si>
    <t>KSJA0868</t>
  </si>
  <si>
    <t xml:space="preserve">POS B Drawer 1 - won't open </t>
  </si>
  <si>
    <t>9/13 - Upon arrival coordinated to mod
-check pos b drawer 1 in Opos
-Drawer 1 not listed
-reinstall driver
-check drawer 1 is now listed
-check health, ok
-check by mod
-work done</t>
  </si>
  <si>
    <t>reinstalled driver ang check health test ok</t>
  </si>
  <si>
    <t>Carlo L. Baranda</t>
  </si>
  <si>
    <t xml:space="preserve">Mark Mabarsag
</t>
  </si>
  <si>
    <t>FSBP00124227</t>
  </si>
  <si>
    <t>Drawer not closing</t>
  </si>
  <si>
    <t>41PN473</t>
  </si>
  <si>
    <t>POS A Drawer 1 - not closing</t>
  </si>
  <si>
    <t>9/13 - Upon arrival, coordinated with MOD Tan Dijamco regarding the issue with POS A – Drawer 1 not opening.
-L2 conducted onsite troubleshooting and confirmed that the cash drawer was not functioning.
-Advised PASI support to remotely access and reconfigure the POS A cash drawer.
-PASI proceeded with the remote configuration of the drawer.
-L2 performed testing using the updated configuration.
-Both cash drawers were tested and confirmed to be working properly.
-MOD Tan Dijamco witnessed and confirmed successful operation.
-Ticket closed.</t>
  </si>
  <si>
    <t>reconfigure the POS A cash drawer.</t>
  </si>
  <si>
    <t xml:space="preserve"> Benjie Hermosa</t>
  </si>
  <si>
    <t xml:space="preserve"> Tan Dijamco</t>
  </si>
  <si>
    <t>FSBP00124350</t>
  </si>
  <si>
    <t>PP040165</t>
  </si>
  <si>
    <t>POS B Printer - Not Printing</t>
  </si>
  <si>
    <t>9/13 - HD Action: Asked for a photo of the warranty tag (ab)
9/14 - HD Action: informed that we will proceed with the onsite checking today (mm)
9/14 - Coordinate with MOD regarding the reported issue
- Verified reported device based on the ticket details
- Found mismatch; serial number in the ticket does not match any printer in the store
- Confirmed with MOD the actual device for POS B printer with the issue
- Proceeded to check the printer
- Upon checking wrong device class
- Change to 76x and port to usb
- Check health, test ok working
- Check by MOD, working
- Work done</t>
  </si>
  <si>
    <t>change to 76x and port to USB in OPOS</t>
  </si>
  <si>
    <t>Hannah Llamas</t>
  </si>
  <si>
    <t>FSBP00124078</t>
  </si>
  <si>
    <t>SB369</t>
  </si>
  <si>
    <t>SM CITY LIPA - GF</t>
  </si>
  <si>
    <t>POS A Drawer 1- Won't open properly / For replacement of cash cashdrawer 1 Pos A</t>
  </si>
  <si>
    <t xml:space="preserve">9/12 - HD Action: acknowledged but will advised once part is avail (ab)
9/13 - HD Action: informed that the replacement part is available for shipment and earliest possible to arrive is tomorrow. asked if permit is required onsite. (mm)
9/14 - partners confirmed that no need permit and just proceed at store entrance not at mall entrance.
9/14 - HD Action: update that parts still in-transit and will provide an ETA once arrived. (mm)
9/14 - - Upon arrival, coordinate with MOD for POS A cash drawer 1 checking
- Confirmed POS A CD 1 issue
- Proceed with replacement
- Test new cash drawer through LSNAV; ok
- Pull out the defective Cash Drawer
- Verify with MOD
- Work done
</t>
  </si>
  <si>
    <t>- Replace POS A cash drawer 1</t>
  </si>
  <si>
    <t>Dwin Gooc</t>
  </si>
  <si>
    <t xml:space="preserve">FSBP00124452/ FSBP00123552  </t>
  </si>
  <si>
    <t>SB406</t>
  </si>
  <si>
    <t>ORIENTAL GARDENS CHINO ROCES AVE</t>
  </si>
  <si>
    <t>41-NW393</t>
  </si>
  <si>
    <t>Grab delivery device issue (related ticket FSBP00123552 ALL POS not syncing with delivery devices. POS A shows error prompt "getting tokens" and "POS unresponsive terminate and try again")</t>
  </si>
  <si>
    <t>9/15 - Upon arrival coordinate with MOD
- Check delivery devices' connectivity; All devices are connected in Starbucks Delivery
- Speed test device
- Ping MWS, BOS POS A and B; stable connection
- Trends confirmed in the dashboard that Grab delivery is 1GBPS and has had no downtime since last week
- RCOC advises that partners need to settle all recent delivery transactions, then RCOC will monitor the syncing of Delivery Devices to POS</t>
  </si>
  <si>
    <t>Checked devices connectivity</t>
  </si>
  <si>
    <t>10:32 AM, 12:00 PM</t>
  </si>
  <si>
    <t>11:47 AM, 1:00 PM</t>
  </si>
  <si>
    <t>RCOC Jeremy</t>
  </si>
  <si>
    <t>Romnick Maestre</t>
  </si>
  <si>
    <t xml:space="preserve">FSBP00124456 </t>
  </si>
  <si>
    <t>Galaxy A06</t>
  </si>
  <si>
    <t>R8YY30S58NA</t>
  </si>
  <si>
    <t>Smart Wireless Phone Deployment</t>
  </si>
  <si>
    <t>9/15 - Upon arrival, coordinate with MOD
- Wait for parts to arrive
- Set up phone
- Dial phone number
- Initiate a call to my phone number
- Endorse to MOD</t>
  </si>
  <si>
    <t>Set up phone</t>
  </si>
  <si>
    <t>Bryan Baniqued</t>
  </si>
  <si>
    <t>Mary Rose Rodriguez</t>
  </si>
  <si>
    <t>FSBP00124353</t>
  </si>
  <si>
    <t>41MC610</t>
  </si>
  <si>
    <t>POS B - Damaged power button</t>
  </si>
  <si>
    <t>9/13 - HD Action : Informed SD for replacement Bezel will scheduled site vist once replacment part is received
9/15 - - Upon arrival coordinate with MOD 
- Proceed to replaced bezel due to damage power button 
- Test and witness by MOD
- Observe for 30mins</t>
  </si>
  <si>
    <t>Replace bezel</t>
  </si>
  <si>
    <t>11S7429990YK12RL5CM129</t>
  </si>
  <si>
    <t>1157429990YK12RL535007</t>
  </si>
  <si>
    <t>Patricia Canda</t>
  </si>
  <si>
    <t xml:space="preserve">FSBP00124449 </t>
  </si>
  <si>
    <t>V3 Wireless Data POS System</t>
  </si>
  <si>
    <t>VA08P4BR40287</t>
  </si>
  <si>
    <t>Grab delivery device issue</t>
  </si>
  <si>
    <t>9/15 - Upon arrival, coordinate  MOD regarding the issue 
- wait for the call from the MOD before we proceed 
- Upon checking MOP device, there is no connection and it is not connected to SB delivery 
- restart MOP device, reconnect MOP device to SB delivery 
- advice MOD for testing and observing 20 min work done.</t>
  </si>
  <si>
    <t xml:space="preserve">restart MOP device, reconnect MOP device to SB delivery </t>
  </si>
  <si>
    <t>Tom Beliones</t>
  </si>
  <si>
    <t xml:space="preserve">FSBP00124450 </t>
  </si>
  <si>
    <t>GRAB POS Device</t>
  </si>
  <si>
    <t>SUNMI P2</t>
  </si>
  <si>
    <t>PBM5232031109</t>
  </si>
  <si>
    <t>9/15 - Upon arrival coordinate to MOD for Grab device checking
- According to MOD orders is currently syncing, but yesterday there was a problem on internet connection
- Coordinate to sir Bryan Baniqued
- Check MAC address of grab devices
- Unable to speed-test because devices doesn’t have pre installed browser or chrome
- Observe for 30 mins waiting for orders to sync; ok orders are syncing
- Verify to MOD
- Work done</t>
  </si>
  <si>
    <t>Check the grab device's MAC address</t>
  </si>
  <si>
    <t>Vanessa Santos</t>
  </si>
  <si>
    <t>FSBP00124468</t>
  </si>
  <si>
    <t>ThinkCentre M900</t>
  </si>
  <si>
    <t>PC0D6YVQ</t>
  </si>
  <si>
    <t>BOS Server - No Internet Connection</t>
  </si>
  <si>
    <t>9/15 - Upon arrival, coordinated with MOD
-BOS has no internet connection
-POS A and B can't do transactions
-Checked BOS; found LAN cable plugged on extra LAN port on BOS
-Switched BOS LAB cable from the extra port back to the primary LAN port; good
-Checked POS A and POS B; good, can now do transactions
-Work done</t>
  </si>
  <si>
    <t>-Switched BOS LAB cable from the extra port back to the primary LAN port</t>
  </si>
  <si>
    <t>Blaze Molina</t>
  </si>
  <si>
    <t>FSBP00124445</t>
  </si>
  <si>
    <t>GM067E7K</t>
  </si>
  <si>
    <t>MWS- MS office application (word, excel, powerpoint and word takes a long time (10 minutes to open)</t>
  </si>
  <si>
    <t>9/15 - Restart MWS 
- Disable unwanted applications
- Start MS Office repair 
- disc scan 
- restore previous MS Office files, 
- restart MWS
- work done</t>
  </si>
  <si>
    <t>-Repair and restart MS Office</t>
  </si>
  <si>
    <t xml:space="preserve">FSBP00124514 </t>
  </si>
  <si>
    <t>PP0C0282</t>
  </si>
  <si>
    <t>POS B printer, red light (Returning of printer)</t>
  </si>
  <si>
    <t>9/11 Upon arrival coordinated with MOD regarding defective printer
- Returned the printer
- Work done
9/24 -Coordinated with the MOD upon arrival and informed them of the POS B printer pull-out.
-Verified printer condition — red indicator light present and printer not functioning properly. (According to the MOD, the printer needs to be restarted to print, but it stops printing again after a few minutes.)
-Tested the POS B printer power indicator.
-Properly powered down the POS B printer and safely disconnected it from the power source.
-Labeled the defective printer and documented all details for tracking.
-Pulled out the printer as instructed and kept it temporarily in custody for safekeeping (not yet forwarded to the office).
-Informed the MOD regarding the completion of the pull-out activity.</t>
  </si>
  <si>
    <t xml:space="preserve">Pulled out defective POS B Printer
</t>
  </si>
  <si>
    <t>Marlon Lee</t>
  </si>
  <si>
    <t>Chard Diamante</t>
  </si>
  <si>
    <t>FSBP00124516</t>
  </si>
  <si>
    <t>POS A - won't open LS NAV and unable to connect to VNC viewer</t>
  </si>
  <si>
    <t>9/16 Upon arrival, confirmed POS encountered VNC error prompt.
- POS LS NAV is not working and has error.
- Check the network connection, speed at 1gbps
- Check the HDD, Health at 100% and Perfect Status.
- Performed ping test to 8.8.8.8, POS, MWS and BOS. No RTO.
- Restart POS A and checked VNC.
- VNC error resolved and can be remoted thru BOS and MWS.
- Requested PASI support for LS NAV problem.
- LS NAV issue resolved by reinstallation.
- Tested and observed transactions.
- VNC and LS NAV are now working, confirmed by the MOD.</t>
  </si>
  <si>
    <t>POS checking and restart. LS NAV Reinstallation.</t>
  </si>
  <si>
    <t>James Remuel E. Poblete</t>
  </si>
  <si>
    <t>Harp Pablo</t>
  </si>
  <si>
    <t xml:space="preserve">FSBP00124523 </t>
  </si>
  <si>
    <t>SB497</t>
  </si>
  <si>
    <t>THE FINANCE CENTER</t>
  </si>
  <si>
    <t>41VY899</t>
  </si>
  <si>
    <t xml:space="preserve"> POS - stuck in LS NAV and unresponsive</t>
  </si>
  <si>
    <t>9/16 Upon arrival, POS A and B are already operational.
- Checked POS A HDD, health at 100%.
- Performed end-to-end LAN cable checking, results are good.
- Checked network speed, POS at 1gbps.
- Ping test Pos A, B and BOS for 30mins. Stable and NO RTO.</t>
  </si>
  <si>
    <t xml:space="preserve">Performed POS checking
</t>
  </si>
  <si>
    <t xml:space="preserve"> Vanessa De Guzman</t>
  </si>
  <si>
    <t xml:space="preserve"> FSBP00124525 </t>
  </si>
  <si>
    <t>41VZ165</t>
  </si>
  <si>
    <t>9/16 Upon arrival, POS A and B are already operational.
- Checked POS B HDD, health at 100%.
- Performed end-to-end LAN cable checking, results are good.
- Checked network speed, POS at 1gbps.
- Ping test Pos A, B and BOS for 30mins. Stable and NO RTO.</t>
  </si>
  <si>
    <t xml:space="preserve"> FSBP00124616</t>
  </si>
  <si>
    <t>SB342</t>
  </si>
  <si>
    <t>SM AURA - GF - BONIFACIO GLOBAL CITY</t>
  </si>
  <si>
    <t xml:space="preserve"> L1711PC</t>
  </si>
  <si>
    <t>VNBXC00</t>
  </si>
  <si>
    <t xml:space="preserve"> replacement of VGA due to Defective/glitch in monitor</t>
  </si>
  <si>
    <t xml:space="preserve">9/17 - Upon arrival coordinate with MOD
- Advised MOD to include the monitor for delivery to the warehouse addressed to Technology
- Work done
</t>
  </si>
  <si>
    <t xml:space="preserve"> monitor for delivery to the warehouse</t>
  </si>
  <si>
    <t>SD Pam</t>
  </si>
  <si>
    <t>Nina Pedroso</t>
  </si>
  <si>
    <t>FSBP00124477</t>
  </si>
  <si>
    <t>SB516</t>
  </si>
  <si>
    <t>MEGA ONE BUILDING</t>
  </si>
  <si>
    <t>POS A, POS B, POS C</t>
  </si>
  <si>
    <t>ELITE DESK 800 G4 SFF</t>
  </si>
  <si>
    <t>4CE9140GK1</t>
  </si>
  <si>
    <t xml:space="preserve">ALL POS - slow printing and unresponsive
</t>
  </si>
  <si>
    <t>9/17 - Upon arrival coordinate with MOD, BOS is for checking.
- Check task manager; ram usage is steady at 88%.
- Disk usage is in normal fluctuations.
- Cleaned temp files.
- Checked HDD, health at 100% and status is perfect.
- Ethernet connection is 1gbps.
- Conducted checking again for RAM usage, still consistent at high usage.
- Advised MOD BOS is for RAM upgrade.</t>
  </si>
  <si>
    <t>reco BOS for RAM upgrade - ffup asset for Sir Floyd's approval (req new ticket if proceed)</t>
  </si>
  <si>
    <t>SD Aida</t>
  </si>
  <si>
    <t>Andy Jole</t>
  </si>
  <si>
    <t>FSBP00124531</t>
  </si>
  <si>
    <t>SB546</t>
  </si>
  <si>
    <t>SM CITY MOLINO</t>
  </si>
  <si>
    <t xml:space="preserve"> PP-7600X-TB </t>
  </si>
  <si>
    <t>PPM80635</t>
  </si>
  <si>
    <t>POS A printer- Incomplete print out due to loose printer cover</t>
  </si>
  <si>
    <t>9/17 - Upon arrival coordinate to MOD for POS A Printer checking
- Upon arrival found that the cover is loose and not properly locked
- Check printer physically
- Found that the printer hook is slightly worn out
- A slight amount of force is needed to lock the cover properly
- Test self print; ok, Test print thru OPOS and LSNav; ok
- Advised MOD that the printer cover requires some force to lock properly
- Work done</t>
  </si>
  <si>
    <t>Printer cover requires some force to lock properly</t>
  </si>
  <si>
    <t>Jude Tana</t>
  </si>
  <si>
    <t xml:space="preserve">FSBP00124734 </t>
  </si>
  <si>
    <t>SB665</t>
  </si>
  <si>
    <t>SHELL LOGCOM</t>
  </si>
  <si>
    <t>SMART LTE</t>
  </si>
  <si>
    <t xml:space="preserve">9/18 - -Coordinated with the Asset team
-Received LTE device
-Deployed Smart LTE
-Performed standalone testing
-Terminated connection to WAN1 on Meraki MX
-Conducted a speed test
-Work completed
</t>
  </si>
  <si>
    <t xml:space="preserve">Deployed Smart LTE </t>
  </si>
  <si>
    <t>FSBP00124732</t>
  </si>
  <si>
    <t>SB629</t>
  </si>
  <si>
    <t>C4 MALABON</t>
  </si>
  <si>
    <t>BIXOLON</t>
  </si>
  <si>
    <t>SRP- S300</t>
  </si>
  <si>
    <t>CYBN8KA24030009</t>
  </si>
  <si>
    <t>DT labeler - not dispensing after sending to bar</t>
  </si>
  <si>
    <t>9/18 coordinated to MOD
- MOD said that  all labeler is working
-  check the DT labeler send to bar and its working
- work done</t>
  </si>
  <si>
    <t xml:space="preserve"> Carlo Baranda</t>
  </si>
  <si>
    <t>Raven Gabrilio</t>
  </si>
  <si>
    <t xml:space="preserve"> FSBP00124800</t>
  </si>
  <si>
    <t>SB256</t>
  </si>
  <si>
    <t xml:space="preserve"> STA. LUCIA EAST GRAND MALL - LEVEL 1</t>
  </si>
  <si>
    <t>PPOC0181</t>
  </si>
  <si>
    <t>POS B - does not automatically cuts the receipts</t>
  </si>
  <si>
    <t xml:space="preserve">9/19 - -Upon arrival, confirmed that the POS B printer is not a Toshiba.
-Identified the printer as a new Posiflex PP7900.
-Verified that the printer is still under warranty (valid until March 1, 2025).
-Observed that the printer cutter is not working and there is a beeping error.
-Recommended the printer for warranty service through Heritage.
-Advised the MOD that the unit will be serviced by Heritage.
-MOD requested a follow-up on the repair status.
</t>
  </si>
  <si>
    <t>For recommendation to Heritage (under warranty)</t>
  </si>
  <si>
    <t>Eloisa Buiza</t>
  </si>
  <si>
    <t>FSBP00124617</t>
  </si>
  <si>
    <t>SB446</t>
  </si>
  <si>
    <t>SMDC GRACE RESIDENCES</t>
  </si>
  <si>
    <t xml:space="preserve">Curio </t>
  </si>
  <si>
    <t>R-REM-Z8S-CurioplayerZ8</t>
  </si>
  <si>
    <t>2012H0FG09666</t>
  </si>
  <si>
    <t xml:space="preserve">Curio Player- Unable to play due to error "Unable to connect to player, Please ensure that the device is connected and the MAC address is correct
</t>
  </si>
  <si>
    <t>9/19 - -Upon arrival, confirmed that the Curio device had power.
-MOD informed that they did not have login credentials.
-Checked their email and confirmed that Service Desk (SD) had sent the credentials.
-Curio system was up and running after login.
-A few minutes later, the Curio device powered off unexpectedly.
-Inspected and found that the power cable was loose.
-Secured the power cable; Curio device powered back on.
-Performed testing – unit is now fully operational.
-Work completed.Upon arrival, confirmed that the Curio device had power.
-MOD informed that they did not have login credentials.
-Checked their email and confirmed that Service Desk (SD) had sent the credentials.
-Curio system was up and running after login.
-A few minutes later, the Curio device powered off unexpectedly.
-Inspected and found that the power cable was loose.
-Secured the power cable; Curio device powered back on.
-Performed testing – unit is now fully operational.
-Work completed.</t>
  </si>
  <si>
    <t>Secured the power cable</t>
  </si>
  <si>
    <t xml:space="preserve"> Yvs De Guia</t>
  </si>
  <si>
    <t>FSBP00124814</t>
  </si>
  <si>
    <t>SB501</t>
  </si>
  <si>
    <t>ALVEO CORPORATE CENTER</t>
  </si>
  <si>
    <t>Elite Desk 800</t>
  </si>
  <si>
    <t>4CE84403CD</t>
  </si>
  <si>
    <t>POS A 100mbps upon checking Meraki Dashboard</t>
  </si>
  <si>
    <t xml:space="preserve">9/19 - -Upon arrival, coordinated with MOD.
-Waited for customer traffic to subside before proceeding.
-Crimped a new end-to-end LAN cable for POS A connection.
-Waited for RCOC reply for further instructions.
-Observed connection stability after cable replacement.
-Connection confirmed stable.
-Work completed.
</t>
  </si>
  <si>
    <t>Crimped end-to-end LAN cable</t>
  </si>
  <si>
    <t>Angel Asuncion</t>
  </si>
  <si>
    <t>FSBP00124815</t>
  </si>
  <si>
    <t xml:space="preserve">ROBINSONS MAGNOLIA LEVEL 1
</t>
  </si>
  <si>
    <t>BOS - no power/destination host unreachable</t>
  </si>
  <si>
    <t>9/19 - Checked the reported device, BOS is up and running.
- Ping test all devices; all devices pingable except POS A.
- All devices are up except POS A.
- POS A has no power.
- Checked power adaptor, loose connection to power cable.
- Resocket adaptor to power cable and secured connection.
- POS A now up and pingable.
- BOS ping test have random RTO.
- Resocket LAN cable, still has random RTO.
- Recrimped LAN cable of BOS.
- Observe ping test, now has stable ping and no RTO.</t>
  </si>
  <si>
    <t>ping test, resocket, recrimped - observed UPS bypass light on, and not beeping; reco</t>
  </si>
  <si>
    <t>FSBP00124813</t>
  </si>
  <si>
    <t>BOS, MWS</t>
  </si>
  <si>
    <t>FSBP00124816</t>
  </si>
  <si>
    <t>SB326</t>
  </si>
  <si>
    <t>ROBINSON'S MAGNOLIA TOWN CENTER</t>
  </si>
  <si>
    <t>GLOBE  / PLDT</t>
  </si>
  <si>
    <t>N/A / S160Y20064808</t>
  </si>
  <si>
    <t xml:space="preserve"> All POS and MWS - No internet connection/unable to transact SB card and unable to open emails</t>
  </si>
  <si>
    <t>9/19 - Upon arrival, store is currently using POS but only cash transactions.
- BOS is up and running.
- Performed ping test, devices are pingable but has problem in pinging 8.8.8.8
- Performed standalone test on wan 1 Globe. Confirmed no internet and no light in 2.4g and 5g.
- Conducted power cycle on globe; still no internet.
- Performed standalone test wan 2 PLDT;  no internet.
- Restarted PLDT; still no internet.
- Reported to RCOC regarding the ISP problem.
- Reco to ISP and trends, coordinated with RCOC.
- Ethernet connection of devices is ok but ISP has no internet.</t>
  </si>
  <si>
    <t>For trends and ISP, checking of WAN 1 and WAN 2 devices.</t>
  </si>
  <si>
    <t xml:space="preserve"> Sharlene Cruz</t>
  </si>
  <si>
    <t>FSBP00124824</t>
  </si>
  <si>
    <t>PC0D6Z39</t>
  </si>
  <si>
    <t>All POS and MWS - No internet connection</t>
  </si>
  <si>
    <t>9/19 - Upon arrival coordinate to MOD for BOS network checking
- Upon arrival found that Network is Up but the BOS has no internet connection
- Found that MWS is connected to network but no internet connection
- Turn off firewall of MWS
- MWS regain connection, but BOS still no internet connection
- Check BOS network status; found 100mbps net speed
- Tried ping BOS to MWS; failed RTO
- Tried ping BOS to POS A&amp;B; ok pingable
- Tried ping 8.8.8.8 on BOS; RTO
- Restart BOS and ONU; issue still persist
- Coordinate to Sir Bryan of RCOC
- Stand alone test WAN 1 &amp; 2; ok
- Tried restart Meraki; issue still persist
- Wait for Sir Bryan to configure in Meraki dashboard
- BOS regain internet connection
- Tried test ping BOS to MWS; ok
- Ping 8.8.8.8; ok
- Found that POS B has no service tier available
- Coordinate to PASI for configuration
- Wait for PASI to configure POS B
- Test POS B LSNAV; ok
- Test transaction; ok
- Test starbucks card; ok
- Recrimp end to end lan cable of BOS; ok 1gbps
- Verify to MOD
- Work done</t>
  </si>
  <si>
    <t>Recrimp BOS end to end Lan cable</t>
  </si>
  <si>
    <t>8:30 PM, 10:30 PM, 11:30 PM, 12:00 AM</t>
  </si>
  <si>
    <t>9:30 PM, 11:30 PM, 11:59 PM, 12:30 AM</t>
  </si>
  <si>
    <t xml:space="preserve">FSBP00124344 </t>
  </si>
  <si>
    <t>Toshiba, Toshiba</t>
  </si>
  <si>
    <t>41-PP484, 41-PP408</t>
  </si>
  <si>
    <t>Joint Visit — POS A &amp; B: MAYA Terminals - Recurring issue and error in CC/DB, Gcash and QRPH, sometime customer's double charged</t>
  </si>
  <si>
    <t>9/17 HD: SD tagged CERV reqeusting JV with Maya
9/18 HD Jave: Per SD - JV as on hold for the meantime and we'll allow PASI to further check few samples transaction.
HD Jave: reply to email - We will await your updates once their findings are available.
9/19 HD Jave: SD email HD Cerv for possible JV waiting for final sched
9/20 - -Coordinated with the MOD and Maya Field Technician upon arrival
-Verified both POS systems were functioning properly
-Identified that the Maya terminals were experiencing delays in receiving transaction codes
-Switched the Maya terminals to the Globe network — delays persisted
-Awaited instruction to connect to SmartBro (SB) delivery network
-Connected both Maya terminals to SB delivery — connection was fast and stable
-Monitored system performance as requested by the MOD
-Completed work after final observation and testing</t>
  </si>
  <si>
    <t>-Connected both Maya terminals to SB delivery</t>
  </si>
  <si>
    <t>Girlie Catigba</t>
  </si>
  <si>
    <t>FSBP00124844</t>
  </si>
  <si>
    <t>SB301</t>
  </si>
  <si>
    <t>ANTLERS SQUARE - DASMARINAS - CAVITE</t>
  </si>
  <si>
    <t>TSOHIBA</t>
  </si>
  <si>
    <t>41-LG977</t>
  </si>
  <si>
    <t>POS B - no power</t>
  </si>
  <si>
    <t>9/20 - Coordinate with MOD
- Proceed to check the reported device; POS B has no power.
- For initial isolation, tried to replug the power cord to another outlet and tested removing all usb cable in the tailgate; same problem.
- Checked Bios&gt;Boot setting found out that its in Floppy disk first priority.
- Change to HDD first priority
- POS B is now operational.</t>
  </si>
  <si>
    <t>Change to HDD first priority in Bios&gt;Boot settings</t>
  </si>
  <si>
    <t>Rovic Cuacope</t>
  </si>
  <si>
    <t>FSBP00124798</t>
  </si>
  <si>
    <t>PP050225</t>
  </si>
  <si>
    <t>POS D printer - blurred print out</t>
  </si>
  <si>
    <t>9/20 - Coordinated with MOD upon arrival
-Unable to begin troubleshooting immediately due to heavy drive-thru transactions (as advised by MOD Cha)
-Started isolation at 11:15 AM — checked and cleaned thermal head
-Performed test print — result still showed blurred output
-Paused work at 11:50 AM and requested printer replacement
-Resumed at 3:00 PM
-Replaced the printer at POS D
-Configured new printer (POS D) — configuration by PASI
-Performed test print — result was clear
-Pulled out the defective printer
-Work completed</t>
  </si>
  <si>
    <t>Replaced defective printer at POS D</t>
  </si>
  <si>
    <t>SD JONA</t>
  </si>
  <si>
    <t>Robert Odronia Jr</t>
  </si>
  <si>
    <t>Jenina Rafael</t>
  </si>
  <si>
    <t xml:space="preserve">FSBP00124883 </t>
  </si>
  <si>
    <t>PP-7900X</t>
  </si>
  <si>
    <t>PP0C0221</t>
  </si>
  <si>
    <t>POS B Printer Redlight Error (related ticket FSBP00124769  POS B-LSNAV automatically closed)</t>
  </si>
  <si>
    <t>9/20 - Coordinated with the MOD upon arrival
-Found the printer had no power
-Checked the outlet and printer power cable — both working properly
-Opened the printer and found a sensor-related issue
-Reinserted the paper and replaced it — issue persisted
-Recommended escalation to Heritage for further handling (under warranty)
-Work completed onsite</t>
  </si>
  <si>
    <t>Recommendation to Heritage under warranty.</t>
  </si>
  <si>
    <t xml:space="preserve">Jonah Villamor
</t>
  </si>
  <si>
    <t>FSBP00124879</t>
  </si>
  <si>
    <t>41MD031</t>
  </si>
  <si>
    <t>POS B - Auto shutdown re occurring issue</t>
  </si>
  <si>
    <t>9/20 - -Waited for partner approval before starting troubleshooting
-Upon arrival, POS B was already operational
-Coordinated with MOD Stephen regarding the reported issue
-Checked the Event Viewer — Kernel Power Error detected; log downloaded
-Verified power output — measured at 215V (below minimum recommended level)
-Hard disk drive (HDD) status: 100% good
-All cables were checked and secured at both ends
-UPS unit flagged for checking by the Facilities team
-Issue and observations endorsed to MOD for monitoring — advised to observe UPS behavior if voltage drops below 210V
-Observed system for 30 minutes — no auto shutdown occurred</t>
  </si>
  <si>
    <t>Verified UPS status and secured all POS-B cables</t>
  </si>
  <si>
    <t xml:space="preserve"> Hanna Miravalles</t>
  </si>
  <si>
    <t xml:space="preserve">FSBP00124795 </t>
  </si>
  <si>
    <t>SB321</t>
  </si>
  <si>
    <t>HARBOUR POINT SUBIC</t>
  </si>
  <si>
    <t>PPM83805</t>
  </si>
  <si>
    <t>9/21 - Coordinated with MOD
- Conduct troubleshooting and found the power adaptor is loose
- Replug the power cord
- Test the printer using OPOS manager. 
- Tested by MOD; good 
- Printer is now working properly.</t>
  </si>
  <si>
    <t>replug the printer power cord</t>
  </si>
  <si>
    <t>Leslie Bermudez</t>
  </si>
  <si>
    <t>FSBP00124803</t>
  </si>
  <si>
    <t>SB492</t>
  </si>
  <si>
    <t>SM CITY LEGAZPI</t>
  </si>
  <si>
    <t>PPM80692</t>
  </si>
  <si>
    <t>POS B printer - won't print with red light indicator</t>
  </si>
  <si>
    <t xml:space="preserve">9/21 - Coordinated to MOD, confirmed the reported issue.
- Proceeded with the replacement of new printer
- Installed drivers and setup.
- Conducted test print thru OPOS and NAV
- Test print and unit status is ok, confirmed by the MOD
- Pulled out defective printer.
</t>
  </si>
  <si>
    <t>replaced printer (Posiflex) - pulled out defective printer</t>
  </si>
  <si>
    <t>PP0C0401</t>
  </si>
  <si>
    <t>SD Ian</t>
  </si>
  <si>
    <t>Jeffrey Baluscan</t>
  </si>
  <si>
    <t>Darryl Naval</t>
  </si>
  <si>
    <t>FSBP00124760</t>
  </si>
  <si>
    <t>SB590</t>
  </si>
  <si>
    <t>SM CITY ROXAS</t>
  </si>
  <si>
    <t>TPJF032573</t>
  </si>
  <si>
    <t>DT Labeler Printer - Power button is blinking green, but even after turning it on and off, it still does not function/won't print</t>
  </si>
  <si>
    <t>9/21 - Coordinated to MOD, confirmed the reported issue
- Locate the reported device
- Proceed to replace the power adapter
- Conducted test print; unit status is ok, confirmed by the MOD
- Observe in 30 mins; good and working
- Pulled out defective Power Adapter</t>
  </si>
  <si>
    <t>replace the power adapter</t>
  </si>
  <si>
    <t>power adapter</t>
  </si>
  <si>
    <t>D4KF133223</t>
  </si>
  <si>
    <t>D4KF065548</t>
  </si>
  <si>
    <t xml:space="preserve"> Mark Angelo de Pedro</t>
  </si>
  <si>
    <t>Dylan's Arroyo</t>
  </si>
  <si>
    <t>FSBP00124898</t>
  </si>
  <si>
    <t>OptiPlex 3000</t>
  </si>
  <si>
    <t>6YY7ZW3</t>
  </si>
  <si>
    <t>POS C - Auto shutdown and after turning on, encountered NAV error "The network is currently not available. Repair the network and retry." and "You have pending statement"</t>
  </si>
  <si>
    <t>9/21 -Coordinated with MOD upon arrival for POS C checking
-Found POS C already powered ON and operational
-Checked network status: initially at 100 Mbps
-Recrimped LAN cable of POS C: speed improved to 1 Gbps
-Checked Event Viewer for any power interruptions – none found
-Reviewed power plan advanced settings
-Set Turn off hard disk to Never
-Performed ping test from BOS to POS C – Passed
-Restarted POS C
-Verified status with MOD
-Issue resolved</t>
  </si>
  <si>
    <t>Recrimped LAN cable of POS C</t>
  </si>
  <si>
    <t xml:space="preserve">FSBP00123807 </t>
  </si>
  <si>
    <t>KSM60524</t>
  </si>
  <si>
    <t>POS A – Maya terminal is undetectable.</t>
  </si>
  <si>
    <t>9/21 - Upon arrival MOD concern about POS A maya terminal
- After troubleshooting of POS C issue, check POS A maya terminal
- According to MOD, Maya already replace their terminal cables
- Upon checking of their cables, POS A unable to detect the maya device
- Tried different devices on different ports; ok detectable
- Confirmed ports are not defective 
- Tried to insert maya cable; still unable to detect their device
- Tried restart POS A with maya cable inserted; unable to proceed to windows/black screen
- Tried to unplug maya cable; ok it proceed to windows
- Verify to MOD
- According to MOD when maya terminal cable is plugged in, their POS is not proceeding to windows after restarting</t>
  </si>
  <si>
    <t>POS A ports are working properly - reco to maya</t>
  </si>
  <si>
    <t>FSBP00124987</t>
  </si>
  <si>
    <t>FA01</t>
  </si>
  <si>
    <t>088XHNKM800003P</t>
  </si>
  <si>
    <t xml:space="preserve">Pre-menu - is disconnected </t>
  </si>
  <si>
    <t xml:space="preserve">9/22 - Arrived at the store and coordinated with MOD.
-Checked the Pre-menu and found it had no power or display.
-Found the power cable was unplugged.
-Plugged in the power cable — Pre-menu powered on and display came back.
-Performed ping test from MWS — stable response observed.
-Per instruction from Sir Vince, monitored connectivity for 30 minutes — ping remained stable.
</t>
  </si>
  <si>
    <t>Plugged in and secured power cable.</t>
  </si>
  <si>
    <t xml:space="preserve">FSBP00124993 </t>
  </si>
  <si>
    <t>PPOC0352</t>
  </si>
  <si>
    <t>POS A printer - won't print with red light indicator</t>
  </si>
  <si>
    <t>9/22 -Arrived on-site and inspected POS A printer.
-Observed red light indicator on the printer.
-Re-seated and properly arranged printer paper; cutter mechanism is functioning, but red light remained.
-Performed a power cycle (restart) — issue persisted.
-Upon further inspection, found broken hook inside the printer.
-Also identified that the reported serial number was incorrect.
-Confirmed the correct serial number and verified that the unit is still under warranty.
-Recommended for escalation to Heritage for replacement or further servicing.</t>
  </si>
  <si>
    <t>Issue caused by broken hook inside the printer. - Reco to Heritage</t>
  </si>
  <si>
    <t>Casey Del Rosario</t>
  </si>
  <si>
    <t>FSBP00125000</t>
  </si>
  <si>
    <t xml:space="preserve"> UP TOWN CENTER 2</t>
  </si>
  <si>
    <t>MT-M 10A8-S0JJ30Z</t>
  </si>
  <si>
    <t>PC03XJ6U</t>
  </si>
  <si>
    <t>MWS teamviewer offline</t>
  </si>
  <si>
    <t>9/22 - -Arrived on-site and coordinated with MOD regarding MWS TeamViewer issue as reported by RCOC.
-Checked MWS — TeamViewer shows an error related to Kernel DLL when attempting to open.
-Uninstalled the existing TeamViewer application.
-Reinstalled and properly set up the TeamViewer application.
-Advised RCOC that reinstallation is complete.
-RCOC successfully remoted into MWS using TeamViewer — confirmed working.
-Work completed.</t>
  </si>
  <si>
    <t>Reinstalled and reconfigured TeamViewer.</t>
  </si>
  <si>
    <t>SD  Jona</t>
  </si>
  <si>
    <t>Anj Teo</t>
  </si>
  <si>
    <t>FSBP00124944</t>
  </si>
  <si>
    <t xml:space="preserve">PP-7600X
</t>
  </si>
  <si>
    <t>PP040947</t>
  </si>
  <si>
    <t>9/22 Arrived on-site and checked POS B printer – test print returned an error.
-Inspected the printer and found a broken hook.
-Attempted to manually push the printer’s paper drawer — still not printing.
-Verified warranty status — valid until September 3, 2024.
-Coordinated with Asset Team for printer replacement.
-Waited for delivery of the replacement printer.
-Once received:
*Uninstalled old printer.
*Installed the new printer.
*Installed necessary drivers.
*Performed test print — successful.
-MOD also verified printing — confirmed working.
-Pulled out the defective printer for return.</t>
  </si>
  <si>
    <t>Installed the new printer.</t>
  </si>
  <si>
    <t>PPOC0278</t>
  </si>
  <si>
    <t>PPO40947</t>
  </si>
  <si>
    <t>FSBP00125024</t>
  </si>
  <si>
    <t>Network Assistance, Pull-out</t>
  </si>
  <si>
    <t>Globe LTE Pull Out</t>
  </si>
  <si>
    <t>9/23 - Upon arrival coordinated with MOD
- No LTE found in store; as per MOD it was long time ago since she saw the LTE;
- Checked all possible locations for LTE; no LTE found
- Standalone test both WAN 1 and WAN 2; good, fast and stable
- Work done</t>
  </si>
  <si>
    <t>standalone test all networks - no Globe LTE found</t>
  </si>
  <si>
    <t>Shane</t>
  </si>
  <si>
    <t>FSBP00125106</t>
  </si>
  <si>
    <t xml:space="preserve"> Smart LTE Pull Out </t>
  </si>
  <si>
    <t>9/23 - Upon arrival coordinate with MOD 
- Proceeded at the Back Office to conduct standalone testing
- All networks are active in the dashboard
- Pull out Smart LTE</t>
  </si>
  <si>
    <t>standalone test all networks - pull out Smart LTE</t>
  </si>
  <si>
    <t>Ys De Guia</t>
  </si>
  <si>
    <t>FSBP00124963</t>
  </si>
  <si>
    <t>PPM80734</t>
  </si>
  <si>
    <t>POS A printer - won't print</t>
  </si>
  <si>
    <t>9/23 - Upon arrival coordinate to MOD for POS A printer checking
- Check printer physically, confirmed broken hook
- Proceed replacement of POS A printer
- Test self print of the new printer; ok
- Test print thru OPOS; ok
- Test print thru LSNAV;ok
- Verify to MOD
- Work done</t>
  </si>
  <si>
    <t>Replace printer (Posiflex)</t>
  </si>
  <si>
    <t>PP0C0393</t>
  </si>
  <si>
    <t>Victor Hermidillo Jr.</t>
  </si>
  <si>
    <t>FSBP00125046</t>
  </si>
  <si>
    <t>SB488</t>
  </si>
  <si>
    <t xml:space="preserve"> SM CITY LUCENA</t>
  </si>
  <si>
    <t xml:space="preserve"> POS B Cash Drawer 1 - not opening automatically (For replacement of Y-cable due to Broken clips of the front cover</t>
  </si>
  <si>
    <t>9/23 - Upon arrival coordinate to MOD for POS B CD1 Checking
- Confirmed CD1 Y-cable damaged
- Proceed Replacing of Y-cable
- Test both Cash Drawers thru OPOS MANAGER; ok
- Test both Cash Drawer thru LSNAV ; ok
- Verify to MOD
- Work Done</t>
  </si>
  <si>
    <t>replaced y-cable</t>
  </si>
  <si>
    <t>Y-cable</t>
  </si>
  <si>
    <t>Sheilaizza T. labaco</t>
  </si>
  <si>
    <t xml:space="preserve"> FSBP00125033</t>
  </si>
  <si>
    <t>SB357</t>
  </si>
  <si>
    <t>LIFESTYLE STRIP - STO. TOMAS</t>
  </si>
  <si>
    <t>41-376XW</t>
  </si>
  <si>
    <t>POS A Printer - Not Printing with orange light and error of "Device offline. Retry print operation.</t>
  </si>
  <si>
    <t>9/23 - Upon arrival coordinate to MOD for POS A printer checking
- Confirmed printer indicates error after 2 test of printing
- Found that cutter assembly doesn’t cut properly and blurred print out
- Tried cleaning the cutter assembly but issue still persist
- Replace printer using Toshiba 1nr
- Test several times approximately 15 times; no error found
- Verify to MOD
- Work done</t>
  </si>
  <si>
    <t>replaced printer (Toshiba 1NR)</t>
  </si>
  <si>
    <t>1NR Printer</t>
  </si>
  <si>
    <t>41-385GR</t>
  </si>
  <si>
    <t>Heidi Austria</t>
  </si>
  <si>
    <t>FSBP00125028</t>
  </si>
  <si>
    <t>SB677</t>
  </si>
  <si>
    <t xml:space="preserve"> THE CABANAS AT MALOLOS</t>
  </si>
  <si>
    <t>Monitor display concern</t>
  </si>
  <si>
    <t>3PZK0B4</t>
  </si>
  <si>
    <t>BOS Resolution Incorrect causing conflict on NAV and TeamViewer (White Interface)</t>
  </si>
  <si>
    <t>9/23 - Coordinate with MOD
- Check the BOS server. 
- PASI remote and testing the server. 
- Uninstalled the Microsoft Basic Display Adapter and Intel (R) UHD Graphics 770 due to always appear the same issue. 
- Restart the BOS Server, and after restart PASI conduct again remote and test. 
- After testing the NAV is working. 
- MOD witness the issue is done. 
- Ticket Close.</t>
  </si>
  <si>
    <t>Uninstalled the Microsoft Basic Display Adapter - restart BOS</t>
  </si>
  <si>
    <t>3:12 PM, 4:56 PM, 7:15 PM</t>
  </si>
  <si>
    <t>3:40 PM, 6:55 PM, 7:45 PM</t>
  </si>
  <si>
    <t>TS Peter</t>
  </si>
  <si>
    <t>Alexis Anne Roxas</t>
  </si>
  <si>
    <t>FSBP00125102</t>
  </si>
  <si>
    <t>SB153</t>
  </si>
  <si>
    <t>SHELL SOUTH LUZON EXPRESSWAY - MUNTINLUPA</t>
  </si>
  <si>
    <t>41MC972</t>
  </si>
  <si>
    <t>POS A- Auto shutdown</t>
  </si>
  <si>
    <t>9/23 - Upon arrival coordinate to MOD for POS A checking
- Check POS A power plan; ok
- Check event viewer; no power interruption found
- Check task scheduler; no scheduled shutdown found
- Check HDD health; 100% health status
- Verify to MOD
- Work done</t>
  </si>
  <si>
    <t>NFT - full checking of POS A</t>
  </si>
  <si>
    <t>Patricia Tomagan</t>
  </si>
  <si>
    <t xml:space="preserve">FSBP00125144 </t>
  </si>
  <si>
    <t>SB290</t>
  </si>
  <si>
    <t>EXCELSIOR BLDG. - ANGELES CITY</t>
  </si>
  <si>
    <t>Network Upgrade</t>
  </si>
  <si>
    <t>SOURCETEL</t>
  </si>
  <si>
    <t>ACMC-GE-SM-S-S5-20</t>
  </si>
  <si>
    <t xml:space="preserve"> Source Telecom Fiber Internet Activation Sept 24, 2025 10am-5pm</t>
  </si>
  <si>
    <t>9/22 HD Jave: Acknoweldge request, sched on Sept 24 at 10AM
9/24 - Coordinate with MOD regarding the activity
- Proceeded at the Back office
- Coordinate with Sir Bryan
- Activated Source Telecom Fiber as WAN 1.
- Standalone test.
- Connect PLDT Home Fiber to port 2 Meraki WAN 2
- Both confirmed UP in the dashboard
- Pulled out Godan LTE.
- Work done.</t>
  </si>
  <si>
    <t>Activate Source Tel to WAN 1, PLDT to WAN 2 and pull out Smart LTE.</t>
  </si>
  <si>
    <t>12:10 PM, 2:30 PM</t>
  </si>
  <si>
    <t>1:00 PM, 3:15 PM</t>
  </si>
  <si>
    <t>Harbs Parlan</t>
  </si>
  <si>
    <t xml:space="preserve">FSBP00125212 </t>
  </si>
  <si>
    <t>SB548</t>
  </si>
  <si>
    <t>SAN ANTONIO EXCHANGE</t>
  </si>
  <si>
    <t xml:space="preserve"> Source Telecom Fiber Activation Sept 24, 2025 10am-5pm</t>
  </si>
  <si>
    <t>9/24 upon arrival, Smart lte is existing on Wan 2 internet and Pldt wan 1 is Red los.
-Coordinated with sir Bryan.
-Activated Source Telecom Fiber as Wan 1.
-standalone test okay.
-wan 1 telecom speedtest, ping, tracert.
-wan 1 source telecom confirmed the dashboard.
-pldt is now wan 2 but red los.
-pulled out smart lte.
-work done.</t>
  </si>
  <si>
    <t>Activate Source Telecom Fiber as Wan1.</t>
  </si>
  <si>
    <t>SOURCETEL/20230815316</t>
  </si>
  <si>
    <t>SMART/ 20230815316</t>
  </si>
  <si>
    <t>Bobby Vargas</t>
  </si>
  <si>
    <t>FSBP00125157</t>
  </si>
  <si>
    <t>SB283</t>
  </si>
  <si>
    <t>#10 CONGRESSIONAL AVE.</t>
  </si>
  <si>
    <t>ThinkCentre M93p</t>
  </si>
  <si>
    <t>PC03XJ7A</t>
  </si>
  <si>
    <t>MWS - Unable to boot up (Windows failed to start)</t>
  </si>
  <si>
    <t>9/24 - Upon arrival check MWS; not booting to windows
- Unplug MWS
- Reseat ram and HDD; still same
- HDD is detected in BIOS
- Insert ventoy flash drive
- Boot to hirens
- HDD is detected in hirens
- Use HDDScan in hirens; current HDD has bad blocks found.
- HDD is for replacement
- Advised asset to send new HDD
- Wait for delivery of new HDD
- Install new HDD
- Slave old HDD for backup
- Configured adapter settings for MWS; good, connected to the internet
- Configured hosts file for MWS
- Backup old HDD for new HDD
- Coordinated to PASI regarding MWS
- PASI remote MWS; good
- Waited for PASI to finish remoting
- Redomain MWS; good
- Removed slave from the system unit
- Plugged back CD ROM cables
- MWS is now working and ready to use; confirmed by MOD
- Pull out defective HDD
- Work done</t>
  </si>
  <si>
    <t>500GB HDD</t>
  </si>
  <si>
    <t>WCC2E0DJE3NV</t>
  </si>
  <si>
    <t>WCC2E7AD2ZE2</t>
  </si>
  <si>
    <t>1:20 PM, 7:00 PM, 7:30 PM, 8:30 PM</t>
  </si>
  <si>
    <t>6:30 PM, 7:30 PM, 8:00 PM, 9:00 PM</t>
  </si>
  <si>
    <t>Jerome Ferber, Francis Sevilla</t>
  </si>
  <si>
    <t>Red Asunction</t>
  </si>
  <si>
    <t>FSBP00125253</t>
  </si>
  <si>
    <t>LM321</t>
  </si>
  <si>
    <t xml:space="preserve">9/24 - Upon arrival, coordinate  MOD  
- wait for the call from the MOD before we proceed
- Pullout LTE
</t>
  </si>
  <si>
    <t>pull out Smart LTE</t>
  </si>
  <si>
    <t>Rowena Villaverde</t>
  </si>
  <si>
    <t>FSBP00124882</t>
  </si>
  <si>
    <t>60-19929</t>
  </si>
  <si>
    <t>POS A Drawer 2 - Grip was loose and can't handle the Till Fund properly</t>
  </si>
  <si>
    <t xml:space="preserve">9/24 - Coordinate with MOD
- As per MOD the drawer falls off when opened fully
- Found cash drawer has a missing roller
- Waiting for parts
- Install new cash drawer
- Test multiple times; MOD approved
- Observe
- Pull out defective cash drawer
- Work done
</t>
  </si>
  <si>
    <t xml:space="preserve"> install new cash drawer</t>
  </si>
  <si>
    <t>60-16430</t>
  </si>
  <si>
    <t>2:30 PM, 7:27 PM</t>
  </si>
  <si>
    <t>6:42 PM, 7:57 PM</t>
  </si>
  <si>
    <t>SB Ira</t>
  </si>
  <si>
    <t>Ruben Balintec</t>
  </si>
  <si>
    <t>FSBP00125209</t>
  </si>
  <si>
    <t>4CE84403B7</t>
  </si>
  <si>
    <t>MWS - Unreachable</t>
  </si>
  <si>
    <t>9/24 - Upon arrival coordinate to MOD for MWS checking
- Check network status found unidentified network
- Found that network speed status is on 10mbps only
- Reseat lan cable; 100mbps only and internet is up
- Recrimp lan cable; 1gbps
- Speedtest; 140+mbps downstream 58mbps upstream
- Ping MWS to BOS; pingable
- Verify to MOD
- Work done</t>
  </si>
  <si>
    <t>Reseat and Recrimp MWS lan cable</t>
  </si>
  <si>
    <t>Elnard Sabella</t>
  </si>
  <si>
    <t>FSBP00125251</t>
  </si>
  <si>
    <t>STARLINK</t>
  </si>
  <si>
    <t>UTR-211</t>
  </si>
  <si>
    <t>WAWC00815504</t>
  </si>
  <si>
    <t>Kindly schedule today the activation of Starlink to the network of the store. Sept 25, 2025 10am-5pm</t>
  </si>
  <si>
    <t xml:space="preserve">9/25 -Coordinated with the MOD upon arrival
-Performed a standalone connectivity test on the Starlink unit
-Configured Starlink as the primary connection (WAN1), and PLDT as the secondary (WAN2)
-Removed the existing DITO LTE device from the setup
</t>
  </si>
  <si>
    <t>Starlink configured as WAN1 (Primary); PLDT set as Secondary</t>
  </si>
  <si>
    <t>12:00 PM, 1:07 PM</t>
  </si>
  <si>
    <t>1:00 PM, 2:34 PM</t>
  </si>
  <si>
    <t>Ejay (BORROWED MOD)</t>
  </si>
  <si>
    <t>FSBP00125060</t>
  </si>
  <si>
    <t>Touch screen worn out</t>
  </si>
  <si>
    <t>Sunmi V2</t>
  </si>
  <si>
    <t>VB02207F00175</t>
  </si>
  <si>
    <t>MO&amp;P device—touchscreen is not working</t>
  </si>
  <si>
    <t xml:space="preserve">9/25 -Coordinated with MOD upon arrival
-Upon inspection, the touchscreen responds but intermittently gets stuck
-Observed ghost touch behavior on the device
-Advised replacement – pending availability of parts
-Informed and endorsed to MOD; MOD gave approval
-Pulled out defective MO&amp;P unit
-Work completed on-site
</t>
  </si>
  <si>
    <t>Replaced a new MO&amp;P unit</t>
  </si>
  <si>
    <t xml:space="preserve"> MO&amp;P unit</t>
  </si>
  <si>
    <t>VB02207F00354</t>
  </si>
  <si>
    <t>Jeric Yulo</t>
  </si>
  <si>
    <t>FSBP00125275</t>
  </si>
  <si>
    <t>EliteDesk 800 G5 SFF</t>
  </si>
  <si>
    <t>4CE9241XY1</t>
  </si>
  <si>
    <t>MWS - Slow and Lagging (Old Desktop)</t>
  </si>
  <si>
    <t>9/25 -Coordinated with the MOD upon arrival
-Checked system hardware: RAM, CPU, and HDD health – all in good condition
-Verified Disk Usage for Disk 1 &amp; Disk 2 – both are within normal range
-Confirmed internet connectivity – 1 Gbps speed
-Opened multiple applications and tabs: Excel, NAV, Chrome, and others
-No lag or slowness observed; MWS is functioning normally
-Verified stable internet connection
-Opened and tested multiple tabs: Excel, NAV, Chrome – all functioning properly
​</t>
  </si>
  <si>
    <t>Checked RAM, CPU, and Disk 1 &amp; 2</t>
  </si>
  <si>
    <t>FSBP00125273</t>
  </si>
  <si>
    <t>SB664</t>
  </si>
  <si>
    <t>75 RIZAL HIGHWAY SUBIC</t>
  </si>
  <si>
    <t>Back cover detached</t>
  </si>
  <si>
    <t>POS A, POS D</t>
  </si>
  <si>
    <t>POSIFLEX, POSIFLEX</t>
  </si>
  <si>
    <t>RT6016G2, RT6016G2</t>
  </si>
  <si>
    <t>RTO51833, RTO51750</t>
  </si>
  <si>
    <t xml:space="preserve">POS D and POS A - Detached Back Cover
</t>
  </si>
  <si>
    <t xml:space="preserve">9/25 -Coordinated with the MOD upon arrival regarding the issue with POS A and POS D back covers
-Inspected both units and found the back covers loose and not properly secured
-Noted that the loose covers occasionally cause the display panel to loosen as well
-Determined that both back covers need to be replaced
-Advised by Sir Rico to recommend warranty replacement through the Heritage Vendor
-Applied masking tape as a temporary fix to hold the covers in place
</t>
  </si>
  <si>
    <t xml:space="preserve">Recommended to Heritage </t>
  </si>
  <si>
    <t xml:space="preserve"> Soy Pimentel</t>
  </si>
  <si>
    <t>FSBP00125159</t>
  </si>
  <si>
    <t xml:space="preserve"> SM CITY MOLINO</t>
  </si>
  <si>
    <t>PPJ32328</t>
  </si>
  <si>
    <t>POS B Printer - Won't Print</t>
  </si>
  <si>
    <t xml:space="preserve">9/25 -Coordinated with MOD regarding POS B printer issue
-Physically inspected the printer and confirmed a broken hook
-Replaced the defective POS B printer with a working unit
-Performed self-print test on the new printer – Passed
-Performed test print via OPOS – Passed
-Performed test print via LS NAV – Passed
-Verified results with MOD
-Work completed
</t>
  </si>
  <si>
    <t xml:space="preserve">Replaced defective POS B printer with a working unit
</t>
  </si>
  <si>
    <t>PP0C0396</t>
  </si>
  <si>
    <t>Redah Adriano</t>
  </si>
  <si>
    <t>FSBP00112948</t>
  </si>
  <si>
    <t>SB425</t>
  </si>
  <si>
    <t>PETRON LAKESHORE NLEX (DTE)</t>
  </si>
  <si>
    <t>Card Transaction Error</t>
  </si>
  <si>
    <t>POS C MSR</t>
  </si>
  <si>
    <t>MR-863B</t>
  </si>
  <si>
    <t>260CTC01467</t>
  </si>
  <si>
    <t xml:space="preserve"> POS C MSR for replacement - non-operational due to loose and cut wires</t>
  </si>
  <si>
    <t xml:space="preserve">7/8 HD Action: Advise no buffer unit on our end
8/6 HD Action: SD follow-up : Advise there still no buffer unit on our end
8/9 HD Action: SD follow-up : Advise We are currently awaiting the availability of the replacement POS C MSR
8/10 HD Action: SD follow-up : Advise We are actively monitoring the availability of the replacement MSR
8/22 HD Action: SD follow-up : Advise We are actively monitoring the availability of the replacement MSR
8/25 HD Action:SD follow-up :  Advise We are currently awaiting the availability of the replacement POS C MSR
8/27 HD Action: SD follow-up : Advise We are currently awaiting the availability of the replacement POS C MSR
8/29 HD Action: SD follow-up : Advise We are currently awaiting the availability of the replacement POS C MSR
9/7 HD Action: SD follow-up : Advise We are currently awaiting the availability of the replacement POS C MSR
9/14 HD Action: SD follow-up : Advise We are currently awaiting the availability of the replacement POS C MSR
9/24 HD Action: SD follow-up : Advise We are currently awaiting the availability of the replacement POS C MSR
9/25 - HD action - sent email that part replacement is already been shipped.
9/26 -Upon arrival, coordinated with the MOD regarding the replacement request.
-Replaced the defective MSR ID Reader on POS C with a new unit.
-Coordinated with PASI Support to remotely access POS C and verify driver installation.
-Driver installation completed successfully.
-PASI advised to proceed with device testing.
-MOD tested the newly installed MSR device and confirmed it was working properly.
-Pulled out the defective MSR unit.
-Work completed.
</t>
  </si>
  <si>
    <t>Replaced the defective MSR ID Reader with a new unit.</t>
  </si>
  <si>
    <t>MRP80041</t>
  </si>
  <si>
    <t>SD Riz</t>
  </si>
  <si>
    <t>Yvette Ignacio</t>
  </si>
  <si>
    <t xml:space="preserve">FSBP00118289 </t>
  </si>
  <si>
    <t>NLEX DRIVE AND DINE (DTE)</t>
  </si>
  <si>
    <t>MR-2000</t>
  </si>
  <si>
    <t>MRP80035</t>
  </si>
  <si>
    <t>not able to swipe cards due to ID Reader has torn wires / For replacement</t>
  </si>
  <si>
    <t xml:space="preserve">7/16 HD Action: waiting for complete details, asking for SD the model and serial
7/20 HD Action: Made followup to Sir Floyd for assistance
9/25 - HD action - sent email that part replacement is already been shipped.
9/26- Upon arrival, coordinated with the MOD regarding the replacement of the MSR ID Reader.
-Replaced the defective MSR device on POS C with a new unit.
-Coordinated with PASI Support, who remotely accessed POS C to verify proper driver installation and device functionality.
-PASI confirmed that the new MSR ID Reader was installed correctly and functioning as expected.
-Work completed.
</t>
  </si>
  <si>
    <t xml:space="preserve">Replaced the defective MSR
</t>
  </si>
  <si>
    <t>Carlo Cortes</t>
  </si>
  <si>
    <t xml:space="preserve">FSBP00125313 / FSBP00125329 </t>
  </si>
  <si>
    <t>KSJA0916</t>
  </si>
  <si>
    <t xml:space="preserve">assistance in checking the POS A is having intermittent RTO </t>
  </si>
  <si>
    <t xml:space="preserve">9/26: HD Jave: Cancelled as per LSD , already operational
9:26: JD Jave: 9:27AM advised by TS Vince to proceed on onsite checking
9/26 -Upon arrival, POS A was operational.
-Tested POS A’s LAN connection using a LAN tester — result showed inconsistent continuity.
-Performed a continuous ping test — observed intermittent connection and RTOs.
-Re-crimped the LAN cable on both ends.
-Verified POS A's internet speed — measured at 1 Gbps.
-Monitored the unit for 30 minutes.
-No further RTOs observed; connection remained stable.
-Work completed.
</t>
  </si>
  <si>
    <t>Re-crimped LAN cable on both ends of POS A. Connection stabilized.</t>
  </si>
  <si>
    <t xml:space="preserve"> FSBP00125317</t>
  </si>
  <si>
    <t>4852 - E-70</t>
  </si>
  <si>
    <t>POS A - requesting for credentials</t>
  </si>
  <si>
    <t xml:space="preserve">9/26 -Upon arrival, coordinated with the MOD 
-Verified that POS A was operational.
-Performed multiple test restarts — unit functioned normally after each restart; approved by MOD.
-Conducted observation period.
-Detected an issue with LS NAV.
-Coordinated with PASI  — issue resolved after coordination.
-LS NAV now functioning properly.
-Work completed.
</t>
  </si>
  <si>
    <t>Performed multiple test restarts; POS A and LS NAV are now functioning normally.</t>
  </si>
  <si>
    <t>Harb Pablo</t>
  </si>
  <si>
    <t>FSBP00125341</t>
  </si>
  <si>
    <t>SB436</t>
  </si>
  <si>
    <t>9 MACAPAGAL BOULEVARD</t>
  </si>
  <si>
    <t>LH46OMDPKBC/XP</t>
  </si>
  <si>
    <t>LH46OMD</t>
  </si>
  <si>
    <t>DT pre menu - monitored disconnected</t>
  </si>
  <si>
    <t xml:space="preserve">9/26 -Upon arrival, coordinated with the MOD regarding the DT Pre Menu issue.
-Performed a ping test to the Pre Menu display — result: unreachable.
-Reseated the Pre Menu’s LAN cable in the 24-port switch — still unreachable.
-Re-crimped the LAN cable connected to the Pre Menu.
-Re-tested ping — device was now reachable.
-Coordinated with Sir Vince to verify status on the dashboard — confirmed connected.
-Informed the MOD and confirmed restoration.
-Work completed.
</t>
  </si>
  <si>
    <t xml:space="preserve">Re-crimped the RJ45 LAN cable of the DT Pre Menu.
</t>
  </si>
  <si>
    <t>Catherine Baura</t>
  </si>
  <si>
    <t>FSBP00125342</t>
  </si>
  <si>
    <t xml:space="preserve"> JP LAUREL BLDG - ROXAS BLVD</t>
  </si>
  <si>
    <t>41LH340</t>
  </si>
  <si>
    <t>POS A - no power</t>
  </si>
  <si>
    <t xml:space="preserve">9/26 -Upon arrival, coordinated with the MOD regarding the issue.
-Performed isolation steps and found that the UPS source outlet had no power.
-Attempted to bypass the UPS — POS terminals powered on successfully.
-Further isolation revealed that the breaker labeled “UPS” was turned off.
-Switched the breaker back on and re-tested the UPS source outlet — voltage was normal.
-Identified root cause: a shorted charger plugged in by the barista caused the breaker to trip.
-POS terminals and store equipment are now operating normally through the UPS.
-Verified UPS is functioning correctly.
-Issue resolved. Work completed.
</t>
  </si>
  <si>
    <t xml:space="preserve">Power restored to POS terminals by resetting the tripped UPS breaker.
</t>
  </si>
  <si>
    <t xml:space="preserve">Elvin Abella
</t>
  </si>
  <si>
    <t>May Torres</t>
  </si>
  <si>
    <t>FSBP00125350</t>
  </si>
  <si>
    <t>41MC579</t>
  </si>
  <si>
    <t>9/26 -Upon arrival, coordinated with the MOD regarding the issue.
-Performed isolation steps and found that the UPS source outlet had no power.
-Attempted to bypass the UPS — POS terminals powered on successfully.
-Further isolation revealed that the breaker labeled “UPS” was turned off.
-Switched the breaker back on and re-tested the UPS source outlet — voltage was normal.
-Identified root cause: a shorted charger plugged in by the barista caused the breaker to trip.
-POS terminals and store equipment are now operating normally through the UPS.
-Verified UPS is functioning correctly.
-Issue resolved. Work completed.</t>
  </si>
  <si>
    <t>FSBP00124105</t>
  </si>
  <si>
    <t xml:space="preserve"> LACSON ST. CORNER 18TH ST. - BACOLOD CITY</t>
  </si>
  <si>
    <t xml:space="preserve"> 4610-1NR</t>
  </si>
  <si>
    <t xml:space="preserve"> 41167GF</t>
  </si>
  <si>
    <t xml:space="preserve"> POS A printer replacement of thermalhead due to the printer being an old model and receipts still printing blurry after checking the printerhead and reprinting, recommended by VEI during PM
</t>
  </si>
  <si>
    <t xml:space="preserve">9/26 -Replaced the existing POS A printer with a new unit.
-Performed test prints — results were clear and acceptable.
-Conducted additional test prints with the MOD present — confirmed good output.
-Verified full functionality of the new printer.
-Work completed.
</t>
  </si>
  <si>
    <t>Replaced the old Toshiba printer with a new Posiflex PP7900.</t>
  </si>
  <si>
    <t>PP0C0281</t>
  </si>
  <si>
    <t>41167GF</t>
  </si>
  <si>
    <t>Kim Biendo</t>
  </si>
  <si>
    <t xml:space="preserve">FSBP00124821 </t>
  </si>
  <si>
    <t>SB679</t>
  </si>
  <si>
    <t>PASEO ARCENAS BANAWA DT</t>
  </si>
  <si>
    <t>A06</t>
  </si>
  <si>
    <t>Smart Plan 300 Deployment</t>
  </si>
  <si>
    <t xml:space="preserve">9/26 -Upon arrival, coordinated with the MOD.
-Proceeded to the back office for deployment activities.
-Set up the new store phone.
-Performed test calls (incoming and outgoing) — all functions working properly.
-Turned over the new phone to the MOD.
-Work completed
</t>
  </si>
  <si>
    <t>Deployed and turned over the new store phone under Smart Plan 300.</t>
  </si>
  <si>
    <t>Lawrence Kuan</t>
  </si>
  <si>
    <t>FSBP00125087</t>
  </si>
  <si>
    <t>SM CENTER CONGRESSIONAL</t>
  </si>
  <si>
    <t>re-install the TeamViewer and check the MWS Desktop</t>
  </si>
  <si>
    <t>9/26: HD Action : asking for the clarification of the request
9/26 -Upon arrival, coordinated with the MOD.
-Checked the MWS TeamViewer application status.
-Coordinated with PASI to confirm MWS connectivity.
-As per PASI, MWS was online and functioning normally.
-Conducted a remote access test via TeamViewer — confirmed working.
-Work completed.</t>
  </si>
  <si>
    <t>Confirmed that MWS TeamViewer was online after coordination with PASI. Remote access test was successful.</t>
  </si>
  <si>
    <t>Aly Sinlong</t>
  </si>
  <si>
    <t xml:space="preserve">FSBP00125366 </t>
  </si>
  <si>
    <t>SB244</t>
  </si>
  <si>
    <t>SM SOUTHMALL - GF - LAS PINAS CITY</t>
  </si>
  <si>
    <t>PC0D6Z4B</t>
  </si>
  <si>
    <t>Can't Connect on BOS TeamViewer due to old version</t>
  </si>
  <si>
    <t>9/29 -Coordinated with MOD upon arrival.
-Uninstalled the outdated version of TeamViewer.
-Installed the updated TeamViewer version 15.69.5.
-Configured the following settings:
*Set standard TeamViewer password: sbux244
*Allowed access for all users
*Set Full Access Control permissions
-Coordinated with PASI to test remote connection — connection successful.
-Work completed.</t>
  </si>
  <si>
    <t xml:space="preserve">Updated and configured TeamViewer to version 15.69.5.
</t>
  </si>
  <si>
    <t xml:space="preserve"> Chester Alcantara</t>
  </si>
  <si>
    <t>FSBP00125367</t>
  </si>
  <si>
    <t>SB286</t>
  </si>
  <si>
    <t>LIMKETKAI CENTER - CDO</t>
  </si>
  <si>
    <t xml:space="preserve"> 41-PN471</t>
  </si>
  <si>
    <t>POS B Terminal - Unable to connect to port</t>
  </si>
  <si>
    <t>9/27 ‎- Upon arrival coordinate with MOD and MAYA FE
‎- Check POS B lan speed
‎- Test lan cable
‎- Recrimp lan cable
‎- Reconfigure maya device by PASI
‎- Test card transaction
‎- Work done.</t>
  </si>
  <si>
    <t>recrimp lan cable - MAYA device reconfig by PASI</t>
  </si>
  <si>
    <t>Jamce Marie Bodios</t>
  </si>
  <si>
    <t>FSBP00125411</t>
  </si>
  <si>
    <t>P3680</t>
  </si>
  <si>
    <t xml:space="preserve"> FNZK084</t>
  </si>
  <si>
    <t>BOS - Destination host unreachable and RTO</t>
  </si>
  <si>
    <t>9/27 - Coordinated with MOD
- Proceeded checking BOS
- BOS is up but unreachable
- Reboot BOS, BOS now is ok
- Check POS, all operational</t>
  </si>
  <si>
    <t>reboot POS</t>
  </si>
  <si>
    <t>Kristene May Mazo</t>
  </si>
  <si>
    <t>FSBP00124730</t>
  </si>
  <si>
    <t>MWS, BOS</t>
  </si>
  <si>
    <t>HME</t>
  </si>
  <si>
    <t>Zoom Nitro</t>
  </si>
  <si>
    <t>HME Zoom Timer - Monitored Offline in Server</t>
  </si>
  <si>
    <t>9/27 HD Action: Endorsed not yet acknowledge
9/28 ‎- Coordinated with the MOD.
‎- Checked zoom timer, current status is up and running.
‎- Performed ping test on Zoom timer from MWS and BOS. Ping results are ok with no RTO.
- Checked accessibility. Zoom timer is accessible thru MWS.
‎- Checked readings and detection. Accurate time reading and car detection.
‎- Checked physical connection. Zoom timer is properly connected to 24 port switch.
- According to the MOD, the store encountered no problems regarding the timer.
- Requested dashboard checking and observed connection. Zoom timer connectivity is ok.</t>
  </si>
  <si>
    <t>Ping test on Zoom timer from MWS and BOS: Result no RTO</t>
  </si>
  <si>
    <t>FSBP00125508</t>
  </si>
  <si>
    <t>60-10498</t>
  </si>
  <si>
    <t>9/28  -Upon arrival, checked POS B drawer – all drawers were opening but not in the correct order.
-Reconnected/switched the drawer cable to the correct configuration.
-Performed functionality test – drawer opened correctly.
-Confirmed and tested by MOD – drawer working as expected.
-Work completed successfully.</t>
  </si>
  <si>
    <t>Reconnected/switched the drawer cable to the correct configuration.</t>
  </si>
  <si>
    <t>Aubrey Cruz</t>
  </si>
  <si>
    <t>FSBP00125524</t>
  </si>
  <si>
    <t>ROBINSONS OTIS - LEVEL 1</t>
  </si>
  <si>
    <t>Auto Shutdown, Unresponsive</t>
  </si>
  <si>
    <t>41NY913</t>
  </si>
  <si>
    <t>POS B - Unresponsive and auto shutdown</t>
  </si>
  <si>
    <t>9/28 -Upon arrival, confirmed POS B was up and running.
-Verified power cable was properly plugged in.
-Performed disk check – result was good.
-Checked UPS – power was normal.
-Observed unit stability for 30 minutes – no shutdown occurred.
-POS remained stable. 
-Work completed.</t>
  </si>
  <si>
    <t>Verified power cable and Performed disk check – result was good.</t>
  </si>
  <si>
    <t>FSBP00125541</t>
  </si>
  <si>
    <t>JXQQ874</t>
  </si>
  <si>
    <t>BOS is turned on but offline, causing ALL POS Nav error: No Service Tier Available</t>
  </si>
  <si>
    <t xml:space="preserve">9/29 -Upon arrival at the store, the BOS (Back Office System) was already up and running.
-Sir Christian reported that he had resolved the issue earlier by performing a power cycle (turning the BOS off and on).
-The MOD (Manager on Duty) mentioned that a power interruption occurred due to the generator (genset).
-Sir Vince reported that the pre-menu feature was not connecting.
-Re-crimping of network cables was performed to address connectivity issues.
-All devices were pinged — no Request Timeouts (RTO) were observed, and network stability was confirmed.
-Findings and resolution were communicated to Sir Vince, who acknowledged and confirmed system functionality.
-No further issues were observed. 
-Work was completed.
</t>
  </si>
  <si>
    <t>Performed a power cycle / completion not yet sent</t>
  </si>
  <si>
    <t>12:00 PM, 1:20 PM</t>
  </si>
  <si>
    <t>1:00 PM, 2:30 PM</t>
  </si>
  <si>
    <t>Sandro Labalan / James Remuel Poblete</t>
  </si>
  <si>
    <t>Joanna Archiudo</t>
  </si>
  <si>
    <t>FSBP00125265</t>
  </si>
  <si>
    <t>POS A - Bluescreen</t>
  </si>
  <si>
    <t xml:space="preserve">9/29 -Upon arrival, POS A was showing a black screen.
-Attempted to restart the POS, but the issue persisted.
-Proceeded with reimaging the POS terminal.
-Performed the following configuration steps:
	*Set hostname
	*Assigned static IP address
	*Joined the unit to the domain
	*Installed printer drivers
	*Installed Maya driver
	*Configured PASI
	*Set up auto-login
-Conducted a test transaction and observed system stability.
-POS A is now operational.
</t>
  </si>
  <si>
    <t>Reimaging POS terminal.</t>
  </si>
  <si>
    <t>Robert Odronia Jr.</t>
  </si>
  <si>
    <t>FSBP00125552</t>
  </si>
  <si>
    <t>POS D Drawers1 -Unable to open automatically</t>
  </si>
  <si>
    <t>9/29 - Upon arrival coordinate with MOD
- Proceed to check drawer; all rollers are good; Y cable is good
- Found Drawer1 not opening due to heavy coins
- When coins were removed; drawer opened consistently
- When coins were placed back; drawer opened but not consistently
- Witness by MOD; advise them that lessen the coins as much as possible</t>
  </si>
  <si>
    <t>adjusted spring and stress test Cash Drawer with/without coins</t>
  </si>
  <si>
    <t xml:space="preserve"> FSBP00124543</t>
  </si>
  <si>
    <t>SB385</t>
  </si>
  <si>
    <t>THE HAMPTON GARDENS ARCADE</t>
  </si>
  <si>
    <t>PC0QW7UY</t>
  </si>
  <si>
    <t xml:space="preserve"> MWS- Has blue screen</t>
  </si>
  <si>
    <t xml:space="preserve">9/29 -Upon arrival, coordinated with the MOD.
-MWS was already up and running.
-Checked MWS disk health – status was good (100% health and performance).
-Checked disk and RAM usage – found disk usage at 100%.
-Performed the following diagnostics and maintenance:
*chkdsk – no issues found
*sfc /scannow – system integrity verified
*Disk optimization – completed successfully
-Rechecked disk usage – performance improved, no longer reaching 100%.
-Monitored system for a while – disk usage remained stable, and no blue screen occurred.
-Advised the MOD to avoid opening multiple files, applications, and browser tabs simultaneously to prevent future performance issues.
-No further issues observed.
-Work completed.
</t>
  </si>
  <si>
    <t>Performed diagnostics and maintenance</t>
  </si>
  <si>
    <t xml:space="preserve"> Francisco T. Sevilla III</t>
  </si>
  <si>
    <t>Izah Arcangel</t>
  </si>
  <si>
    <t>FSBP00124864</t>
  </si>
  <si>
    <t>THINKCENTRE</t>
  </si>
  <si>
    <t>M900 (MT-M-10FG-S1R501)</t>
  </si>
  <si>
    <t>Mall sending - disconnected and missing csv for Sept. 13 onwards</t>
  </si>
  <si>
    <t xml:space="preserve">9/29-Waited for go-ahead from partners before starting troubleshooting.
-Performed a ping test – Mall Sending Gateway was unreachable (Request Timed Out).
-Tested the Mall Sending connection using a LAN tester – confirmed a faulty connection.
-Re-crimped the LAN cable connected to the Mall Sending setup.
-Retested the connection using a LAN tester – lights blinked continuously, indicating a stable connection.
-Coordinated with PASI to verify connectivity – PASI confirmed the Mall Sending connection is now online.
</t>
  </si>
  <si>
    <t xml:space="preserve">Faulty LAN cable re-crimped, restoring the Mall Sending connection.
</t>
  </si>
  <si>
    <t>Stephen Flores</t>
  </si>
  <si>
    <t>FSBP00125560</t>
  </si>
  <si>
    <t>Won't print / 'An I/O exception occurred during the operation' Error</t>
  </si>
  <si>
    <t xml:space="preserve">9/29 -Upon arrival, inspected the POS B printer, which was not printing.
-L2 conducted full troubleshooting on possible causes of the printer issue.
-Coordinated with PASI to check printer connection and functionality.
-All cables and connections of POS B printer were checked and secured.
-Test prints were done and confirmed working.
-MOD attempted to reprint all transactions – all printed successfully.
-No further issues observed.
</t>
  </si>
  <si>
    <t>Checked and resecured all printer cables on POS B</t>
  </si>
  <si>
    <t>Ash Benavidez</t>
  </si>
  <si>
    <t>FSBP00125561</t>
  </si>
  <si>
    <t>41-PH721</t>
  </si>
  <si>
    <t xml:space="preserve">POS B An I/O exception occurred during the operation </t>
  </si>
  <si>
    <t xml:space="preserve">9/29 -Upon arrival, coordinated with the MOD regarding the I/O exception issue.
-L2 performed initial troubleshooting on POS B to identify the source of the error.
-Coordinated with PASI for remote diagnostics.
-PASI attempted to remote into POS B but found the BOS (Back Office Server) was not reachable (RTO – Request Timed Out).
-PASI then remotely accessed the BOS, restored connectivity, and confirmed that the system was stable.
-Verified that all transactions were processing properly after resolution.
-No further issues were observed.
</t>
  </si>
  <si>
    <t>PASI identified and resolved BOS connectivity issue (RTO).</t>
  </si>
  <si>
    <t>FSBP00124992</t>
  </si>
  <si>
    <t>SB660</t>
  </si>
  <si>
    <t>STA CRUZ - NATIONAL HIGHWAY</t>
  </si>
  <si>
    <t>CURIOPlayer Z8</t>
  </si>
  <si>
    <t>B83504FF54903</t>
  </si>
  <si>
    <t xml:space="preserve"> Curio Player - Unable to connect to the player prompt</t>
  </si>
  <si>
    <t>9/29 HD Action: Asked the store hours as we don't have the details on our file
9/30 - Coordinated with the MOD for Curio Player checking.
- Curio is up and working.
- Conducted connectivity test thru playnetwork interface.
- Connectivity status and Location Network connectivity are ok.
- Checked playnetwork/Curio player UI, dashboard is accessible.
- Curio/Playnetwork connectivity status is ok.
- According to the MOD, 1st floor speakers are ok but speakers on 2nd floor is intermittent/inconsistent.
- As of checking, all speakers are functioning.
- Curio player is up and running, confirmed by the MOD.</t>
  </si>
  <si>
    <t>Check curio device, connectivity status is ok</t>
  </si>
  <si>
    <t>Joy Altamirano</t>
  </si>
  <si>
    <t>FSBP00125406</t>
  </si>
  <si>
    <t>SB328</t>
  </si>
  <si>
    <t>METROPOLI - E. RODRIGUEZ JR. AVE.</t>
  </si>
  <si>
    <t>HVA1P64K</t>
  </si>
  <si>
    <t>Store Tablet - New store tablet ablet request for set up before October 1, 2025</t>
  </si>
  <si>
    <t>9/30 - Upon arrival Coordinate with MOD
- As per MOD new and old tablet's authenticator and spconnect is not working
- Coordinate with RCOC
- RCOC Sir Vince advised spconnect still not available due to credentials
- RCOC Sir Vince advised authenticator will be set up in old tablet not new
- Setup authenticator in old tablet; now working
- Set up apps in new tablet
- Compliant checked by RCOC Sir Clence; good.
- Work done</t>
  </si>
  <si>
    <t>set-up new tablet - confirmed compliant by Sir Clence</t>
  </si>
  <si>
    <t>Bernadeth Francisco</t>
  </si>
  <si>
    <t>FSBP00125522</t>
  </si>
  <si>
    <t>KSHC0084</t>
  </si>
  <si>
    <t>POS A Printer- Malfunction (exact issue to be determined)</t>
  </si>
  <si>
    <t>9/30 - Coordinated with the MOD.
- Waited for permission to proceed due to volume of customers.
- Checked for serial number, located the printer currently deployed to POS B.
- Conducted test feed, paper isn't feeding properly due to misaligned paper.
- Fixed the paper alignment.
- Conducted test print thru NAV and OPOS, t.printer is printing properly, witnessed by the MOD.
- Printer status is ok, confirmed by the MOD.</t>
  </si>
  <si>
    <t>Fixed paper alignment.</t>
  </si>
  <si>
    <t>Linus Asombrado</t>
  </si>
  <si>
    <t>FSBP00125767</t>
  </si>
  <si>
    <t>SB534</t>
  </si>
  <si>
    <t>ESTANCIA MALL</t>
  </si>
  <si>
    <t>GLOBE-HUAWEI</t>
  </si>
  <si>
    <t>NetEngine AR617VW-LTE4EA</t>
  </si>
  <si>
    <t>2S2340010254</t>
  </si>
  <si>
    <t>Globe Fiber Internet Activation Sept 30, 2025 10am-5pm</t>
  </si>
  <si>
    <t>9/30 - Upon arrival coordinated with MOD
- Check Globe modem
- Config Globe ipv4; good
- Performed standalone test on Globe; good, stable
- Ping 8.8.8.8; good, stable and pingable
- Coordinate with sir Bryan
- Advised MOD regarding quick downtime (5 to 10 seconds), MOD agreed
- Terminate Globe to WAN 1 and PLDT to WAN 2; good
- Performed speedtest using MWS; good, Globe detected
- Observed for a while; good, up both networks (Globe and PLDT), confirmed by sir Bryan
- No LTE in store found
- Already advised to sir Bryan; sir Bryan acknowledged
- Work done</t>
  </si>
  <si>
    <t>Terminate Globe to WAN 1 and PLDT to WAN 2</t>
  </si>
  <si>
    <t>Clariza Palomar</t>
  </si>
  <si>
    <t>FSBP00125617</t>
  </si>
  <si>
    <t>ZTEGD4FB1583</t>
  </si>
  <si>
    <t>Converge Fiber Internet Activation Sept 30, 2025 10am-5pm</t>
  </si>
  <si>
    <t>9/30 - Coordinate with MOD
- Checked converge
- Config given IP and no internet
- Sir Bryan advised to plug it on port 1 of meraki still no internet
- Waiting for Sir Bryan reply
- Per checking there’s LOS
- Reported it to Sir Bryan and he acknowledged
- Advised MOD and he acknowledged
- Reco to Converge
- Work done</t>
  </si>
  <si>
    <t>Converge LOS - Reco to converge</t>
  </si>
  <si>
    <t>Josua Balabbo</t>
  </si>
  <si>
    <t>FSBP00125629</t>
  </si>
  <si>
    <t>SB454</t>
  </si>
  <si>
    <t>F. TORRES ST., DAVAO CITY</t>
  </si>
  <si>
    <t>41PV899</t>
  </si>
  <si>
    <t>POS A - to check Connectivity at 100mbps</t>
  </si>
  <si>
    <t xml:space="preserve">9/30 - Upon arrival, coordinate with MOD  
- Wait for the call from the MOD before we proceed
- Re crimp the lan cable
- Check connection 1GB; 
- Ping POS A in MWS
- Run Nav POS and POS is now working
- Requested dashboard checking with RCOC
- Confirmed connection at 1Gb with Sir Vince
</t>
  </si>
  <si>
    <t>Re crimp the lan cable</t>
  </si>
  <si>
    <t>Jonathan Luna</t>
  </si>
  <si>
    <t>FSBP00125605</t>
  </si>
  <si>
    <t>SB526</t>
  </si>
  <si>
    <t>M SQUARE</t>
  </si>
  <si>
    <t>POS A Cashdrawer 2 opens when pushing the drawer's side</t>
  </si>
  <si>
    <t xml:space="preserve">9/30 - Coordinate with MOD
- Waiting for parts
- Replace new Cash drawer 2 in POS A.
- Tested; okay.
- Defective cash drawer endorsed to MOD for delivery direct to warehouse.
</t>
  </si>
  <si>
    <t xml:space="preserve"> POS A Cash Drawer 2 Replacement</t>
  </si>
  <si>
    <t>Milcah Bandola</t>
  </si>
  <si>
    <t>FSBP00125698</t>
  </si>
  <si>
    <t>POS B Cashdrawer 1 won't open properly (VEI's reco before PM)</t>
  </si>
  <si>
    <t>9/30 - Coordinate with MOD
- Waiting for parts
- Replace new Cash drawer 1 in POS B.
- Tested; okay.
- Defective cash drawer endorsed to MOD for delivery direct to warehouse.</t>
  </si>
  <si>
    <t>POS B Cash Drawer 1 Replacement</t>
  </si>
  <si>
    <t>FSBP00125650</t>
  </si>
  <si>
    <t>SB232</t>
  </si>
  <si>
    <t>THE COLUMNS - GIL PUYAT AVE</t>
  </si>
  <si>
    <t>MT-M 10A8-S4B505</t>
  </si>
  <si>
    <t>PC0ANAQ2</t>
  </si>
  <si>
    <t>MWS - Loose LAN cable</t>
  </si>
  <si>
    <t xml:space="preserve">9/30 - Upon arrival coordinate with MOD
- Check cable, cable is loose
- Recrimp end to end, test 1 gbps
- Observe in case of problem occur
- Meraki went down due to power cable is removed; secure power cable
- Meraki is up
- Work done
</t>
  </si>
  <si>
    <t>Bell Saligan</t>
  </si>
  <si>
    <t>FSBP00125823</t>
  </si>
  <si>
    <t>PC0D6YVW</t>
  </si>
  <si>
    <t>Team viewer offline</t>
  </si>
  <si>
    <t xml:space="preserve">10/01 - Upon arrival, ping BOS from MWS pingable
- Checked BOS has internet but teamviewer still down
- Checked BOS IP obtained
- Configure to proper IP teamviewer is now up
- Coordinate with the team; RCOC and PASI able to connect now.
- Advised MOD to try starbucks card transaction
- MOD acknowledged that starbucks card transaction is working
- Standby for 30 mins
- Store is now stable
- Work done
</t>
  </si>
  <si>
    <t>Checked BOS IP obtained  - Configure to proper IP</t>
  </si>
  <si>
    <t>FSBP00125548</t>
  </si>
  <si>
    <t>SB647</t>
  </si>
  <si>
    <t xml:space="preserve"> INTERNATIONAL FINANCE CENTER BGC</t>
  </si>
  <si>
    <t>POS Posiflex</t>
  </si>
  <si>
    <t>RTO51900</t>
  </si>
  <si>
    <t xml:space="preserve"> JV - POS A Maya Terminal - error: Unable to open serial port</t>
  </si>
  <si>
    <t xml:space="preserve">10/02 -Upon arrival, coordinated with MOD and Maya representative
-Performed test on POS A – Maya terminal did not generate code
-Switched to backup Maya device – issue reoccurred
-Installed new cradle – device responded properly
-Observed and waited for a live transaction – transaction completed successfully
-MOD confirmed that Maya terminal is now working as expected
-Issue resolved; work completed
</t>
  </si>
  <si>
    <t>Installed new cradle and switched port on the terminal</t>
  </si>
  <si>
    <t>Arik Ibalo</t>
  </si>
  <si>
    <t>FSBP00125802</t>
  </si>
  <si>
    <t>POS Toshiba</t>
  </si>
  <si>
    <t xml:space="preserve"> POS B - windows error recovery</t>
  </si>
  <si>
    <t xml:space="preserve">10/2 upon arrival, Pos B has no power.
-Checked pos B power chord.
-checked bios&gt;boot Settings, Hdd still in First Priorities.
-Set all Priorities to HDD.
-pos b is now up.
-performed chkdsk - non bad sectors.
-checked hdd using hdd sentinel okay.
-observed pos B for 30mins.
-work done.
</t>
  </si>
  <si>
    <t>Set all Priorities to HDD in Bios&gt;Boot.</t>
  </si>
  <si>
    <t>Hannah Mariano</t>
  </si>
  <si>
    <t xml:space="preserve"> FSBP00125794</t>
  </si>
  <si>
    <t xml:space="preserve">4852-E70, 4852-E70, </t>
  </si>
  <si>
    <t>41-NY872, 41-NY875, PCOD6YW8</t>
  </si>
  <si>
    <t>POS A - Encounter RTO and General Failure</t>
  </si>
  <si>
    <t xml:space="preserve">10/2 -Coordinated with MOD upon arrival
-Inspected and re-crimped RJ45 LAN cables for POS A, POS B, and BOS
-Opened and verified host files – confirmed that POS A, POS B, and BOS are running at 1 Gbps network speed
-Re-tested POS B operation – confirmed by MOD as working
-Monitored for recurrence of issue – no further RTO or general failure observed
-Issue resolved; work completed
</t>
  </si>
  <si>
    <t>Inspected and re-crimped RJ45 LAN cables for POS A, POS B, and BOS</t>
  </si>
  <si>
    <t>Isabel Sacapano</t>
  </si>
  <si>
    <t xml:space="preserve">FSBP00125816 </t>
  </si>
  <si>
    <t>41-NY875</t>
  </si>
  <si>
    <t>POS B - Encounter RTO and General Failure</t>
  </si>
  <si>
    <t xml:space="preserve">10/2-Upon arrival, coordinated with MOD on-site
-Inspected RJ45 LAN cable and re-crimped the connector
-Verified connection speed via host file – confirmed running at 1 Gbps
-Re-checked POS B functionality – confirmed operational and stable, witnessed by MOD
-No further issues observed during testing
-Issue resolved; work completed
</t>
  </si>
  <si>
    <t>Inspected RJ45 LAN cable and re-crimped the connector</t>
  </si>
  <si>
    <t>FSBP00125815</t>
  </si>
  <si>
    <t>SB483</t>
  </si>
  <si>
    <t>WESTGATE CENTER ALABANG</t>
  </si>
  <si>
    <t>TBX306X</t>
  </si>
  <si>
    <t>HA1PS3VH</t>
  </si>
  <si>
    <t>Store Tablet - Set a new screen lock prompt error</t>
  </si>
  <si>
    <t xml:space="preserve">10/2 -Upon arrival, verified the Store Tablet status
-Tablet was operational; able to log in using current PIN
-Checked all installed applications – all functioning properly
-Issue was acknowledged and confirmed by MOD
-No further errors observed during testing
-Work completed
</t>
  </si>
  <si>
    <t>Checked tablet's status.</t>
  </si>
  <si>
    <t>Benigno 'Ninoy' Aquino</t>
  </si>
  <si>
    <t>FSBP00125821</t>
  </si>
  <si>
    <t>Grounding problem</t>
  </si>
  <si>
    <t xml:space="preserve"> PP-7900X</t>
  </si>
  <si>
    <t>PP0C0264</t>
  </si>
  <si>
    <t xml:space="preserve">POS B printer - Red Light Indicator Issue When Moved – Possible Grounding Problem
</t>
  </si>
  <si>
    <t xml:space="preserve">10/2 -Upon arrival, coordinated with MOD
-According to MOD, the printer malfunctions when replacing paper
-Inspected the printer: roller and lock mechanism are damaged, leading to paper misalignment
-Printer powers on and works intermittently; red light sometimes appears during use
-Recommended escalation to Heritage due to hardware issue
-Work completed
</t>
  </si>
  <si>
    <t>Temporary fix - advised to use smaller paper to minimize misalignment. Reco to Heritage.</t>
  </si>
  <si>
    <t>FSBP00125591</t>
  </si>
  <si>
    <t>4852 - E70</t>
  </si>
  <si>
    <t xml:space="preserve">41 - MH968
</t>
  </si>
  <si>
    <t>POS B encounters "General Failure" and "Request Timed Out".</t>
  </si>
  <si>
    <t xml:space="preserve">10/2 -Upon arrival, verified that POS B was powered on
-Checked network connection – initially running at 100 Mbps
-Re-crimped LAN cable
-After re-crimping, network connection improved to 1 Gbps
-Observed the unit for 30 minutes
-POS remained stable during observation; no RTO (Request Time Out) detected
-Issue resolved; work completed
</t>
  </si>
  <si>
    <t>Re-crimped LAN cable</t>
  </si>
  <si>
    <t>Aubrie Cruz</t>
  </si>
  <si>
    <t>FSBP00125659</t>
  </si>
  <si>
    <t>41KZ494</t>
  </si>
  <si>
    <t>POS A - consistent bluescreen and black screen</t>
  </si>
  <si>
    <t>10/2 -Coordinated with MOD upon arrival
-Inspected POS A unit; found the case was wide open
-Properly closed and secured the POS case
-Checked disk health – confirmed at 100% health and performance
-Performed initial CHKDSK scan – found corrupted sectors
-Reimaged the POS A unit
-Ran CHKDSK again – confirmed system health is now good
-Configured IPv4 settings and updated hosts file – both verified working
-Installed and tested Posiflex printer driver – operational
-Coordinated with PASI to perform validation checks – confirmed POS A is good
-Advised MOD to conduct test transactions – successful
-Monitored the unit for a while – no recurrence of blue screen or black screen
-Issue resolved; work completed</t>
  </si>
  <si>
    <t>Reimaged the POS A unit</t>
  </si>
  <si>
    <t>Gen Resurreccion</t>
  </si>
  <si>
    <t>FSBP00125565</t>
  </si>
  <si>
    <t xml:space="preserve"> POS A -The cover has been detached
</t>
  </si>
  <si>
    <t xml:space="preserve">10/2 -Upon arrival, coordinated with MOD on-site
-Observed that the POS A cover was detached and difficult to fix due to tight fit
-Carefully removed the customer display bracket cover to gain access
-Successfully reattached the POS cover without compromising warranty seals or hardware integrity
-POS is now securely closed and fully functional
-Issue resolved; work completed
</t>
  </si>
  <si>
    <t>Reattached POS A cover securely and properly</t>
  </si>
  <si>
    <t>FSBP00125879</t>
  </si>
  <si>
    <t>SB428</t>
  </si>
  <si>
    <t>AYALA MALLS THE 30TH</t>
  </si>
  <si>
    <t>MO&amp;P Black Screen</t>
  </si>
  <si>
    <t>41PP518</t>
  </si>
  <si>
    <t>POS A - Black screen with power</t>
  </si>
  <si>
    <t>10/3 Upon arrival coordinated with MOD
- POS A is up upon arrival
- Check power adapter; good
- Secured power chord end to end; good
- Performed chkdsk; good
- Check disk health; good, 100% health and performance
- As per MOD maya terminal is having issues
- Test trasaction via MAYA; not working
- Reinstall MAYA driver; good, installed
- Test transaction again; good, working, confirmed by MOD
- Also fixed loosen monitor nut; good, monitor bezel no longer need support
- Observed for a while
- Work done</t>
  </si>
  <si>
    <t xml:space="preserve"> Reinstall MAYA driver &amp;  fixed loosen monitor nut;</t>
  </si>
  <si>
    <t>Hannah Lojares</t>
  </si>
  <si>
    <t>FSBP00125881</t>
  </si>
  <si>
    <t>SB267</t>
  </si>
  <si>
    <t>UP-AYALALAND TECHNOHUB - LEVEL 1 RETAIL CENTER</t>
  </si>
  <si>
    <t>41MK391</t>
  </si>
  <si>
    <t>POS A - Blue screen and auto shutdown</t>
  </si>
  <si>
    <t xml:space="preserve">10/2 upon arrival, coordinate  MOD regarding issue
- upon checking POS A  is not working / no power / not responding
 - check all cable /  same issue
- remove back cover clean Ram and  re plug power cord
- turn on POS A / run check disk
- secured all cables  
-adcvice MOD for testing / testing done
- observe  20 minute .  work done  </t>
  </si>
  <si>
    <t xml:space="preserve">  re plug power cord</t>
  </si>
  <si>
    <t>Darrio Garcia</t>
  </si>
  <si>
    <t>Nichole  Dizon</t>
  </si>
  <si>
    <t>FSBP00125947</t>
  </si>
  <si>
    <t>MALL OFASIA 2</t>
  </si>
  <si>
    <t xml:space="preserve"> PP 7600X</t>
  </si>
  <si>
    <t>PPM80808</t>
  </si>
  <si>
    <t xml:space="preserve">pull out of borrowed printer </t>
  </si>
  <si>
    <t>10/3 Pullout borrowed printer from Pos A.
-Pullout defective printer 
-Work Done</t>
  </si>
  <si>
    <t>pull out printer</t>
  </si>
  <si>
    <t>PPM83947</t>
  </si>
  <si>
    <t>MOD Jeni</t>
  </si>
  <si>
    <t>Kath Perez</t>
  </si>
  <si>
    <t>FSBP00124799</t>
  </si>
  <si>
    <t>Request for cable grooming on Meraki and BOS cable</t>
  </si>
  <si>
    <t>10/1 sir Pow approved - initial sched Oct 3 - awaiting permit | ffup Facilities confirmation
10/2 HD Action: Permit secured, facilities confirm but we're unable to proceed on the activity due to no FE available
10/2 HD Action: confirm acitivty shed Oct 4- for permit reprocess
10/4 - ​-Arrived on-site at 11:38 PM; coordinated with MOD
-Stood by for signal/go from MOD to begin activity
-Started activity at 2:00 AM
-Verified all connections and device statuses before starting – all OK
-Performed proper shutdown of all devices
-Retagged, recrimped, and terminated defective RJ45 connectors
-Began cable grooming in MWS and BOS areas
-Powered on all devices – test results OK
-Verified end-to-end connection – all connections working
-Checked all ports on Meraki – all showing link lights
-Performed ping test on all devices – all reachable
-Full testing of all devices not completed due to unavailability of MOD in charge
-In case of post-activity issues, field engineer standby is ready
-Trends team was also onsite assisting with cable grooming</t>
  </si>
  <si>
    <t>​Retagged, recrimped, terminated defective RJ45 connectors and cable grooming in MWS and BOS areas</t>
  </si>
  <si>
    <t>Elvin Abella and Robert Odronia</t>
  </si>
  <si>
    <t>Noah Lubaton</t>
  </si>
  <si>
    <t>FSBP00125994</t>
  </si>
  <si>
    <t xml:space="preserve"> STA CRUZ - NATIONAL HIGHWAY</t>
  </si>
  <si>
    <t>OKHJHNQY400022T</t>
  </si>
  <si>
    <t>disconnected LFD Panels - Pre Menu</t>
  </si>
  <si>
    <t xml:space="preserve">10/3 -Upon arrival, coordinated with MOD for DT Pre Menu checking
-Found that Pre Menu was up and reachable upon arrival
-Inspected RJ45 connectors at both ends of the Pre Menu connection
-Re-crimped RJ45 connector at the Pre Menu end
-Performed ping test — successful
-Coordinated with Sir Vince — confirmed Pre Menu is connected
-Verified resolution with MOD
-Work completed
</t>
  </si>
  <si>
    <t>Re-crimped RJ45 connector of the Pre Menu LFD Panel</t>
  </si>
  <si>
    <t>Millard Monzon, John Loyd R. Tapia, Brent Albert Facturan</t>
  </si>
  <si>
    <t>Rhomz Maligalig</t>
  </si>
  <si>
    <t>FSBP00125784</t>
  </si>
  <si>
    <t xml:space="preserve"> PP-7600X</t>
  </si>
  <si>
    <t>PP040042</t>
  </si>
  <si>
    <t xml:space="preserve"> POS B Printer - wont print</t>
  </si>
  <si>
    <t>10/2 HD Action : Enroute to Heritage for warranty claims
10/3 HD Jave: Confirm by Heriatge unit is OOW and endorsed the ticket to Cerv by TS Vince
10/3 -Upon arrival, inspected POS B printer
-Resocketed all cables and connections
-Identified loose power adaptor
-Secured power adaptor
-Performed test print — printing successful
-Work completed</t>
  </si>
  <si>
    <t>Secured loose power adaptor.</t>
  </si>
  <si>
    <t>Aaron Apeles</t>
  </si>
  <si>
    <t>FSBP00125964</t>
  </si>
  <si>
    <t>SB628</t>
  </si>
  <si>
    <t>CIRCUMFERENTIAL ROAD BACOLOD</t>
  </si>
  <si>
    <t>CURIO PLAYER</t>
  </si>
  <si>
    <t>8350FBCH61090</t>
  </si>
  <si>
    <t>Curio Player - Unreachable</t>
  </si>
  <si>
    <t xml:space="preserve">10/3 -Restarted the Curio Player
-Performed a hard reset on the Curio Player (Blue light confirmed)
-Unplugged and replugged LAN cable
-Attempted to sign in to the dashboard — unable to connect
-Pinged Curio IP address — device responds to ping
-Audio output confirmed — Curio player is producing sound
</t>
  </si>
  <si>
    <t>Recommended for further checking by Facilities team on the Curio side</t>
  </si>
  <si>
    <t>Karl Justine Robles</t>
  </si>
  <si>
    <t>FSBP00125977</t>
  </si>
  <si>
    <t>SB394</t>
  </si>
  <si>
    <t>SM MAKATI LEVEL 1</t>
  </si>
  <si>
    <t xml:space="preserve"> CURIOplayerZ8</t>
  </si>
  <si>
    <t>2012HOFG09906</t>
  </si>
  <si>
    <t>Curio player - unable to access curio web portal</t>
  </si>
  <si>
    <t xml:space="preserve">10/3 -Waited for partner's go-signal to proceed with onsite troubleshooting
-Checked Curio unit — power confirmed, observed slight looseness in LAN cable connection
-Re-crimped both ends of the LAN cable
-Attempted to sign in to the Curio dashboard — MAC address still not connecting
-Rebooted and restarted the device multiple times — issue persisted
-Verified Curio is pingable
-Coordinated with Sir Vince — MAC address not yet binded
-Escalated for further checking by Sir Bryan
-Reco to Facilities for follow-up action
</t>
  </si>
  <si>
    <t>Reco to Facilities for follow-up action</t>
  </si>
  <si>
    <t>Chariza Flores</t>
  </si>
  <si>
    <t>FSBP00125372</t>
  </si>
  <si>
    <t>Damaged LCD</t>
  </si>
  <si>
    <t>VB02207F00142</t>
  </si>
  <si>
    <t>MOP broken LCD (PM reco)</t>
  </si>
  <si>
    <t>9/26 : HD Action - Verifying if a work permit is needed
10/4 - Upon arrival, waiting for parts and escort
- Proceeded to check the reported device
- Replaced new MO&amp;P
- Connect Starbucks Delivery Wifi
- Installed Barista App.
- Login credentials.
- Tested print in POS Stewart.
- Work done</t>
  </si>
  <si>
    <t xml:space="preserve"> Replaced new MO&amp;P</t>
  </si>
  <si>
    <t>VB02208H00825</t>
  </si>
  <si>
    <t>FSBP00126029</t>
  </si>
  <si>
    <t>41MD057</t>
  </si>
  <si>
    <t>POS A No Service Tier</t>
  </si>
  <si>
    <t>10/4 -Coordinated with MOD upon arrival
-Confirmed POS A is up and operational
-Checked Ethernet connection – confirmed active at 100 Mbps
-Re-crimped Ethernet cable (end-to-end)
-Observed unit for stability
-No further issues observed
-Work completed</t>
  </si>
  <si>
    <t>Re-crimped Ethernet cable (end-to-end)</t>
  </si>
  <si>
    <t>Judie Rigonzal</t>
  </si>
  <si>
    <t>FSBP00125199</t>
  </si>
  <si>
    <t>SB315</t>
  </si>
  <si>
    <t>LUCKY CHINATOWN MALL - BINONDO</t>
  </si>
  <si>
    <t>1935HQKF81629</t>
  </si>
  <si>
    <t>Curio play network - unable to connect to player error</t>
  </si>
  <si>
    <t>10/4 -Upon arrival, inspected the physical condition of the Curio device
-Attempted to access PlayNetwork via MWS
-Discovered that the Curio's MAC address was not registered in the PlayNetwork system
-Coordinated with Sir Bryan to facilitate network access for the Curio
-Successfully connected the Curio device to PlayNetwork</t>
  </si>
  <si>
    <t>Coordinated with Sir Bryan to enable Curio access; device now connected to PlayNetwork</t>
  </si>
  <si>
    <t>Mark Nherenz Basmayor</t>
  </si>
  <si>
    <t>FSBP00125618</t>
  </si>
  <si>
    <t>Request for cable grroming for pastry labeler</t>
  </si>
  <si>
    <t>10/4 -Upon arrival, observed that the LAN and adapter cables were exposed in the FOH area
-Applied a cable organizer to tidy up the area
-Cables are now properly arranged and secured</t>
  </si>
  <si>
    <t>Applied a cable organizer to keep cable wires neat and organized</t>
  </si>
  <si>
    <t xml:space="preserve"> James Remuel E. Poblete</t>
  </si>
  <si>
    <t>10/5 - Upon arrival coordinate to MOD POS B checking
- Found that POS B is stuck in black screen, restart loop
- POS B cant detect the driver or HDD
- Reseat HDD and all cable
- Found that sata cables and rj45 are loose;
- Recrimp lan cable of POS B; restart
- Proceed to windows
- Check health; 100% status
- Chkdsk; no bad sectors
- Observe while waiting for parts; no interruption occur
- Proceed replacing of sata cables
- Verify to MOD
- Work done</t>
  </si>
  <si>
    <t>replaced sata cables</t>
  </si>
  <si>
    <t>FSBP00126013</t>
  </si>
  <si>
    <t>SHELL NLEX - BALAGTAS</t>
  </si>
  <si>
    <t xml:space="preserve">4852-E70  </t>
  </si>
  <si>
    <t>41NZ409</t>
  </si>
  <si>
    <t xml:space="preserve"> POS B drawer 2 broken roller (OOW) for replacement of cash base</t>
  </si>
  <si>
    <t>10/5  - Coordinate with MOD
- Verify the reported device
- Proceeded to replace the cash drawer 2
- Coordinate with PASI for remote checking and testing of cash drawer; ok
- MOD witness; both cash drawer properly working.
- Pull out defective parts cash drawer for POS B.</t>
  </si>
  <si>
    <t>Replace new cash drawer for POS B</t>
  </si>
  <si>
    <t>Eliza Aringo</t>
  </si>
  <si>
    <t xml:space="preserve">FSBP00126120 </t>
  </si>
  <si>
    <t xml:space="preserve">POSIFLEX </t>
  </si>
  <si>
    <t>KSIB0044</t>
  </si>
  <si>
    <t>POS B - Found to be unresponsive during the test / Network cable might be loose (Findings from PASI)</t>
  </si>
  <si>
    <t xml:space="preserve">10/5 -Upon arrival, coordinated with MOD to check POS B LAN cable.
-Verified POS B network speed: 1 Gbps (OK).
-Successfully pinged POS B to BOS – response OK.
-Noted that POS A also experienced intermittent unresponsiveness.
-Checked BOS server network speed – found at 100 Mbps.
-Coordinated with MOD to proceed with re-crimping BOS LAN cable.
-Performed end-to-end recrimp on BOS network cable.
-Rechecked BOS network speed – now 1 Gbps (OK).
-Conducted a 30-minute observation on both POS A and POS B.
-No issues encountered during the observation period.
-Work completion verified with MOD.
</t>
  </si>
  <si>
    <t>Re-crimped BOS LAN cable (end-to-end) to restore stable network performance.</t>
  </si>
  <si>
    <t xml:space="preserve">FSBP00125819 </t>
  </si>
  <si>
    <t>PP -7600X - TB</t>
  </si>
  <si>
    <t xml:space="preserve">PP7600X00B202 </t>
  </si>
  <si>
    <t>POS B printer - blurred print out</t>
  </si>
  <si>
    <t xml:space="preserve">10/4 HD Action : verify if a new work permit is needed. Asked for the warranty tag
10/5 -Coordinated with MOD upon arrival for POS B printer inspection
-Performed test print – confirmed blurred output
-Inspected printer – found broken hook
-Replaced defective printer
-Performed test print on new unit – Passed
-Tested via OPOS – Passed
-Tested via LS NAV – Passed
-Verified functionality with MOD
-Work completed
</t>
  </si>
  <si>
    <t xml:space="preserve">Printer replaced
</t>
  </si>
  <si>
    <t>PPM80687</t>
  </si>
  <si>
    <t>PPN72128</t>
  </si>
  <si>
    <t>Genie Lhyn Galo</t>
  </si>
  <si>
    <t xml:space="preserve">FSBP00125786 </t>
  </si>
  <si>
    <t>SB613</t>
  </si>
  <si>
    <t>WEST GALLERY PLACE BGC</t>
  </si>
  <si>
    <t>2151HIC681010</t>
  </si>
  <si>
    <t>PlayNetwork - "Unable to connect to player" error</t>
  </si>
  <si>
    <t>10/5 -Coordinated with MOD upon arrival.
-Observed that the player UI was slow to load.
-Performed a ping test to the player’s IP – response OK.
-Executed a hard reset of the Curio device.
-After reset, music still not playing.
-Checked volume controls – within standard levels.
-Recommended Curio player replacement.
-Work concluded.</t>
  </si>
  <si>
    <t>Recommended Curio player replacement.</t>
  </si>
  <si>
    <t>Ford Agtarap</t>
  </si>
  <si>
    <t xml:space="preserve">FSBP00126095 </t>
  </si>
  <si>
    <t>POS D Barcode Scanner</t>
  </si>
  <si>
    <t>Posiflex Scanner</t>
  </si>
  <si>
    <t>CD-3600</t>
  </si>
  <si>
    <t xml:space="preserve"> POS D Barcode Scanner - cable is damaged</t>
  </si>
  <si>
    <t>10/5 -Coordinated with MOD upon arrival.
-Inspected POS D barcode scanner – confirmed damaged cable.
-Waited for the replacement scanner to arrive.
-Received the replacement unit.
-Waited for MOD’s go signal to proceed with installation (due to peak customer hours).
-Installed and set up the new barcode scanner at POS D – setup successful.
-Performed test scan – functioning as expected.
-Work completed.</t>
  </si>
  <si>
    <t>Replaced damaged POS D barcode scanner with a new unit.</t>
  </si>
  <si>
    <t>CDM6I350</t>
  </si>
  <si>
    <t>MJ Fernando</t>
  </si>
  <si>
    <t>FSBP00126116</t>
  </si>
  <si>
    <t>SB655</t>
  </si>
  <si>
    <t>GMALL DAVAO</t>
  </si>
  <si>
    <t>Tab A9+ 5G</t>
  </si>
  <si>
    <t>Store Tablet - Currently at the lowest setting and the brightness controls are already locked and unchangeable</t>
  </si>
  <si>
    <t xml:space="preserve">10/6 -Coordinated with MOD upon arrival
-Waited for MOD's go signal before proceeding
-Exited the tablet from kiosk mode
-Adjusted display brightness as preferred by the MOD
-Tablet is now operating at the desired brightness level
</t>
  </si>
  <si>
    <t xml:space="preserve">Adjusted display brightness as preferred by the MOD
</t>
  </si>
  <si>
    <t>JJ Cabugao</t>
  </si>
  <si>
    <t>FSBP00126144</t>
  </si>
  <si>
    <t xml:space="preserve">ETON CITY SQUARE
</t>
  </si>
  <si>
    <t>4CE02816ZG</t>
  </si>
  <si>
    <t>BOS Ethernet Connection Speed as it shows 100MPBS instead of 1GBPS</t>
  </si>
  <si>
    <t xml:space="preserve">10/5 Upon arrival wait for MOD go signal
-check BOS, Ethernet 100Mbps
-recrimp both end, Ethernet now 1Gbps
-check pos all ok
</t>
  </si>
  <si>
    <t xml:space="preserve">Recrimp BOS
</t>
  </si>
  <si>
    <t>11:34 PM, 12:00 AM</t>
  </si>
  <si>
    <t>11:59 PM, 12:30 AM</t>
  </si>
  <si>
    <t>Brent Facturan, Rico Garcia</t>
  </si>
  <si>
    <t>FSBP00126181</t>
  </si>
  <si>
    <t>File retrieval on Tablet</t>
  </si>
  <si>
    <t>HA1PE2FF</t>
  </si>
  <si>
    <t>Store Tablet - For reconfiguring the store tablet as it was reset and couldn't retrieve files on it</t>
  </si>
  <si>
    <t xml:space="preserve">10/6 -Coordinated with MOD upon arrival
-Performed multiple hard resets on the tablet
-Followed reconfiguration procedures based on provided manual
-Successfully exited Kiosk mode
-Tablet marked as compliant after reconfiguration
</t>
  </si>
  <si>
    <t>Tablet reset and reconfigured</t>
  </si>
  <si>
    <t>4:00 PM, 5:20 PM</t>
  </si>
  <si>
    <t>4:40 PM, 6:30 PM</t>
  </si>
  <si>
    <t>FSBP00125766</t>
  </si>
  <si>
    <t>POS A - Blue Screen (Re-occurring)</t>
  </si>
  <si>
    <t xml:space="preserve">10/6 -Disassembled device and replaced the following components:
*Hard Drive
*Power Supply Unit
*RAM
*Motherboard
*SATA Cable and Wires
-Installed Maya and OPOS; coordinated with PASI for configuration
-Contacted Lenovo SD; advised to create a report for technical recommendation regarding domain issue
-Reported non-working domain credentials to Sir Vince; assisted with re-domain process
-Re-domain successful; tested and confirmed by MOD
-Standby for 30 minutes post-testing to monitor for any further issues
-Work completed
</t>
  </si>
  <si>
    <t>Replaced defective parts</t>
  </si>
  <si>
    <t>Power Suply, HDD, RAM, Motherboard</t>
  </si>
  <si>
    <t>11S7430011YK12JP5CN2E7, W2A4WB3W, 11S78P2667YK12MV67C101 , 78P1573YK10KK691087</t>
  </si>
  <si>
    <t>11S3AA01186500YK13JP831195, ZA41DCEJ, 11S78P2667YK12MV558114 , 11S78P1573YK10KK47401T</t>
  </si>
  <si>
    <t>01:00 PM, 03:30 PM</t>
  </si>
  <si>
    <t>02:30 PM, 05:30 PM</t>
  </si>
  <si>
    <t>Sandro Labalan &amp; Rojo-Jaerold Chyle Marayag</t>
  </si>
  <si>
    <t xml:space="preserve">FSBP00126163 </t>
  </si>
  <si>
    <t>KSM60611</t>
  </si>
  <si>
    <t>POS D Drawer 2 - cut cable</t>
  </si>
  <si>
    <t xml:space="preserve">10/6 -Upon arrival, waited for delivery of new Y cable
-Removed old, broken/cut Y cable
-Noted that the hole under POS D is far, causing the original Y cable to be too short and prone to damage
-Recommended drilling a new hole closer to the cash drawer for the Y cable
-Installed new Y cable
-Tested with MOD; confirmed working properly
-Work completed
</t>
  </si>
  <si>
    <t>installed new Y cable</t>
  </si>
  <si>
    <t>Rachelle Pascua</t>
  </si>
  <si>
    <t>FSBP00126222</t>
  </si>
  <si>
    <t>Disconnected</t>
  </si>
  <si>
    <t>Zoom nitro</t>
  </si>
  <si>
    <t xml:space="preserve">10/6 -Coordinated with MOD for DT timer checking upon arrival
-Found that Port 12 / DT Timer was unplugged from the 24-port switch
-Reseated DT Timer LAN cable
-Performed ping test on DT Timer – successful
-Accessed DT Timer via Google Chrome – successful
-Verified with MOD
-Work completed
</t>
  </si>
  <si>
    <t>Reseated DT Timer LAN cable to restore connection</t>
  </si>
  <si>
    <t>Mavi San Agustin</t>
  </si>
  <si>
    <t xml:space="preserve"> FSBP00126265</t>
  </si>
  <si>
    <t>KSJA0910</t>
  </si>
  <si>
    <t xml:space="preserve">POS B Blue screen and Auto Shutdown </t>
  </si>
  <si>
    <t xml:space="preserve">10/5 -Arrived onsite and waited for MOD's go signal
-Checked POS unit – operational
-Ran CheckDisk – no corrupted files found
-Ran HD Sentinel – HDD health at 100% (Good)
</t>
  </si>
  <si>
    <t>POS B confirmed fully operational after troubleshooting.</t>
  </si>
  <si>
    <t>11:59 PM, 12:20 AM</t>
  </si>
  <si>
    <t xml:space="preserve">FSBP00126150 </t>
  </si>
  <si>
    <t>PC0QW7TX</t>
  </si>
  <si>
    <t>BOS Connection speed shows 100MBPS instead of 1GBPS</t>
  </si>
  <si>
    <t>10/6 -Coordinated with MOD upon arrival regarding the BOS server’s connection issue
-Verified connection speed – confirmed it was running at 100Mbps
-Replaced the existing patch cable with a new Cat6 patch cable
-After replacement, connection speed updated to 1Gbps
-MOD witnessed and confirmed the successful resolution
-Work completed</t>
  </si>
  <si>
    <t>Replaced BOS server’s patch cable with a new Cat6 cable</t>
  </si>
  <si>
    <t xml:space="preserve"> FSBP00126310</t>
  </si>
  <si>
    <t>SB611</t>
  </si>
  <si>
    <t>LIVE AT STOP AND SHOP</t>
  </si>
  <si>
    <t xml:space="preserve"> TBX306X</t>
  </si>
  <si>
    <t>HA1Q55W4</t>
  </si>
  <si>
    <t>Store Tablet - Suddenly auto reset</t>
  </si>
  <si>
    <t>10/8 - Upon arrival, checked tablet suddenly reset
- Reset and configure tablet
- Authenticator is not working
- Sir vince advise to reset again
- Reset and 8 digits code not found waiting for rcoc to give 8 digits code
- Configure table
- Authenticator is now working
- Tested by MOD; good
- Work done</t>
  </si>
  <si>
    <t>Reset and configure tablet</t>
  </si>
  <si>
    <t>12:00 PM, 2:00 PM</t>
  </si>
  <si>
    <t>1:00 PM, 3:00 PM</t>
  </si>
  <si>
    <t>Jammie B.</t>
  </si>
  <si>
    <t xml:space="preserve"> FSBP00126080 </t>
  </si>
  <si>
    <t>SB435</t>
  </si>
  <si>
    <t>SM CITY TRECE MARTIRES</t>
  </si>
  <si>
    <t>wont play</t>
  </si>
  <si>
    <t>CurioPlayer Z8</t>
  </si>
  <si>
    <t>2012H0FG09663</t>
  </si>
  <si>
    <t>Curio player - request MAC Address</t>
  </si>
  <si>
    <t xml:space="preserve">10/7 Upon arrival coordinate to MOD Curio player checking
- Confirmed unable to access curio dashboard
- Check lan cable from curio to meraki using lan tester; ok
- Restart curio player; issue still persist
- Coordinate to sir bryan
- Restart curio
- Access curio dashboard; ok able to access dashboard
- Verify to MOD
- Work done
</t>
  </si>
  <si>
    <t>coordinate to TS Bryan, restart curio</t>
  </si>
  <si>
    <t xml:space="preserve"> Millard Monzon &amp; John Loyd R. Tapia</t>
  </si>
  <si>
    <t>Carl Pequeña</t>
  </si>
  <si>
    <t>FSBP00125528</t>
  </si>
  <si>
    <t>SB266</t>
  </si>
  <si>
    <t>OAKRIDGE BUSINESS PARK - MANDAUE CITY</t>
  </si>
  <si>
    <t>PPM83854</t>
  </si>
  <si>
    <t xml:space="preserve">10/2 HD Adri: Advised SD for resched due to the current condition of FE in the area
10/8 - Upon arrival coordinated with MOD
- Check POS B printer found broken hook and defective roller part
- Check warranty; out of warranty
- Waited for the delivery of service unit
- Setup the service unit printer for POS B; good
- Test print; good
- Reprint receipt; good
- Work done
</t>
  </si>
  <si>
    <t>replaced printer (Posiflex)</t>
  </si>
  <si>
    <t>Francisco T. Sevilla III / Reynan Domecillo</t>
  </si>
  <si>
    <t>Naomi Talan</t>
  </si>
  <si>
    <t>FSBP00126249</t>
  </si>
  <si>
    <t>SB159</t>
  </si>
  <si>
    <t>PASEO DE MAGALLANES</t>
  </si>
  <si>
    <t>HVA1N4XM</t>
  </si>
  <si>
    <t>Store tablet - reset to default</t>
  </si>
  <si>
    <t>10/8 - Coordinate with MOD
- Check the reported unit
- Tablet hard reset
- Reset and configure tablet
- Reset and 8 digits code not found waiting for rcoc to give 8 digits code
- Rustan email password was changed; waited password from RCOC.
- Input the new password and back up codes for another security.
- Config tablet
- Installed and tested default applications.
- Tablet connected to Sbux delivery SSID.
- Coordinated with RCOC team for emails revoke for MS authenticator application set up.
- Authenticator is now working
- Check tablet status if compliant, no response RCOC
- Tested by MOD and work properly
- Work done</t>
  </si>
  <si>
    <t>3:46 PM, 6:30 PM</t>
  </si>
  <si>
    <t>4:35 PM, 7:15 PM</t>
  </si>
  <si>
    <t xml:space="preserve"> Karl Joseph Almonte/Rojo-Jaerold Chyle</t>
  </si>
  <si>
    <t>Joshua Salangsang</t>
  </si>
  <si>
    <t xml:space="preserve"> FSBP00126340</t>
  </si>
  <si>
    <t xml:space="preserve"> HA1PDR62</t>
  </si>
  <si>
    <t>10/8 - Coordinate with MOD
- Check the reported unit, confirmed tablet default reset.
- Perform factory reset
- Rustan email password was changed; waited password from RCOC.
- Input the new password and back up codes for another security.
- Installed and tested default applications.
- Tablet connected to Sbux delivery SSID.
- Coordinated with RCOC team for emails revoke for MS authenticator application set up.
- Check tablet status if compliant, no response from RCOC.
- Turnover the new configured tablet to MOD with working applications.</t>
  </si>
  <si>
    <t xml:space="preserve"> Factory reset, installed and tested the application, set up MS authenticator.</t>
  </si>
  <si>
    <t>FSBP00125814</t>
  </si>
  <si>
    <t>SB522</t>
  </si>
  <si>
    <t>ROBINSONS PLACE ILOCOS NORTE</t>
  </si>
  <si>
    <t xml:space="preserve"> PPL31287</t>
  </si>
  <si>
    <t>POS A Printer - Cut print-out</t>
  </si>
  <si>
    <t>10/2 HD : Resched due to bad weather for tomorrow , permit secured
10/3 HD JAve: resched due to ad weather
10/4 Shipped parts replacement 
10/7 Coordinate with MOD regarding on the reported issue
- As per MOD and Partners printer is on working state, but sometimes issue re-occurs
- Re-crimp LAN and conduct test print, still no issue found
- Clean cutter assembly, same issue problem does not occur
- Proceed on replacing the old printer with new printer as requested by MOD as a pre-emptive measure, conduct re-printing of last transaction, print successful</t>
  </si>
  <si>
    <t>replace new printer</t>
  </si>
  <si>
    <t>PPM80694</t>
  </si>
  <si>
    <t>PPL31287</t>
  </si>
  <si>
    <t>Jaime Airque</t>
  </si>
  <si>
    <t>Jermie Abeva</t>
  </si>
  <si>
    <t>FSBP00126355</t>
  </si>
  <si>
    <t>SB334</t>
  </si>
  <si>
    <t>CITY CENTER SM NORTH EDSA</t>
  </si>
  <si>
    <t xml:space="preserve">KS-7412P </t>
  </si>
  <si>
    <t>KSM90029</t>
  </si>
  <si>
    <t>POS B Cash Drawer 1 - Broken Split Cable</t>
  </si>
  <si>
    <t>10/8 - Upon arrival wait for delivery of y-cable  
- Check POS B y-cable; good.
- As per MOD; POS A is the one with issue
- Check POS A y cable; broken
- Remove broken y-cable
- Install new y-cable
- Test by MOD; Good.</t>
  </si>
  <si>
    <t>Install new y-cable</t>
  </si>
  <si>
    <t>Y-Cable</t>
  </si>
  <si>
    <t>Sofia Miface</t>
  </si>
  <si>
    <t>FSBP00126375</t>
  </si>
  <si>
    <t>SB362</t>
  </si>
  <si>
    <t>SM MEGAMALL D - LEVEL 5</t>
  </si>
  <si>
    <t>6MQ7S24524002466</t>
  </si>
  <si>
    <t>10/8 - Coordinate with MOD
- Standby for device arrival
- Install device in BOH due to no available outlet in FOH
- Test connection via speedtest after power on the device
- Replace the old LTE and same port terminated
- Pull out old LTE</t>
  </si>
  <si>
    <t>deployed and install DITO LTE, and pull out Smart LTE</t>
  </si>
  <si>
    <t>Marielle Baril</t>
  </si>
  <si>
    <t>FSBP00126376</t>
  </si>
  <si>
    <t>SB320</t>
  </si>
  <si>
    <t>SUNLIFE - GF - BONIFACIO GLOBAL CITY</t>
  </si>
  <si>
    <t>ET610</t>
  </si>
  <si>
    <t xml:space="preserve">10/8 - Coordinate with MOD
- Replace current modem w/ replacement modem.
- Conduct standalone test on replacement modem; connection stable.
- Confirmed Modem is UP on WAN 2 by RCOC Vince.
</t>
  </si>
  <si>
    <t>replaced SMART LTE and pull out old</t>
  </si>
  <si>
    <t>Lloid Velasquez</t>
  </si>
  <si>
    <t xml:space="preserve">FSBP00126347 </t>
  </si>
  <si>
    <t xml:space="preserve"> Smart LTE Deployment Oct 8, 2025, 10am-5pm</t>
  </si>
  <si>
    <t>10/8 Upon arrival, coordinate  MOD  
 - wait for the call from the MOD before we proceed
-  Deploy Smart  LTE
- Run Stand alone Speedtest</t>
  </si>
  <si>
    <t xml:space="preserve"> Deploy Smart  LTE</t>
  </si>
  <si>
    <t>Aaron Blanco</t>
  </si>
  <si>
    <t>FSBP00126465</t>
  </si>
  <si>
    <t xml:space="preserve"> SMART LTE Pull out </t>
  </si>
  <si>
    <t>10/8 Upon arrival coordinate with MOD
- Store Manager advised LTE should be pulled out until further notice.
- Rescheduled smart lte pull out because new store opening is adjusted.
- advised sir bryan of rcoc; sir bryan confirmed. Work done</t>
  </si>
  <si>
    <t>pull out by Trends</t>
  </si>
  <si>
    <t>Mali C</t>
  </si>
  <si>
    <t>FSBP00126444</t>
  </si>
  <si>
    <t xml:space="preserve"> POS D Drawer 2 - replacement of Y-cable due to able is cut</t>
  </si>
  <si>
    <t>10/8 - Upon arrival check pos d drawer 2; broken cable; y cable is good
- Advise asset to send new cash drawer
- wait for delivery of new drawer
- Remove old drawer
- install new drawer
- test by MOD; good
- Endorse defective drawer to MOD
*addressed additional issues while onsite - for new ticket
- MOD asked their concern about PLDT wifi; advised that RCOC disabled all wifi of ISP
- Advised they should connect to RCOC Partners wifi; advised them how to connect to partners wifi
- MOD asked their concern about curio not accessible
- Ping test Curio; not pingable
- Recrimp Curio; still not pingable
- Reset and Restart Curio; still not pingable.
- Curio Player not detected in network
- Curio device for reco to Facilities. work done</t>
  </si>
  <si>
    <t>install new drawer</t>
  </si>
  <si>
    <t>Mark Miculo</t>
  </si>
  <si>
    <t>FSBP00125793</t>
  </si>
  <si>
    <t>SB122</t>
  </si>
  <si>
    <t>PUERTA DE ISABEL II - INTRAMUROS</t>
  </si>
  <si>
    <t>Y83504FG30639</t>
  </si>
  <si>
    <t>Curio PlayNetwork - MAC Address not working upon log-in / "Unable to connect to player" Error</t>
  </si>
  <si>
    <t>10/8 - Upon arrival, checked curio device is good
- Ping Curio stable
- Tried access in playnetwork unable to access
- Asked Sir Bryan if the mac address is configured. He said mac is configured
- Tried restart still can’t access
- Tried to Recrimp lan still can’t access
- Sir Bryan advise not to hard reset
- Sir Bryan advised to reco to facilities
- Reco to facilities</t>
  </si>
  <si>
    <t>curio reco to facilities as advised by Sir Bryan</t>
  </si>
  <si>
    <t>Tin</t>
  </si>
  <si>
    <t>FSBP00126031</t>
  </si>
  <si>
    <t xml:space="preserve"> TML-90 </t>
  </si>
  <si>
    <t>TPJF032969</t>
  </si>
  <si>
    <t>Pastry Labeler cable was cut due to being pinched</t>
  </si>
  <si>
    <t xml:space="preserve">10/8 - Upon arrival MOD advised ALS already fixed labeler
- Pastry labeler is up
</t>
  </si>
  <si>
    <t>NFT - ALS already fixed the labeler printer</t>
  </si>
  <si>
    <t>FSBP0012628</t>
  </si>
  <si>
    <t>2012HOFG09643</t>
  </si>
  <si>
    <t>Curio player - unable to player error</t>
  </si>
  <si>
    <t>10/9 Upon arrival coordinate with MOD
- As per checking; store has music also confirmed by MOD
- Reset curio
- Ping test; good stable
- Update LTE to curio using LAN cable
- As per Sir Bryan recommendation for checking of facilities</t>
  </si>
  <si>
    <t>reco for facilities checking</t>
  </si>
  <si>
    <t>Mond Padua</t>
  </si>
  <si>
    <t xml:space="preserve"> FSBP00126105 </t>
  </si>
  <si>
    <t>SB573</t>
  </si>
  <si>
    <t>REVILLA BUSINESS PARK</t>
  </si>
  <si>
    <t>Liquid Spillage</t>
  </si>
  <si>
    <t>Pastry Printer</t>
  </si>
  <si>
    <t>TPJF033571</t>
  </si>
  <si>
    <t>Pastry Labeler - Unable to print and dispense orders from both cafe and drive thru pastry orders</t>
  </si>
  <si>
    <t xml:space="preserve">10/9-Upon arrival, waited for the delivery of the required parts.
-Installed the power adaptor for the pastry cup labeler.
-Performed functionality test – printing successful.
-Issue resolved and work completed.
</t>
  </si>
  <si>
    <t xml:space="preserve">Installed the power adaptor for the pastry cup labeler.
</t>
  </si>
  <si>
    <t>Power Adapter</t>
  </si>
  <si>
    <t>D4KF30Y5CT</t>
  </si>
  <si>
    <t>Cheenie Legazpi</t>
  </si>
  <si>
    <t xml:space="preserve">FSBP00126567 </t>
  </si>
  <si>
    <t>SB540</t>
  </si>
  <si>
    <t>CENTRAL BLOC</t>
  </si>
  <si>
    <t>4CE9241XX9</t>
  </si>
  <si>
    <t xml:space="preserve">BOS Connection - running at only 10 Mbps
</t>
  </si>
  <si>
    <t>10/9 Upon arrival coordinated with MOD
- Checked BOS; found 100Mbps connection only
- Advised MOD for down time
- Waited for approval; good
- Changed LAN cable for BOS; good
- Checked BOS connection; good, 1.0Gbps, confirmed by sir Bryan
- Ping 8.8.8.8, MWS, POS A and POS B; good, stable
- Observed for a while
- Work done</t>
  </si>
  <si>
    <t>Changed LAN cable for BOS</t>
  </si>
  <si>
    <t>Jasmine Javierto</t>
  </si>
  <si>
    <t>FSBP00126568</t>
  </si>
  <si>
    <t>4CE9241XWJ</t>
  </si>
  <si>
    <t xml:space="preserve"> MWS Connection - Disconnected at Port 4 of Meraki MX</t>
  </si>
  <si>
    <t>10/9 Upon arrival coordinated with MOD
- Checked MWS; found 100Mbps connection only
- Advised MOD for MWS down time; good
- Recrimp LAN cable on MWS side; good
- Checked MWS connection; good, 1.0Gbps, confirmed by sir Bryan
- Performed standalone test on MWS; good
- Observed for a while
- Work done</t>
  </si>
  <si>
    <t xml:space="preserve"> Recrimp LAN cable on MWS side</t>
  </si>
  <si>
    <t xml:space="preserve">FSBP00126565 </t>
  </si>
  <si>
    <t>SB439</t>
  </si>
  <si>
    <t>O SQUARE SHOPPING GREENHILLS</t>
  </si>
  <si>
    <t>Honeywell Scanner</t>
  </si>
  <si>
    <t>15334B231E</t>
  </si>
  <si>
    <t xml:space="preserve"> POS A Scanner - Unable to read barcode</t>
  </si>
  <si>
    <t xml:space="preserve">10/9 Upon arrival, checked scanner unable to read
-Restart nav unable to scan
-Unplug and plug and restart nav
-Scanner able to scan now
-Tried multiple scan working
-MOD tested and approved
-Standby for 30 mins
-Work done
</t>
  </si>
  <si>
    <t>Unplug and plug scanner and restart nav</t>
  </si>
  <si>
    <t>Joyce Malasono</t>
  </si>
  <si>
    <t>FSBP00126662</t>
  </si>
  <si>
    <t>SB663</t>
  </si>
  <si>
    <t>SHELL NLT4</t>
  </si>
  <si>
    <t>0KHJHNQY 400027V</t>
  </si>
  <si>
    <t>disconnected LFD Panels -Menu A</t>
  </si>
  <si>
    <t>10/9 -Coordinated with MOD upon arrival regarding Panel A disconnection.
-Inspected Panel A and confirmed it was operational.
-As per MOD, IntelliSmart personnel had already conducted onsite support earlier at 12:52 PM:
-Virgilio M. Galang Jr.
-John Eril Torino
-Conducted a ping test on the host file related to Panel A – result: No issues found.</t>
  </si>
  <si>
    <t>Conducted a ping test on Panel A.</t>
  </si>
  <si>
    <t xml:space="preserve"> Paulo Pangilinan</t>
  </si>
  <si>
    <t xml:space="preserve">FSBP00126654 </t>
  </si>
  <si>
    <t>0KHJHNQY 400038J</t>
  </si>
  <si>
    <t>disconnected LFD Panels - Menu B</t>
  </si>
  <si>
    <t>10/9 -Inspected Panel B during site visit.
-Verified with MOD and IntelliSmart that previous troubleshooting was conducted earlier the same day.
-Conducted independent ping test on the host file for Panel B – result: No issues found.
-Visual inspection confirmed Panel B was working properly.</t>
  </si>
  <si>
    <t>Conducted a ping test on Panel b.</t>
  </si>
  <si>
    <t>FSBP00126182</t>
  </si>
  <si>
    <t>Incorrect Display</t>
  </si>
  <si>
    <t>SM-X216B</t>
  </si>
  <si>
    <t>R9TY309K9EH</t>
  </si>
  <si>
    <t>Store Tablet - Tablet brightness not working. Settings only limited and no option in brightness adjustment</t>
  </si>
  <si>
    <t xml:space="preserve">10/9 -Coordinated issue with the Store Manager.
-Verified that tablet brightness was set to low with no visible option to change it.
-Accessed KIOSK Mode to override restrictions.
-Successfully adjusted brightness settings to normal.
-Store Manager approved the fix.
</t>
  </si>
  <si>
    <t>Accessed KIOSK Mode to override restrictions.</t>
  </si>
  <si>
    <t xml:space="preserve">Jaime Adona Jr.
</t>
  </si>
  <si>
    <t>Fredja Del Rosario</t>
  </si>
  <si>
    <t>FSBP00126582</t>
  </si>
  <si>
    <t>R9TY309KBGV</t>
  </si>
  <si>
    <t>Store Tablet - unable to open Google Chrome due to some app need to use google website</t>
  </si>
  <si>
    <t xml:space="preserve">10/9-Coordinated with the MOD upon arrival.
-Waited for the tablet to be handed over.
-Isolated the unit and identified that Google Chrome was not installed, which prevented the application from functioning.
-Connected the tablet to a faster Wi-Fi network to facilitate the update.
-Installed Google Chrome and tested the application – confirmed to be working.
-Encountered login issues in the Facilities application for partner credentials.
-Coordinated with RCOC via group chat to report the issue.
-Continued isolation and troubleshooting with documentation through images and videos.
-After exhausting possible solutions, determined that the issue lies within the Facilities app itself.
-Informed the MOD of the findings.
</t>
  </si>
  <si>
    <t>Installed missing Google Chrome browser.</t>
  </si>
  <si>
    <t>7:30 PM, 8:40 PM</t>
  </si>
  <si>
    <t>7:36 PM, 8:58 PM</t>
  </si>
  <si>
    <t>FSBP00126594</t>
  </si>
  <si>
    <t>SB519</t>
  </si>
  <si>
    <t>ROBINSONS METRO EAST</t>
  </si>
  <si>
    <t xml:space="preserve">ELITE DESK 800 G4
</t>
  </si>
  <si>
    <t>4CE914DGJX</t>
  </si>
  <si>
    <t>Both POS - slow and hanging on any kind of transaction and payment</t>
  </si>
  <si>
    <t xml:space="preserve">10/9 -Coordinated with MOD upon arrival.
-Checked backend system and found BOS (Back Office Server) running at 100 Mbps.
-Performed the following actions:
*Reseated LAN cable at both ends.
*Restarted BOS device.
-After restart, confirmed via dashboard that BOS is now running at 1 Gbps.
-Monitored performance for 1 hour to ensure stability.
</t>
  </si>
  <si>
    <t>Reseated LAN cable at both ends</t>
  </si>
  <si>
    <t>7:00 PM, 7:45 PM</t>
  </si>
  <si>
    <t>7:30 PM, 8:55 PM</t>
  </si>
  <si>
    <t>SD IAN</t>
  </si>
  <si>
    <t xml:space="preserve">Chie Diamante
</t>
  </si>
  <si>
    <t>FSBP00126545</t>
  </si>
  <si>
    <t>SB319</t>
  </si>
  <si>
    <t>EBLOC 2 - CEBU</t>
  </si>
  <si>
    <t>2012HOFG7701</t>
  </si>
  <si>
    <t>Curio Player is 10MBPS only</t>
  </si>
  <si>
    <t xml:space="preserve">10/9 -Coordinated with MOD upon arrival.
-Proceeded to the back office to locate the Curio Player.
-Verified LAN cable functionality using a LAN tester – result: OK.
-Restarted the Curio device.
-Performed ping test via MWS:
-Checked IP address from ipconfig /all – device is pingable.
-Successfully logged in to MWS Play Network Apps.
-Coordinated findings and updates with the support team and Sir Vince.
-Confirmed connectivity and performance restored.
-Work completed.
</t>
  </si>
  <si>
    <t xml:space="preserve">Restarted the Curio device.
</t>
  </si>
  <si>
    <t>Laurence Delos Santos</t>
  </si>
  <si>
    <t xml:space="preserve">FSBP00125184 </t>
  </si>
  <si>
    <t>SB498</t>
  </si>
  <si>
    <t>SM NORTH TOWERS</t>
  </si>
  <si>
    <t>Broken Hook</t>
  </si>
  <si>
    <t xml:space="preserve"> PPM80713</t>
  </si>
  <si>
    <t xml:space="preserve"> POS B Printer - POS B Printer - Broken Lock (CID)</t>
  </si>
  <si>
    <t xml:space="preserve">10/7 HD Jave: Advised SD still no buffer unit as of today
10/10 -Arrived onsite and waited for MOD
-Inspected the printer and confirmed the hook was broken
-Attempted to push the paper drawer during printing – unsuccessful
-Uninstalled the defective printer
-Installed the replacement printer
-Installed the necessary drivers
-Performed test print – verified and approved by MOD
-Pulled out the old printer
-Work completed
</t>
  </si>
  <si>
    <t>Replaced defective printer</t>
  </si>
  <si>
    <t>Matthew Ampon</t>
  </si>
  <si>
    <t xml:space="preserve">FSBP00125309 </t>
  </si>
  <si>
    <t>SB464</t>
  </si>
  <si>
    <t>PODIUM MALL EXPANSION WING</t>
  </si>
  <si>
    <t>Big Drawer</t>
  </si>
  <si>
    <t>KSM60457</t>
  </si>
  <si>
    <t xml:space="preserve">POS A Cashdrawer 2 - replacement of broken y cable (CID), recommendation from PM Ticket FSBP00123047
</t>
  </si>
  <si>
    <t xml:space="preserve">9/26 HD Jave: acknowledge the ticket but still waiting for complete details 
- no buffer unit on our end, added on pending list
10/10 - -Arrived onsite and coordinated with MOD.
-Paused work while waiting for MOD go-signal to isolate the unit.
-Isolated the unit and waited for parts.
-Received replacement Y-cable and waited for MOD’s approval.
-Replaced the Y-cable and performed testing.
-Testing completed and approved by MOD.
-Work completed.
</t>
  </si>
  <si>
    <t>Y - Cable</t>
  </si>
  <si>
    <t>2:15 PM,</t>
  </si>
  <si>
    <t>Joward Sanchez</t>
  </si>
  <si>
    <t xml:space="preserve">FSBP00126226 </t>
  </si>
  <si>
    <t>PPM80698</t>
  </si>
  <si>
    <t>POS B printer - cutter blade is not working</t>
  </si>
  <si>
    <t xml:space="preserve">10/6 - HD Action: informed that no buffer unit is available
10/10 -Arrived onsite and coordinated with MOD
-Identified that the printer was non-functional due to a broken hook
-Installed a replacement printer
-Installed new drivers
-Conducted multiple test prints – all successful and approved by MOD
-Work completed
</t>
  </si>
  <si>
    <t>Replaced printer with a new unit</t>
  </si>
  <si>
    <t>POSIFLEX Printer</t>
  </si>
  <si>
    <t>PPP81954</t>
  </si>
  <si>
    <t>Nina Pedrozo</t>
  </si>
  <si>
    <t>FSBP00126597</t>
  </si>
  <si>
    <t>SB508</t>
  </si>
  <si>
    <t>BPI CORPORATE CENTER</t>
  </si>
  <si>
    <t>CD3600</t>
  </si>
  <si>
    <t>CDI5I558</t>
  </si>
  <si>
    <t>POS A Scanner - unable to scan</t>
  </si>
  <si>
    <t>10/10 upon arrival coordinate mod
-Proceed checking posiflex scanner
-check cable (ok) scanner is working normally 
-as per mod last night will be disconnected for a short of time 
-Coordinate team and if the issue re occur after 24 hours from isolation 
-recommended for replacing new scanner
-Work done
-Call closed</t>
  </si>
  <si>
    <t xml:space="preserve"> Lyle Villegas</t>
  </si>
  <si>
    <t>FSBP00126714</t>
  </si>
  <si>
    <t>SB355</t>
  </si>
  <si>
    <t>ROBINSON'S PLACE MALOLOS</t>
  </si>
  <si>
    <t>4610-1NR, 4610-1NR</t>
  </si>
  <si>
    <t>41WGDFN, 41255DK</t>
  </si>
  <si>
    <t xml:space="preserve"> All POS - Error "Source: Open Device printer"</t>
  </si>
  <si>
    <t xml:space="preserve">10/15-Coordinated with MOD upon arrival regarding the reported issue
-Conducted troubleshooting and found that the patch cables for POS A and POS B were loose
-Recrimped LAN cables for both POS A and POS B
-Coordinated with PASI Support for remote assistance and testing on both POS units
-Test printing was conducted on both units and verified by MOD
-Issue resolved, and work completed
</t>
  </si>
  <si>
    <t>Recrimped LAN cables for POS A and POS B</t>
  </si>
  <si>
    <t>5:20 PM, 6:00 PM, 7:00 PM, 7:20 PM</t>
  </si>
  <si>
    <t>5:40 PM,  7:00 PM,  7:20 PM, 8:30 PM</t>
  </si>
  <si>
    <t>Mary Knoll Mata</t>
  </si>
  <si>
    <t>FSBP00126735</t>
  </si>
  <si>
    <t>SB529</t>
  </si>
  <si>
    <t>SM NOVALICHES</t>
  </si>
  <si>
    <t>KSHC0069</t>
  </si>
  <si>
    <t>POS B Drawer 1&amp;2 - Unable to automatically open and close</t>
  </si>
  <si>
    <t>10/10 -Coordinated with MOD upon arrival
-Initiated isolation:
*Drawer 1 intermittently opened
*Drawer 2 did not open
-Requested a Y-cable for further testing
-Replaced the Y-cable upon delivery
-Tested both drawers after replacement – both found working properly
-MOD confirmed resolution
-Work completed</t>
  </si>
  <si>
    <t>Replaced Y-cable for POS B cash drawers</t>
  </si>
  <si>
    <t xml:space="preserve"> Louise Hizon</t>
  </si>
  <si>
    <t>FSBP00126723</t>
  </si>
  <si>
    <t>SB594</t>
  </si>
  <si>
    <t>ABAD SANTOS TONDO COMMUNITY STORE</t>
  </si>
  <si>
    <t>PPM92041</t>
  </si>
  <si>
    <t>POS D Printer - Paper Jam</t>
  </si>
  <si>
    <t>10/10 - Waited advise from partners to proceed with the replacement.
- Installed and pulled out defective printer.
- Tested and config new printer.
- Instructed partners also for safe and proper handling of printer to avoid broken hook.
- POS-D new printer is now operational.</t>
  </si>
  <si>
    <t>PPP81933</t>
  </si>
  <si>
    <t xml:space="preserve"> Karl Joseph Almonte, Rojo Chyle Marayag</t>
  </si>
  <si>
    <t>Jerald Cruz</t>
  </si>
  <si>
    <t>FSBP00126107</t>
  </si>
  <si>
    <t>SB318</t>
  </si>
  <si>
    <t>THE GROVE</t>
  </si>
  <si>
    <t xml:space="preserve">TB X306X
</t>
  </si>
  <si>
    <t>JVA1N4VX</t>
  </si>
  <si>
    <t>Store tablet- Cannot access the email on the store tablet as it shows "couldn't find your Google account"</t>
  </si>
  <si>
    <t xml:space="preserve">10/11 -Coordinated with MOD and borrowed the tablet upon arrival.
-Verified that the tablet was not yet set up.
-Performed a hard reset on the device.
-Completed initial setup and installed required applications.
-Restarted the tablet and exited Kiosk mode to confirm normal operation.
-RCOC conducted a compliance check – Passed.
-MOD tested the tablet – Working properly.
-Work successfully completed.
</t>
  </si>
  <si>
    <t>Tablet Setup</t>
  </si>
  <si>
    <t>Ana Espinosa</t>
  </si>
  <si>
    <t>FSBP00126761</t>
  </si>
  <si>
    <t>SB347</t>
  </si>
  <si>
    <t>CAPITOL COMMONS</t>
  </si>
  <si>
    <t>TB X306X</t>
  </si>
  <si>
    <t>HVA4JSOK</t>
  </si>
  <si>
    <t>Store Tablet - unable to connect to SB delivery wifi</t>
  </si>
  <si>
    <t>10/11-Coordinated with MOD upon arrival.
-Verified that the store tablet could not connect to Wi-Fi due to weak or no signal from the Access Point (AP) in the back office.
-Confirmed that the Meraki MX device does not emit Wi-Fi signals.
-Attempted to coordinate with RCOC for assistance; no response received.
-As a temporary solution, connected the store tablet to an available Wi-Fi AP. The device is now connected to SBUX Delivery.
-Advised MOD that a recommendation will be made to enable Wi-Fi on the Meraki MX or to explore additional AP coverage to support back office connectivity.</t>
  </si>
  <si>
    <t>Connected the store tablet to an available Wi-Fi AP</t>
  </si>
  <si>
    <t>She Chua</t>
  </si>
  <si>
    <t>FSBP00126786</t>
  </si>
  <si>
    <t>HA1LFGNG</t>
  </si>
  <si>
    <t>Store tablet - unable to connect to SB delivery wifi</t>
  </si>
  <si>
    <t>10/11 -Upon arrival, coordinated with the Manager on Duty (MOD).
-Forgot the saved Wi-Fi network and re-entered the correct password.
-Successfully reconnected the tablet to the Starbucks Delivery Wi-Fi.
-Verified connection with MOD – approved.
-Issue resolved.</t>
  </si>
  <si>
    <t>Reconnected the store tablet to the Starbucks Delivery Wi-Fi.</t>
  </si>
  <si>
    <t>Karl Andrew</t>
  </si>
  <si>
    <t>FSBP00126795</t>
  </si>
  <si>
    <t>SB104</t>
  </si>
  <si>
    <t>FESTIVAL MALL - LEVEL 2</t>
  </si>
  <si>
    <t>HA1QJQ4M</t>
  </si>
  <si>
    <t>Store Tablet - unable to connect to SB delivery WIFI</t>
  </si>
  <si>
    <t xml:space="preserve">10/11 -Upon arrival, confirmed that the store tablet was disconnected from the Starbucks Delivery Wi-Fi.
-Entered the correct Wi-Fi password.
-Successfully tested the tablet functionality with the Manager on Duty (MOD).
-Issue resolved.
</t>
  </si>
  <si>
    <t>Reconnected the store tablet to the Starbucks Delivery Wi-Fi by entering the correct password.</t>
  </si>
  <si>
    <t>Delle Mercader</t>
  </si>
  <si>
    <t xml:space="preserve">FSBP00126806 </t>
  </si>
  <si>
    <t>LENOVO, LENOVO</t>
  </si>
  <si>
    <t>HA11QH2F1</t>
  </si>
  <si>
    <t>Store Tablet - requesting a gmail account possible need to reconfigure</t>
  </si>
  <si>
    <t xml:space="preserve">10/11 -Coordinated with MOD and received the tablet.
-Began isolation; device required Gmail credentials to proceed.
-Requested charger to continue troubleshooting.
-Performed multiple hard resets – issue persisted.
-Sought support from RCOC for 8-digit backup code.
-After several reset attempts, device successfully updated and connected to Gmail.
-Device powered off due to low battery before completion.
-Borrowed a USB-C charger; charged and powered on the tablet.
-Successfully revoked old email and connected new Gmail account.
-Authenticator app was re-bound on the device.
-Tablet tested and confirmed working by MOD.
-Work completed.
</t>
  </si>
  <si>
    <t xml:space="preserve">Gmail login and recovery completed successfully. Tablet is operational with updated account and authenticator.
</t>
  </si>
  <si>
    <t>Arntvyl Zurita</t>
  </si>
  <si>
    <t xml:space="preserve">FSBP00126813 </t>
  </si>
  <si>
    <t>6MQ7S24524001976</t>
  </si>
  <si>
    <t>Infinivan Fiber Internet Activation</t>
  </si>
  <si>
    <t xml:space="preserve">10/11 -Coordinated with MOD upon arrival.
-Configured IP settings on MWS.
-Performed standalone connectivity test.
-Successfully pinged 8.8.8.8 to confirm internet access.
-Terminated Infinivan fiber line to Meraki Port 2 – connection tested and confirmed working.
-Pulled out DITO LTE as part of service migration.
-Work completed.
</t>
  </si>
  <si>
    <t xml:space="preserve">Infinivan fiber internet terminated to Meraki Port 2.
</t>
  </si>
  <si>
    <t>RCOC Jade</t>
  </si>
  <si>
    <t xml:space="preserve"> Alvin Paigna</t>
  </si>
  <si>
    <t>FSBP00126816</t>
  </si>
  <si>
    <t>SB403</t>
  </si>
  <si>
    <t>SM SEASIDE CITY CEBU</t>
  </si>
  <si>
    <t>A20tio24</t>
  </si>
  <si>
    <t>Y30ADMZG</t>
  </si>
  <si>
    <t xml:space="preserve">10/11 - SD Action take (AB) : MWS connection - need to transfer mws connection from meraki port 4 to port 7 (relate ticket FSBP00126792 MWS - Unreachable)
10/11 -Coordinated with MOD upon arrival.
-Proceeded to back office – confirmed MWS had no internet connection.
-Attempted to transfer MWS cable from Meraki Port 4 to Port 7, then to Port 8 – same issue persisted.
-Coordinated with Sir Vince for further guidance.
-Replaced the existing LAN cable with a new Cat6 cable – still no internet.
-Re-crimped both ends of the cable twice – issue remained unresolved.
-Determined that the issue may be with the Meraki device itself.
-Sir Vince advised to escalate to Trends FE for Meraki inspection and further action.
-Work completed, pending further escalation.
-Ticket marked as resolved for L2 scope.
</t>
  </si>
  <si>
    <t xml:space="preserve">Escalate to Trends FE for Meraki inspection and further action.
</t>
  </si>
  <si>
    <t>RCOC Vince</t>
  </si>
  <si>
    <t>Jessica Kintanar</t>
  </si>
  <si>
    <t>FSBP00126815</t>
  </si>
  <si>
    <t xml:space="preserve"> 800 G4 SFF</t>
  </si>
  <si>
    <t>BOS - speed is only 100 mbps</t>
  </si>
  <si>
    <t xml:space="preserve">10/11 -Coordinated with MOD upon arrival.
-Observed that BOS internet speed was only 100 Mbps.
-Used LAN tester and found that signal continuity was intermittent.
-Re-crimped BOS LAN cable on both ends.
-Retested using LAN tester – signal now continuous.
-Verified BOS internet speed – now at 1 Gbps.
-Confirmed with MOD – system is working as expected.
-Work completed.
</t>
  </si>
  <si>
    <t xml:space="preserve">Re-crimped BOS LAN cable (both ends). Internet speed restored to 1 Gbps.
</t>
  </si>
  <si>
    <t>Jona Rabino</t>
  </si>
  <si>
    <t>FSBP00126021</t>
  </si>
  <si>
    <t xml:space="preserve"> THE OUTLETS AT LIPA</t>
  </si>
  <si>
    <t>PlayNetwork</t>
  </si>
  <si>
    <t>Y83504FG20681</t>
  </si>
  <si>
    <t>Playnetwork- Unable to login</t>
  </si>
  <si>
    <t>10/12- Coordinated with MOD
- Check Curio player; turned on
- Try to access dashboard: Can't access
- Ping test curio; not pingable
- Reset &amp; Restart Curio: Pingable
- Try to access again the dashboard stock on loading
- Reset and restart curio; still same
- Coordinate with RCOC; awaiting response
- Curio player for reco to facilities
- Advised MOD that the RCOC infra team will check the issue of the curio.</t>
  </si>
  <si>
    <t>Advised MOD that the RCOC infra team will check the issue of the curio.</t>
  </si>
  <si>
    <t>Richard Allen Cruz</t>
  </si>
  <si>
    <t>Ryan Rosales</t>
  </si>
  <si>
    <t xml:space="preserve">FSBP00126630 </t>
  </si>
  <si>
    <t>8350FBLH61809</t>
  </si>
  <si>
    <t>Curio player is not connected</t>
  </si>
  <si>
    <t xml:space="preserve">10/12-Checked the reported issue and pinged the Curio IP address — device is pingable.
-Conducted end-to-end LAN cable testing — LAN cable is in good condition.
-Reseated the LAN cable — dashboard still not connecting.
-Performed a device reset on the Curio — no change.
-Ran a speed test — store is currently connected via SMART LTE, showing only 0.11 Mbps bandwidth.
-Confirmed with RCOC (Peter) that Port 1 was disconnected.
-Inspected and reseated the LAN cable for Port 1 — PLDT line successfully reconnected with Meraki.
-Rechecked the Curio dashboard — still unable to connect.
-Issue escalated to Facilities for further checking of the Curio device.
-MOD confirmed the issue has also been reported to Facilities.
</t>
  </si>
  <si>
    <t xml:space="preserve">Further device-level diagnostics required — endorsed to Facilities.
</t>
  </si>
  <si>
    <t>Jaime A. Arique Jr.</t>
  </si>
  <si>
    <t>Schasscy Ramos</t>
  </si>
  <si>
    <t>FSBP00126830</t>
  </si>
  <si>
    <t>SB413</t>
  </si>
  <si>
    <t>SM CITY SAN MATEO - GF</t>
  </si>
  <si>
    <t>2214H2FF60686</t>
  </si>
  <si>
    <t xml:space="preserve">Curio player - unable to connect to player
</t>
  </si>
  <si>
    <t>10/12 - - Coordinate with MOD
- Check curio; pingable
- Reset curio
- Curio is now pingable
- As per RCOC Sir Marvin try to connect to LTE for 15 mins
- As of now still no access
- Reco to Facilities</t>
  </si>
  <si>
    <t xml:space="preserve"> Reco to Facilities</t>
  </si>
  <si>
    <t>Darel Melgarejo</t>
  </si>
  <si>
    <t>FSBP00126771</t>
  </si>
  <si>
    <t>SB323</t>
  </si>
  <si>
    <t>PP040137</t>
  </si>
  <si>
    <t>POS B printer - unable to print any receipts</t>
  </si>
  <si>
    <t>10/12 - Upon arrival coordinate with MOD
- Proceeded checking the reported device; found broken hook
- Coordinate with the team for available parts; awaiting delivery
- Install new printer
- Test multiple times; MOD approved
- Observe
- Pull out defective printer
- Work done</t>
  </si>
  <si>
    <t>install new printer</t>
  </si>
  <si>
    <t>PPP81968</t>
  </si>
  <si>
    <t>10:50 AM, 12:00 PM</t>
  </si>
  <si>
    <t>11:30 AM, 1:00 PM</t>
  </si>
  <si>
    <t>Ram Fawamo</t>
  </si>
  <si>
    <t>FSBP00125679</t>
  </si>
  <si>
    <t>SB451</t>
  </si>
  <si>
    <t>AYALA MALLS MARIKINA</t>
  </si>
  <si>
    <t xml:space="preserve">LENOVO </t>
  </si>
  <si>
    <t xml:space="preserve">ThinkCentre M910S </t>
  </si>
  <si>
    <t>PC0P2MVN</t>
  </si>
  <si>
    <t>POS A &amp; B - Slowness and occasional unresponsiveness</t>
  </si>
  <si>
    <t xml:space="preserve">10/12 -Upon arrival, coordinated with the Manager on Duty (MOD).
-Checked BOS (Back Office Server) connectivity — speed was only 10 Mbps.
-MOD requested server LAN cable to be recrimped.
-Recrimped LAN cable; rechecked connectivity — now showing 1 Gbps.
-Requested by RCOC to check the dashboard.
-Noticed delay in printing from POS.
-Coordinated with PASI Support regarding the issue.
-PASI advised restarting NAV (Navision) on the BOS.
-Awaited MOD's approval to proceed with NAV restart.
-After MOD gave the go-ahead, PASI restarted NAV on the BOS.
-Tested POS again — print speed improved significantly.
-Monitored performance briefly to confirm stability.
-Issue resolved; work completed.
</t>
  </si>
  <si>
    <t>Recrimped BOS LAN cable (restored to 1 Gbps connectivity).</t>
  </si>
  <si>
    <t>Thea Nomeno</t>
  </si>
  <si>
    <t xml:space="preserve">FSBP00126896 </t>
  </si>
  <si>
    <t>SB458</t>
  </si>
  <si>
    <t>GLORIETTA 4 LEVEL 2 AYALA CENTER</t>
  </si>
  <si>
    <t>41LY500</t>
  </si>
  <si>
    <t>POS A - No power</t>
  </si>
  <si>
    <t xml:space="preserve">10/12 -Isolated the reported unit. POS-A had power but was unable to boot.
-Attempted to boot without peripherals connected (scanner, Maya terminal, cash drawers, printer).
-POS-A successfully booted without peripherals.
-Reconnected peripherals during boot-up.
-POS-A suddenly shut down after peripherals were plugged in (witnessed by MOD).
-Checked power output; voltage was above normal.
-Cleaned the RAM and reseated cables, but issue persisted.
-Requested replacement parts: motherboard (MOBO), power supply unit (PSU), and tailgate.
-Tested with new tailgate — issue persisted.
-Tested with new MOBO and PSU — issue still persisted.
-Isolated each peripheral to identify the cause of shutdown.
-Determined the Toshiba cash drawer cable was causing the issue.
-Physical inspection confirmed the cable was torn and exposed.
-Waited for a replacement cash drawer cable.
-Installed and tested the new cable — issue resolved.
-Peripherals re-tested before handing over to operations.
-POS-A is now operational and confirmed by MOD.
</t>
  </si>
  <si>
    <t>Replaced damaged cash drawer cable.</t>
  </si>
  <si>
    <t>Cash Drawer Cabke</t>
  </si>
  <si>
    <t xml:space="preserve">4:40 PM, 6:30 PM </t>
  </si>
  <si>
    <t>5:35 PM, 7:20 PM</t>
  </si>
  <si>
    <t>Karl Joseph Almonte / Jericho Pares</t>
  </si>
  <si>
    <t>Monica Amido</t>
  </si>
  <si>
    <t>FSBP00126471</t>
  </si>
  <si>
    <t>SB107</t>
  </si>
  <si>
    <t>EMERALD BUILDING - EMERALD AVE.</t>
  </si>
  <si>
    <t>41255PC</t>
  </si>
  <si>
    <t>POS A Printer - Blurred print out</t>
  </si>
  <si>
    <t>10/12: HD : Store is closed every weekend, sched tom
10/13 - Upon arrival coordinate with MOD, as per MOD avoid peak hours because the lines are really long; it's better to wait until the customer's to wind down
- Clean thermal head using tissue with alcohol; same results upon testing
- Change paper; still blurred print
- Restart printer, reseat cable; same results blurred print out
- When the parts arrived, the MOD said to wait until after peak hours before replacing them, which is 4PM
- Replaced their two printers with a Posiflex printer
- Install latest drivers
- Ask PASI for assistance; good upon testing
- Test and witness by MOD thru OPOS and reprint
Final Resolution
- Replaced their old Toshiba printers with new Posiflex printers
- Install latest drivers; request remote assistance to PASI
- Test and witness by MOD; good approved</t>
  </si>
  <si>
    <t>replaced printer - migrate Toshiba to Posiflex</t>
  </si>
  <si>
    <t>PPP81977</t>
  </si>
  <si>
    <t>9:57 AM, 10:37 AM, 1:26 PM</t>
  </si>
  <si>
    <t>11:00 AM, 1:24 PM, 4:04 PM</t>
  </si>
  <si>
    <t>Cristine Divina</t>
  </si>
  <si>
    <t xml:space="preserve">FSBP00127146 </t>
  </si>
  <si>
    <t xml:space="preserve"> 41377BL</t>
  </si>
  <si>
    <t>POS B Printer - Blurred print out</t>
  </si>
  <si>
    <t>PPP81958</t>
  </si>
  <si>
    <t>41377BL</t>
  </si>
  <si>
    <t xml:space="preserve">FSBP00126925 </t>
  </si>
  <si>
    <t>41WGDFN | 41255DK</t>
  </si>
  <si>
    <t>10/12: HD : Store will closed at 10PM, sched tom
10/13 - Wait for MOD go signal
- Upon arrival check POS, issue confirmed
- Both reseat and clean tailgate
- Request PASI to check both POS also MOD has problem to NAV delivery
- Check POS with MOD both POS is now working
- Ticket Close.</t>
  </si>
  <si>
    <t>Clean Tailgate Both POS A and POS B</t>
  </si>
  <si>
    <t>9:39 AM, 10:15 AM, 12:00 PM</t>
  </si>
  <si>
    <t>10:00 AM, 11:49 AM, 1:40 PM</t>
  </si>
  <si>
    <t>Henry Mercado</t>
  </si>
  <si>
    <t xml:space="preserve">FSBP00125306 </t>
  </si>
  <si>
    <t xml:space="preserve">MWS Jet Report - Error "The drive or network connection that the shortcut 'SM Jet Report Templates - Shortcut.Ink' refers to is unavailable"
</t>
  </si>
  <si>
    <t>10/13 - Coordinate with MOD
- Upon Checking, Found 2nd HDD is not detected.
- Using bootable check, found 2nd HDD has bad sector and disconnect frequently after bootup.
- Replace 2nd HDD, PASI config jet report &amp; NAV.
- Confirmed by SM MWS jetreport is up and working.
- Call close.</t>
  </si>
  <si>
    <t xml:space="preserve"> Replace 2nd HDD</t>
  </si>
  <si>
    <t>WGS1AMST</t>
  </si>
  <si>
    <t>Aldrin Marasigan</t>
  </si>
  <si>
    <t>FSBP00126961</t>
  </si>
  <si>
    <t>SB329</t>
  </si>
  <si>
    <t>SM CITY GENERAL SANTOS - GF</t>
  </si>
  <si>
    <t xml:space="preserve"> Tab M10 HD</t>
  </si>
  <si>
    <t>HVA2PWA8</t>
  </si>
  <si>
    <t xml:space="preserve">10/13 - Upon arrival, coordinate  MOD regarding issue
- Wait for the go signal to reset Tablet
- Configure all  app settings
- Tablet  reset done and all apps installed and tested
- Authenticator is now working
</t>
  </si>
  <si>
    <t>Reset Store Tablet</t>
  </si>
  <si>
    <t>Kenneth Basalo</t>
  </si>
  <si>
    <t>FSBP00127000</t>
  </si>
  <si>
    <t>MWS Desktop - Slow and Lagging OLD desktop</t>
  </si>
  <si>
    <t xml:space="preserve">10/13 - Upon arrival coordinate with MOD
- Run checkdisk; no bad sectors found
- Check health both HDD both are 100%
- Found multiple tabs of Google Chrome in other user; route cause of lagging
- Check LAN cable connection; 1GBPS
- Conduct Memory Diagnostic Tool; no error found
- Clean system unit
- Place the system unit in the right spot
- Test by MOD; approved
- Observe for 30mins
Final Resolution:
- Clean System Unit
- Clean/Reseat RAM
- Run Memory Diagnostic tool
- Check HDD for bad sectors and health all are good
- Open multiple excel file; no lagging encounter
</t>
  </si>
  <si>
    <t>clean System Unit, Clean/Reseat RAM</t>
  </si>
  <si>
    <t>7:25 PM, 8:05 PM</t>
  </si>
  <si>
    <t>7:56 PM, 8:48 PM</t>
  </si>
  <si>
    <t>Nell Sacristia</t>
  </si>
  <si>
    <t>FSBP00126992</t>
  </si>
  <si>
    <t>PPJ32156</t>
  </si>
  <si>
    <t>POS B Printer - no power due to printer’s buttons came off and unable to press power button</t>
  </si>
  <si>
    <t>10/13 - Upon arrival coordinate to MOD for POS B printer checking
- Confirmed unable to power on printer
- Check power source
- Found adapter is not properly plugged in
- Tried to power on the printer; ok
- Test self print, OPOS, and LSNAV; ok
- Verify to MOD
- Work done</t>
  </si>
  <si>
    <t>Plugged in the power adapter properly</t>
  </si>
  <si>
    <t>Anna Bandoja</t>
  </si>
  <si>
    <t>FSBP00126972</t>
  </si>
  <si>
    <t>SB183</t>
  </si>
  <si>
    <t>DILIMAN COMMERCIAL CENTER - COMMONWEALTH AVE</t>
  </si>
  <si>
    <t>Source Telecoms Fiber Internet Activation Oct 14, 2025 10am-5pm</t>
  </si>
  <si>
    <t>10/14 - Coordinate with MOD
- Upon arrival standalone test source tel; stable and good
- Connect source tel to Port 1 of meraki
- Transfer PLDT to Port 2 of meraki
- Wait for confirmation of RCOC
- Pull out smart LTE. Work done</t>
  </si>
  <si>
    <t>Activate source telecom fiber to WAN 1</t>
  </si>
  <si>
    <t>Dean Carreon</t>
  </si>
  <si>
    <t>FSBP00126995</t>
  </si>
  <si>
    <t>SB371</t>
  </si>
  <si>
    <t>AT YUCHENGCO CENTER</t>
  </si>
  <si>
    <t>Globe Fiber Internet Activation Oct 14, 2025 10am-5pm</t>
  </si>
  <si>
    <t xml:space="preserve">10/13: HD Jave: Ack ticket , sched tom
10/14 - Upon arrival coordinate with MOD
- Input ip
- Standalone test 5x
- Ping 8.8.8.8
- Waiting to Sir Bryan response
- Terminate globe to WAN 1
- RCOC Sir Bryan instructed to leave Smart LTE as the secondary WAN2
- Work done
</t>
  </si>
  <si>
    <t>Terminate Globe WAN1 | Smart WAN 2</t>
  </si>
  <si>
    <t>Jomar Balango</t>
  </si>
  <si>
    <t xml:space="preserve">FSBP00127031 </t>
  </si>
  <si>
    <t>48575443916CED87</t>
  </si>
  <si>
    <t xml:space="preserve"> Infinivan Fiber Activation Oct 14, 2025 10am-5pm</t>
  </si>
  <si>
    <t>10/13: HD Jave: Ack ticket , sched tom
10/14 - Upon arrival standalone test infinivan; no network
- Coordinate with RCOC
- Wrong IP indicated in ticket
- RCOC provided correct IP
- Standalone test again; good
- infinivan is stable and fast
- Connect Infinivan to port 1 of Meraki
- Transfer PLDT to port 2 of meraki
- Pull out Smart LTE. Work done</t>
  </si>
  <si>
    <t>Activate infinivan to WAN 1</t>
  </si>
  <si>
    <t>Joanna Hernandez</t>
  </si>
  <si>
    <t>FSBP00126701</t>
  </si>
  <si>
    <t>EB-35019B4J6H-28</t>
  </si>
  <si>
    <t>POS A Drawer 2  - not automatically opening</t>
  </si>
  <si>
    <t>10/10 HD Jave: SD advise that working permit is needed, already confirm - permit on process
10/13 HD Jave: Permit Approved- Sched tomorrow 10/14
10/14 - Upon arrival coordinate with MOD
- Upon checking drawer - it's opening but not consistent especially with heavy coins
- Check cables; good no damage
- Check railings; good
- Rollers are good; complete no damage
- Pull spring; but still not consistent when opening
- Replace with new cash drawer
- Test by MOD; approved</t>
  </si>
  <si>
    <t>Abraham Francisco Jr.</t>
  </si>
  <si>
    <t xml:space="preserve"> FSBP00126704</t>
  </si>
  <si>
    <t xml:space="preserve"> EB-35019B4J6H-2B</t>
  </si>
  <si>
    <t>POSB Drawer 1   - not automatically opening</t>
  </si>
  <si>
    <t>10/10 HD Jave: SD advise that working permit is needed, already confirm - permit on process
10/13 HD Jave: Permit Approved- Sched tomorrow 10/14
10/14 - Upon arrival coordinate with MOD
- Proceed to check cables; found damaged cable of drawer
- Route cause of not opening consistently is the damage cable
- Replace cash drawer; test by MOD approved</t>
  </si>
  <si>
    <t>FSBP00126129</t>
  </si>
  <si>
    <t>2012H0FG01116</t>
  </si>
  <si>
    <t>Curio Player - Request for Curio player log in credentials</t>
  </si>
  <si>
    <t>10/10 HD Jave: SD advise that working permit is needed, already confirm - permit on process
10/13 HD Jave: Permit Approved- Sched tomorrow 10/14
10/14 - Upon arrival coordinate with MOD
- Proceed to check the curio; store has music
- Dashboard is not accessible
- Tried different credentials but still cannot access dashboard
- Reset curio/Reboot; still can't access
- Curio is pingable and stable
- For checking of facilities</t>
  </si>
  <si>
    <t>reset/reboot curio, reseat LAN cable</t>
  </si>
  <si>
    <t>FSBP00126884</t>
  </si>
  <si>
    <t>4CE9140KMD</t>
  </si>
  <si>
    <t>BOS TeamViewer - Monitored Offline</t>
  </si>
  <si>
    <t>10/14 - Coordinated with the MOD.
- Attempted to connect to BOS via MWS VNC.
- Found BOS TeamViewer stuck on a white screen.
- Uninstalled and reinstalled TeamViewer.
- Requested configuration support from the RCOC Tech Team.
- Restarted BOS to apply updates.
- After configuration by RCOC Sir Marvin, TeamViewer is now remotely accessible, but the ID is not visible. Sir Marvin confirmed this is acceptable.</t>
  </si>
  <si>
    <t>Installed and updated TeamViewer.</t>
  </si>
  <si>
    <t>Bob Vicencio</t>
  </si>
  <si>
    <t xml:space="preserve">FSBP00126868 </t>
  </si>
  <si>
    <t>PP040053</t>
  </si>
  <si>
    <t>POS B printer - No Power</t>
  </si>
  <si>
    <t xml:space="preserve">10/14 - Coordinate with MOD
- Proceeded to check the reported device
- Upon checking; found power adapter and power cord loose. 
- Fix loose cord connection using masking tape. 
- Test the printer using OPOS Manager 
- Tested by MOD; print last transaction to POS B printer. 
- Printer is now working properly.
</t>
  </si>
  <si>
    <t>secured power adapter and power cord</t>
  </si>
  <si>
    <t>Torio Bryan Vincent</t>
  </si>
  <si>
    <t>FSBP00127074</t>
  </si>
  <si>
    <t>Zyxel</t>
  </si>
  <si>
    <t>S190Y10126649</t>
  </si>
  <si>
    <t>Converge ISP Oct 14, 2025 1pm-5pm</t>
  </si>
  <si>
    <t>10/14 - Upon arrival coordinated with MOD
- Checked Converge; found no internet and showing red light on modem
- Performed standalone test on converge; Unidentified network
- Tried all modem ports; still unidentified network, as per Sir Bryan Converge is having problem
- Work done</t>
  </si>
  <si>
    <t>stand alone test</t>
  </si>
  <si>
    <t>Donna Tuazon</t>
  </si>
  <si>
    <t>FSBP00126741</t>
  </si>
  <si>
    <t>41VA86</t>
  </si>
  <si>
    <t>JV for further isolation and reconfiguration of POS A Card Terminal</t>
  </si>
  <si>
    <t>10/14 - Coordinate with MOD
- Upon arrival POS card terminal cradle already replaced by MAYA
- Observe and test transaction
- ask mod if error reoccurred after transactions (none)</t>
  </si>
  <si>
    <t>replace card terminal cradle c/o MAYA tech</t>
  </si>
  <si>
    <t>Robert Odronia jr</t>
  </si>
  <si>
    <t>Jerryle Arevallo</t>
  </si>
  <si>
    <t xml:space="preserve">FSBP00126994 </t>
  </si>
  <si>
    <t>41-PV937</t>
  </si>
  <si>
    <t>POS B - Automatically turns off during operation</t>
  </si>
  <si>
    <t>10/14 - Upon arrival coordinate MOD
- Checking POS B power cable and outlet using tester (ok)
- Plug and power on; cannot proceed on windows
- Unplug usb cable on back portion of POS
- Power up POS (ok)
- Open NAV 
- MOD test transaction; printing receipt successful.
- POS B is working and operational 
- Work done</t>
  </si>
  <si>
    <t>Unplug usb and power up POS</t>
  </si>
  <si>
    <t>Jay Gusto</t>
  </si>
  <si>
    <t>FSBP00127077</t>
  </si>
  <si>
    <t>KSN70128</t>
  </si>
  <si>
    <t>POS B - Encountering RTO</t>
  </si>
  <si>
    <t xml:space="preserve">10/14 - Upon arrival coordinate with MOD
- Proceed to check LAN cable found defective RJ45
- Recrimp from end to end
- 1GBPS Connection
- Ping test for 30mins
- Ping test POS B from MWS; no lost result
- Test by MOD; approved
</t>
  </si>
  <si>
    <t>Recrimp LAN cable from end to end</t>
  </si>
  <si>
    <t>FSBP00127106</t>
  </si>
  <si>
    <t>SB596</t>
  </si>
  <si>
    <t>SM CDO UPTOWN</t>
  </si>
  <si>
    <t>D30M</t>
  </si>
  <si>
    <t>61HGX34</t>
  </si>
  <si>
    <t>10/14 ‎- Upon arrival coordinate with MOD
‎- Check BOS
‎- Restart BOS
‎- Remote test BOS TeamViewer by the team; okay.
- Work done</t>
  </si>
  <si>
    <t>Yovel Rachel Erezo</t>
  </si>
  <si>
    <t>FSBP00127084</t>
  </si>
  <si>
    <t xml:space="preserve"> Thinkcentre M92P</t>
  </si>
  <si>
    <t>PBYNBLW</t>
  </si>
  <si>
    <t>MWS - No internet connection</t>
  </si>
  <si>
    <t>10/14 - Upon arrival coordinate to MOD
- Start isolation fount MWS no power
- Terminate end to end of rj45, switch to external lan port with settings of old lan port, same problem, 
- Requested to MOD to restart meraki router
- Back setting of internal lan port
- Found ok after test connection 
- Observe
- Tested ok. Done</t>
  </si>
  <si>
    <t>restart the Meraki router.</t>
  </si>
  <si>
    <t>Vhalyn Quimbo</t>
  </si>
  <si>
    <t>FSBP00126267</t>
  </si>
  <si>
    <t>41NW125</t>
  </si>
  <si>
    <t>POS B - PROMPTING ERROR RANDOMLY</t>
  </si>
  <si>
    <t xml:space="preserve">10/14 - Upon arrival coordinated with MOD
- Checked POS B; found 100 Mbps connection only
- Crimp LAN cable on POS B side; good
- Test POS B; still disconnecting randomly
- Crimp LAN cable on Meraki MX side; good
- Ping POS B and POS A on BOS; good
- Check BOS adapter settings; good, 1Gbps connection
- Test POS B; still disconnecting randomly
- Disabled and Enabled network adapter in device manager
- Test POS B; still disconnecting randomly
- Turned off POS B
- Isolate POS B
- Clean tailgate
- Clean RAM &amp; HDD
- Setup POS B and turned on
- Test POS B; still disconnecting randomly
- Checked windows firewall
- Tried moving the LAN cable on POS B side; not disconnecting, just randomly disconnecting but not due to physical move
- Tried moving the LAN cable on Meraki MX side; not disconnecting, just randomly disconnecting but not due to physical move
- Performed sfc /scannow; repaired errors
- Installed the old version of network adapter on POS B; good
- Test POS B; good, not disconnecting
- Observed for a while; good, not disconnecting, stable confirmed by MOD
- Test transactions on POS B; good, confirmed by MOD
- Observed until store closing; good, stable connection
- MOD tested transactions until on POS B until store closing; good, stable, not disconnecting, confirmed by MOD
- Work done
</t>
  </si>
  <si>
    <t>POS B disconnection by repairing system files and reverting network driver</t>
  </si>
  <si>
    <t>Sofia Magat</t>
  </si>
  <si>
    <t xml:space="preserve">FSBP00127079 </t>
  </si>
  <si>
    <t>ZXHN H670Y</t>
  </si>
  <si>
    <t>ZTEG04FB1583</t>
  </si>
  <si>
    <t>ISP Activation Oct 15, 2025 10am-5pm</t>
  </si>
  <si>
    <t xml:space="preserve">10/15- -Coordinated with MOD upon arrival
-Observed Infinivan modem showing blinking LOS light
-Performed standalone test — no connection
-Restarted modem multiple times — no improvement
-Tried alternate ports — issue persisted
-Recommended escalation to ISP
-Performed Converge standalone test — no connection
-Restarted modem multiple times — still no connectivity
-Tried alternate ports — same issue
-Coordinated with RCOC
-RCOC advised to escalate both ISP issues	
-Work completed
</t>
  </si>
  <si>
    <t xml:space="preserve">Performed standalone tests for both Infinivan and Converge — no connection found; recommended escalation to ISPs.
</t>
  </si>
  <si>
    <t>FSBP00127117</t>
  </si>
  <si>
    <t>SB469</t>
  </si>
  <si>
    <t>POWER PLANT MALL LEVEL 1</t>
  </si>
  <si>
    <t>41-LD606</t>
  </si>
  <si>
    <t>POS B Drawer 2- Unable to open</t>
  </si>
  <si>
    <t xml:space="preserve">10/15 -Coordinated with MOD upon arrival
-Reseated the drawer cable — issue persisted
-Identified drawer cable as defective
-Paused work while waiting for replacement part
-Installed new drawer cable — tested and confirmed working
-MOD approved after multiple tests
-Pulled out and retained defective cable
-Work completed
</t>
  </si>
  <si>
    <t xml:space="preserve">Installed new drawer cable
</t>
  </si>
  <si>
    <t>Drawer Cable</t>
  </si>
  <si>
    <t xml:space="preserve"> Brent Matias</t>
  </si>
  <si>
    <t>FSBP00127033</t>
  </si>
  <si>
    <t>HAJLH7KB</t>
  </si>
  <si>
    <t>Store tablet - auto resetting</t>
  </si>
  <si>
    <t xml:space="preserve">10/15 -Coordinated with MOD upon arrival
-Assessed the tablet; confirmed the need for a hard reset
-Performed factory reset and erased all data
-Installed and updated all necessary applications
-Coordinated with RCOC to revoke the assigned email and provide a new QR code
-MOD scanned the QR code, re-entered email, and tested all applications – all working as expected
-Work completed
</t>
  </si>
  <si>
    <t xml:space="preserve">Performed factory reset, updated apps, and reconfigured tablet
</t>
  </si>
  <si>
    <t>Pauline Reyes</t>
  </si>
  <si>
    <t>FSBP00126589</t>
  </si>
  <si>
    <t>IMPERIAL PALACE SUITES</t>
  </si>
  <si>
    <t>15149B0662</t>
  </si>
  <si>
    <t>POS B Scanner - unable to scan</t>
  </si>
  <si>
    <t xml:space="preserve">10/15 -Upon arrival, verified that the scanner was only working manually.
-Attempted to unplug and replug the device — issue persisted.
-Informed Sir Mervin of the situation and awaited replacement parts.
-Delivered and installed a new Honeywell scanner.
-Scanner was tested multiple times by the MOD — confirmed fully functional.
-Issue resolved; work completed.
</t>
  </si>
  <si>
    <t xml:space="preserve">Installed a new Honeywell scanner.
</t>
  </si>
  <si>
    <t>152638085E</t>
  </si>
  <si>
    <t>Christian Kaldito</t>
  </si>
  <si>
    <t>FSBP00127160</t>
  </si>
  <si>
    <t>41VZ359</t>
  </si>
  <si>
    <t>POS A - Lost of connection due to RTO</t>
  </si>
  <si>
    <t xml:space="preserve">10/15 -Coordinated with MOD upon arrival
-Found no LAN activity (no light) on Meraki port
-Recrimped LAN cable; Port 5 on Meraki now showing activity
-Verified 1 Gbps connectivity
-Performed ping test from MWS to POS A – result: no RTO
-Performed ping test from BOS to POS A – confirmed by PASI: no RTO
-BOS connection also confirmed at 1 Gbps
-Work completed
</t>
  </si>
  <si>
    <t>c/o Jericho ETA 2-3pm</t>
  </si>
  <si>
    <t>Carlo Francia</t>
  </si>
  <si>
    <t xml:space="preserve">FSBP00127180 </t>
  </si>
  <si>
    <t>EDGECORE</t>
  </si>
  <si>
    <t>EC2501000823</t>
  </si>
  <si>
    <t>Modem Port Reassign Oct 15, 2025, 10am-4pm</t>
  </si>
  <si>
    <t xml:space="preserve">10/15 -Coordinated with MOD upon arrival for Converge modem verification
-Coordinated with Sir Bryan to obtain assigned IP details
-Tested all modem ports using the provided IP – all returned "Unidentified Network"
-Conducted ping test to 8.8.8.8 – received RTO (Request Timed Out)
-Reported issue to Sir Bryan; he confirmed escalation to ISP
-Informed MOD of test results and next steps
-Work completed
</t>
  </si>
  <si>
    <t xml:space="preserve">All ports of the Converge modem were tested using assigned IPs; no successful connection. Issue escalated to ISP by network POC.
</t>
  </si>
  <si>
    <t>FSBP00127165</t>
  </si>
  <si>
    <t>SB184</t>
  </si>
  <si>
    <t>PAMPLONA 3 - LAS PIÑAS</t>
  </si>
  <si>
    <t>41NW158</t>
  </si>
  <si>
    <t>Power bezel button already sink/submerge and cannot be used</t>
  </si>
  <si>
    <t xml:space="preserve">10/15-Upon arrival, observed that the bezel power button was misaligned.
-Opened the bezel cover and realigned the power button.
-Powered on POS A and tested functionality.
-Issue resolved; work completed.
</t>
  </si>
  <si>
    <t xml:space="preserve">Bezel power button was realigned
</t>
  </si>
  <si>
    <t xml:space="preserve">Glen Banania
</t>
  </si>
  <si>
    <t xml:space="preserve"> Yanz Ocampo</t>
  </si>
  <si>
    <t>FSBP00127194</t>
  </si>
  <si>
    <t xml:space="preserve"> ETON CITY SQUARE</t>
  </si>
  <si>
    <t>Pre Menu - Disconnected (RTO)</t>
  </si>
  <si>
    <t xml:space="preserve">10/15-Coordinated with MOD upon arrival for Pre Menu checking
-Inspected 24-port switch; Port 13 showed no link/activity light
-Checked Pre Menu panel and found that the spare LAN cable was plugged in instead of the main connection
-Switched to correct LAN cable
-Performed ping test to Pre Menu – OK, reachable
-Verified resolution with MOD
-Work completed
</t>
  </si>
  <si>
    <t xml:space="preserve">Switched LAN cable to correct port for Pre Menu connection; device is now reachable with no further RTO.
</t>
  </si>
  <si>
    <t xml:space="preserve"> Mavi San Agustin</t>
  </si>
  <si>
    <t>FSBP00127234</t>
  </si>
  <si>
    <t>won't touch</t>
  </si>
  <si>
    <t>KSJA0819</t>
  </si>
  <si>
    <t>POS B: Touchscreen not working</t>
  </si>
  <si>
    <t>10/16  Upon arrival Pos b is up and working
- check pos b; good
- as per mod; pos b went back to normal after they reported
- ping test pos b; stable connection
- observe pos b for 30mins; good
- MOD advised Pos D error popped up about LS nav
- Report to PASI
- Pasi checked the POS D and monitored. Work done</t>
  </si>
  <si>
    <t>Jison Fuentes</t>
  </si>
  <si>
    <t>FSBP00127242</t>
  </si>
  <si>
    <t>41MC971</t>
  </si>
  <si>
    <t xml:space="preserve"> POS B - hard disk health check "no drives found"</t>
  </si>
  <si>
    <t xml:space="preserve">10/16 Upon arrival coordinate with mod
- pos is up
-check cmd chkdsk;good
-check sentinel health;good
-test transac; good mod approved
-observe in case of problem occur
- Work done
</t>
  </si>
  <si>
    <t>check HDD health</t>
  </si>
  <si>
    <t>FSBP00126569</t>
  </si>
  <si>
    <t>ETON CITY SQUARE</t>
  </si>
  <si>
    <t>POS A Printer, POS B Printer, POS D Printer</t>
  </si>
  <si>
    <t>PP-7600X, PP-7600X,  PP-7900-B</t>
  </si>
  <si>
    <t>PP050361, PPL31319, PPP81915</t>
  </si>
  <si>
    <t>All POS Printer - When paper out remaining thermal paper inside was excessive</t>
  </si>
  <si>
    <t>10/16 -Upon arrival, inspected all POS printers.
-Adjusted the internal slider for the paper-out warning sensor on each printer.
-Reinserted excess thermal paper and tested all units.
-No more false paper-out warnings observed.
-Work completed.</t>
  </si>
  <si>
    <t xml:space="preserve">Slider inside each POS printer was adjusted to correct false paper-out warnings.
</t>
  </si>
  <si>
    <t>Lai League</t>
  </si>
  <si>
    <t>FSBP00127153</t>
  </si>
  <si>
    <t xml:space="preserve"> SHELL SOUTH LUZON EXPRESSWAY - MUNTINLUPA</t>
  </si>
  <si>
    <t>POS A: HDD sentinel error and I/O exception error</t>
  </si>
  <si>
    <t>10/16 Upon arrival coordinate to MOD for POS A checking
- Uninstall HDD sentinel
- Reseat all cables and HDD
- Clean ram
- Restart, check for I/O error
- No I/O error occurred after observation
- Verify to MOD
- Work done</t>
  </si>
  <si>
    <t xml:space="preserve"> Uninstall HDD sentinel</t>
  </si>
  <si>
    <t xml:space="preserve"> Jenny Balmaceda</t>
  </si>
  <si>
    <t>FSBP00127251</t>
  </si>
  <si>
    <t>M93P</t>
  </si>
  <si>
    <t>MWS- Slow performance in processing everything. It takes more than 15 minutes to generate sales report</t>
  </si>
  <si>
    <t>10/16 -Coordinated with MOD upon arrival; confirmed MWS was slow in general use.
-Checked Task Manager: RAM usage was near full; system had been up for 16 days.
-Cleared temporary files.
-Restarted MWS and advised a 15-minute wait before using.
-Installed HDD Sentinel: health and performance at 100%; no bad sectors found.
-Post-restart RAM usage stabilized at 20–30%.
-Requested MOD to test MWS by posting sales.
-MOD observed both POS terminals lag when running sales reports in LS Nav.
-PASI confirmed that this lag is expected on HDD-based systems. SSDs in newer MWS units eliminate this issue.
-MOD requested SSD upgrade.
-MOD confirmed better MWS performance after restart.
-Advised MOD to shut down MWS daily after store closing to prevent system slowdown.
-Work completed.</t>
  </si>
  <si>
    <t xml:space="preserve">Upgrade to SSD as advised by PASI
</t>
  </si>
  <si>
    <t>Cai Ongpauco</t>
  </si>
  <si>
    <t>FSBP00127264</t>
  </si>
  <si>
    <t>COVERGE</t>
  </si>
  <si>
    <t>ZXHN F1611A</t>
  </si>
  <si>
    <t>ZTEOQURQCK14907</t>
  </si>
  <si>
    <t>Converge Fiber Internet Activation Oct 16, 2025 10am-5pm</t>
  </si>
  <si>
    <t>10/16 Upon arrival, test converge fiber internet fast and stable
-Standalone test good
-Terminate converge to port 2 meraki
-Waiting for Sir Bryan reply
-Advised Sir Bryan and he acknowledged
-Work done</t>
  </si>
  <si>
    <t>terminate to port 2</t>
  </si>
  <si>
    <t xml:space="preserve"> Thea Mobolo</t>
  </si>
  <si>
    <t>FSBP00127261</t>
  </si>
  <si>
    <t>SB489</t>
  </si>
  <si>
    <t>THREE E-COM CENTER</t>
  </si>
  <si>
    <t>Go-CyberWis</t>
  </si>
  <si>
    <t>601592D1705D</t>
  </si>
  <si>
    <t xml:space="preserve">10/16 -Coordinated with MOD upon arrival for Converge activation.
-Configured Converge line for standalone test.
-Coordinated with Sir Bryan for IP details.
-Performed speed test – result: 38 Mbps (OK).
-Pulled out SMART LTE backup unit.
-Verified final setup with MOD.
-Work completed.
</t>
  </si>
  <si>
    <t xml:space="preserve">Converge Fiber Internet successfully activated. SMART LTE unit removed.
</t>
  </si>
  <si>
    <t>EC2509003079</t>
  </si>
  <si>
    <t>Liezel Enriquez</t>
  </si>
  <si>
    <t>FSBP00127299</t>
  </si>
  <si>
    <t>0KHJHQT300003B</t>
  </si>
  <si>
    <t>disconnected LFD Panels  - Menu B</t>
  </si>
  <si>
    <t xml:space="preserve">10/16 -Coordinated with MOD upon arrival regarding the disconnected LFD Panel B.
-Found monitor powered off with no LAN connectivity.
-Recrimped the LAN cable at the back of the panel.
-Conducted testing and requested RCOC to verify remote connection.
-RCOC confirmed connectivity by sending proof-of-picture.
-Host file ping tested to ensure stable connection.
-MOD witnessed and confirmed that the panel is now operational.
-Work completed.
</t>
  </si>
  <si>
    <t>Recrimped LAN cable</t>
  </si>
  <si>
    <t>Dimafelix Roselyn</t>
  </si>
  <si>
    <t>FSBP00127303</t>
  </si>
  <si>
    <t>SB621</t>
  </si>
  <si>
    <t>MAPLE GROVE</t>
  </si>
  <si>
    <t>0KHJHNQX500025Z</t>
  </si>
  <si>
    <t xml:space="preserve">10/16 -Upon arrival, attempted to ping Menu Panel B – result: Request Timed Out (RTO)
-Inspected LAN cable connection for DT Menu B
-Re-socketed LAN cable on both ends (panel and source)
-Re-tested connection – panel is now reachable via ping
-Issue resolved and confirmed on-site
-Work completed
</t>
  </si>
  <si>
    <t xml:space="preserve">Re-socketed LAN cable for Menu Panel B on both ends
</t>
  </si>
  <si>
    <t>Shervin Flores</t>
  </si>
  <si>
    <t>FSBP00127275</t>
  </si>
  <si>
    <t xml:space="preserve">ThinkCentre M900
</t>
  </si>
  <si>
    <t>BOS TeamViewer - monitored offline</t>
  </si>
  <si>
    <t xml:space="preserve">10/16 -Coordinated with MOD upon arrival for TeamViewer (TV) issue.
-Restarted TeamViewer on the BOS machine.
-Coordinated with PASI for remote access verification.
-TeamViewer is now accessible remotely.
-Verified with MOD.
-Work completed.
</t>
  </si>
  <si>
    <t xml:space="preserve">Restarted TeamViewer. Issue resolved and confirmed operational.
</t>
  </si>
  <si>
    <t>FSBP00127266</t>
  </si>
  <si>
    <t xml:space="preserve"> EB - 35019B4J6H - 2B</t>
  </si>
  <si>
    <t>POS B Drawer 2-Not opening automatically every after-cash transaction.</t>
  </si>
  <si>
    <t xml:space="preserve">10/17 -Waited for the delivery of the new drawer.
-Upon testing, POS B drawer was working; identified POS A drawer as the actual faulty unit.
-Removed the old (defective) drawer.
-Installed the new drawer.
-MOD tested the new drawer – not working.
-Switched Y-cables between both drawers – still not working.
-Cleaned Y-cable and ports.
-Reseated the Y-cable connection.
-Performed test using OPOS Manager – drawer now functional.
-MOD re-tested – confirmed working.
-Monitored the drawer for 30 minutes – no further issues observed.
-Defective drawer endorsed to MOD.
-Work completed.
</t>
  </si>
  <si>
    <t xml:space="preserve">Installed the new drawer.
</t>
  </si>
  <si>
    <t>12:00 PM, 2:30 PM</t>
  </si>
  <si>
    <t>2:05 PM, 3:00 PM</t>
  </si>
  <si>
    <t>April Jocson</t>
  </si>
  <si>
    <t>FSBP00127161</t>
  </si>
  <si>
    <t>SB402</t>
  </si>
  <si>
    <t xml:space="preserve"> VENICE GRAND CANAL MALL - MCKINLEY HILL</t>
  </si>
  <si>
    <t>Toshiba Printer</t>
  </si>
  <si>
    <t>41YHBDF</t>
  </si>
  <si>
    <t xml:space="preserve">10/17 -Coordinated with MOD upon arrival.
-Waited until customer traffic subsided before proceeding.
-Cleaned the thermal head of the printer – result still blurred.
-Performed Toshiba printer test print – issue persisted.
-Installed a new printer (Posiflex).
-Performed multiple test prints – results clear and approved by MOD.
-POS terminal encountered a configuration error.
-Coordinated with PASI for configuration – resolved successfully.
-Pulled out the defective printer.
-Monitored functionality – all systems working.
-Work completed.
</t>
  </si>
  <si>
    <t xml:space="preserve">Replaced the defective POS B printer with a new Posiflex unit.
</t>
  </si>
  <si>
    <t>PPP52211</t>
  </si>
  <si>
    <t>41-YHBDF</t>
  </si>
  <si>
    <t>3:00 PM, 3:50 PM</t>
  </si>
  <si>
    <t>3:30 PM, 4:20 PM</t>
  </si>
  <si>
    <t>Jessa Marasigan</t>
  </si>
  <si>
    <t>FSBP00127316</t>
  </si>
  <si>
    <t>SB373</t>
  </si>
  <si>
    <t>VENTURES MAKATI AVENUE</t>
  </si>
  <si>
    <t>PPO40106</t>
  </si>
  <si>
    <t>POS B Printer - Won't print</t>
  </si>
  <si>
    <t>10/17 Upon arrival coordinate with mod
- printer is broken hook
-waiting for parts
-install drivers and new printer
-test multiple times; mod approved
-pull out defective
- Work done</t>
  </si>
  <si>
    <t>install drivers and new printer</t>
  </si>
  <si>
    <t>PPP81860</t>
  </si>
  <si>
    <t>PP040105</t>
  </si>
  <si>
    <t xml:space="preserve"> Heather Alcantara</t>
  </si>
  <si>
    <t xml:space="preserve">FSBP00127329 </t>
  </si>
  <si>
    <t xml:space="preserve"> RETIRO CORNER SPEAKER PEREZ</t>
  </si>
  <si>
    <t>MT-M10FG-S1R501 M900</t>
  </si>
  <si>
    <t>PC0D6Z26</t>
  </si>
  <si>
    <t>BOS - no power</t>
  </si>
  <si>
    <t xml:space="preserve">10/17 -Upon arrival, checked the BOS unit – no power detected.
-Inspected power cable and outlet – found loose connection.
-Attempted to plug into another outlet – BOS powered on briefly but shut down again due to loose cable.
-Advised Sir Mervin regarding the need for replacement parts.
-Waited for and installed a new power cable.
-BOS powered on but shut down again after 1 hour.
-Conducted the following checks:
*Power status
*PC PSU (Power Supply Unit)
*Power source using a multitester
*Physical inspection of the PC
-Performed cleaning of the PC and peripherals.
-Diagnosed the PSU as defective.
-Advised Sir Mervin and awaited new part delivery.
-Installed new PSU.
-BOS powered up successfully.
-Observed system stability for 1 hour – no further issues found.
-Store operations confirmed stable.
-Work completed.
</t>
  </si>
  <si>
    <t xml:space="preserve">Replaced both power cable and PSU.
</t>
  </si>
  <si>
    <t>PSU</t>
  </si>
  <si>
    <t>8SSP50H29451H1SZ6AB0313</t>
  </si>
  <si>
    <t>8SSP50H29452L1GZ5CX00J4</t>
  </si>
  <si>
    <t>11:10 AM, 2:10 PM, 3:30 PM,  5:20 PM</t>
  </si>
  <si>
    <t>1:30 PM, 3:10 PM, 4:50 PM, 6:20 PM</t>
  </si>
  <si>
    <t>Andrei Candaroma</t>
  </si>
  <si>
    <t xml:space="preserve">FSBP00127337 </t>
  </si>
  <si>
    <t>UTP-225</t>
  </si>
  <si>
    <t>Starlink Activation Oct 17, 2025 10am-5pm</t>
  </si>
  <si>
    <t>10/17 - Upon arrival coordinate to MOD
- check starlink device
- standalone , speedtest 3 times, stable
- connect to meraki port 1 and pldt already connect to port 2
- check sb delivery wifi good
- check customer wifi good
- ask sir bryan for dashboard
- as per sir bryan starlink not up, need to reseat, as per sir bryan converge is in port 2, 
- converge is on port 2
- wait for both isp to UP
- confirm as per sir bryan starlink up not converge
- as per sir bryan try pldt connect to port 2
- work done</t>
  </si>
  <si>
    <t>connect starlink in meraki port 1, and pldt port 2 work</t>
  </si>
  <si>
    <t xml:space="preserve"> Pauline Ebue</t>
  </si>
  <si>
    <t>FSBP00127300</t>
  </si>
  <si>
    <t>EVIA DAANG HARI</t>
  </si>
  <si>
    <t>OKHJHNQT100004B</t>
  </si>
  <si>
    <t>Menu C - Monitored Disconnected</t>
  </si>
  <si>
    <t>10/17 - Upon arrival coordinate to MOD for DT Menu panel C checking
- Upon arrival found that panel C has no display/power
- Reseat power cable; Menu panel is now up
- Check lan cable using lan tester; ok
- Reseat lan cable
- Coordinate to sir vince for dashboard checking; panel c is now up
- Test ping panel; ok reachable
- Verify to MOD
- Work done</t>
  </si>
  <si>
    <t>reseat power cable and lan cable</t>
  </si>
  <si>
    <t xml:space="preserve"> Daniel Aquino Jr.</t>
  </si>
  <si>
    <t>FSBP00126652</t>
  </si>
  <si>
    <t xml:space="preserve"> CALOOCAN CITY HALL</t>
  </si>
  <si>
    <t xml:space="preserve"> TB-X306X</t>
  </si>
  <si>
    <t>HA1PFJ62</t>
  </si>
  <si>
    <t>Store Tablet suddenly restarted on its own and went to default setting and requests for google mail</t>
  </si>
  <si>
    <t xml:space="preserve">10/17 - Coordinated with MOD and received the affected tablet.
-Isolated the unit and found that Chrome needed to be installed to proceed with app setup.
-Performed a full tablet reset and followed the standard application installation process.
-Switched to a faster Wi-Fi connection to complete updates more efficiently.
-Tested application functionality – confirmed working.
-Informed MOD of completion.
-MOD performed final testing – successful.
</t>
  </si>
  <si>
    <t xml:space="preserve">Tablet reset and reconfigured.
</t>
  </si>
  <si>
    <t xml:space="preserve">FSBP00122245 </t>
  </si>
  <si>
    <t>HA1PF1PA</t>
  </si>
  <si>
    <t>Store Tablet (2) - returned to its default settings</t>
  </si>
  <si>
    <t>10/15 - Coordinated with MOD upon arrival
-Found Tablet (2) in default setup
-Performed factory reset and data wipe
-Set up tablet and connected to Starbucks Delivery – OK
-Entered credentials and scanned QR code – OK
-Setup process failed to complete
-Repeated the process (reset, setup, connect, scan) twice – same error occurred
-Attempted setup via mobile hotspot – still not proceeding past setup
-Escalated issue to Sir Vince; advised to reschedule
Additional Concern:
-Tablet (1): Not connected to Wi-Fi
-Reconnected to Starbucks Delivery – OK
-Prompted to change password; updated to 012345
-Informed MOD of changes – OK
10/17 -Coordinated with MOD upon arrival.
-Checked the tablet and confirmed it had reverted to default setup.
-Performed a factory reset and erased all data.
-Reconfigured the tablet:
*Connected to a personal hotspot – initial connection successful
*Entered user credentials – successful
*Scanned QR code – successful
-During setup, encountered an error.
-Switched to a different hotspot – issue persisted.
-Switched to Starbucks Delivery Wi-Fi – setup proceeded without issues.
-Waited for setup to complete.
-Device configured successfully.
-Work completed.</t>
  </si>
  <si>
    <t xml:space="preserve">Factory reset and reconfiguration of tablet completed.
</t>
  </si>
  <si>
    <t>FSBP00127235</t>
  </si>
  <si>
    <t>41385CF</t>
  </si>
  <si>
    <t>POS A printer - failed to dispense receipts for 2 to 3 transactions</t>
  </si>
  <si>
    <t xml:space="preserve">10/17 - Coordinated with MOD regarding the reported issue.
-Performed test print – failed.
-Cleaned the thermal head and cutter assembly.
-Repaired the printer dynamo.
-Conducted another test print – successful, verified by MOD.
-Per MOD’s request, monitored the unit for 1 hour – no further issues observed.
-Work completed.
</t>
  </si>
  <si>
    <t xml:space="preserve">Cleaned thermal head and cutter assembly and repaired printer dynamo
</t>
  </si>
  <si>
    <t>Josa Claveria</t>
  </si>
  <si>
    <t>FSBP00127413</t>
  </si>
  <si>
    <t>PC0P2MVU</t>
  </si>
  <si>
    <t>BOS - request time out connection</t>
  </si>
  <si>
    <t>10/18 - Coordinated with MOD upon arrival
-Found network cable connected to the wrong port
-Switched to the correct port and assigned IP – confirmed working
-Monitored device operation
-Work completed</t>
  </si>
  <si>
    <t xml:space="preserve">Switched Ethernet port to correct connection
</t>
  </si>
  <si>
    <t>Gela Resuello</t>
  </si>
  <si>
    <t xml:space="preserve">FSBP00127416 </t>
  </si>
  <si>
    <t>41MD002</t>
  </si>
  <si>
    <t>POS A - Intermittent connection</t>
  </si>
  <si>
    <t>10/18 - Checked POS A upon arrival
-Performed ping test – observed intermittent connection
-Recrimped LAN cable
-Performed ping test again – stable connection achieved
-LS NAV still experiencing lag
-Coordinated with PASI
-PASI reported BOS experiencing high disk usage at random times; server restart needed
-Informed MOD that a window time was required for BOS restart
-Restarted BOS server
-Tested both POS terminals – performance improved, but slight lag still observed (per MOD)
-PASI confirmed BOS still showing high disk usage
-Remotely accessed BOS from MWS
-Deleted temp files and performed disk check – no bad sectors found
-Retested both POS units – now running smoothly
-Performed post-sales test from MWS – result was good
-PASI advised that if lag reoccurs, SSD upgrade for BOS is recommended</t>
  </si>
  <si>
    <t xml:space="preserve">Issue temporarily resolved after network cable fix and BOS cleanup.
</t>
  </si>
  <si>
    <t>Ja Jacinto</t>
  </si>
  <si>
    <t>FSBP00127474</t>
  </si>
  <si>
    <t>41-MK251</t>
  </si>
  <si>
    <t>POS B- lagging LS NAV</t>
  </si>
  <si>
    <t>10/18 -Checked POS B upon arrival
-Performed ping test – result was stable
-LS NAV still experiencing lag
-Coordinated with PASI
-PASI advised that BOS is encountering high disk usage at random times and recommended a server restart
-Informed MOD that a window time was needed for BOS restart
-Restarted BOS server
-Tested both POS terminals – performance improved but still some lag observed (as per MOD)
-PASI confirmed BOS still showing high disk usage
-Remotely accessed BOS from MWS
-Deleted BOS temp files and ran disk check – found 0 bad sectors
-Retested both POS units – both running smoothly
-Performed post-sales transaction from MWS – result was good
-PASI advised that if lag reoccurs, BOS is recommended for SSD upgrade</t>
  </si>
  <si>
    <t>POS B performance issue resolved after BOS cleanup and restart.</t>
  </si>
  <si>
    <t>FSBP00127345</t>
  </si>
  <si>
    <t>HA1QG7S4</t>
  </si>
  <si>
    <t>Store Tablet - Cannot access home screen due to verification required (S/N: HA1QG7S4)</t>
  </si>
  <si>
    <t>10/18 - Coordinate with MOD
- Check the reported tablet; reset
- Proceed re-setup 
- Install all application, done
- Request RCOC for 8 digit code
- Setup authenticator, done
- Coordinate to MOD about SPConnect
- Coordinate to MOD about security policy</t>
  </si>
  <si>
    <t>re-setup tablet</t>
  </si>
  <si>
    <t>Jassan de Gollo</t>
  </si>
  <si>
    <t xml:space="preserve">FSBP00127703 </t>
  </si>
  <si>
    <t xml:space="preserve"> HA1LGRYT </t>
  </si>
  <si>
    <t>Store Tablet - Cannot access home screen due to verification required (S/N: HA1LGRYT)</t>
  </si>
  <si>
    <t>FSBP00127441</t>
  </si>
  <si>
    <t xml:space="preserve">SHELL SOUTH LUZON EXPRESSWAY - MUNTINLUPA
</t>
  </si>
  <si>
    <t>HA1QJQZD</t>
  </si>
  <si>
    <t xml:space="preserve"> Store tablet- Automatically update resulting to Authenticator cannot access because it ask for a code</t>
  </si>
  <si>
    <t>10/19 - Upon arrival coordinate to MOD for store tablet checking
- Confirmed store tablet auth is unable to display a authentication code
- Proceed removing email account
- Coordinate to rcoc for email revoking
- Relogin outlook account; authentication code notification are now popping up
- Verify to MOD
- Work done</t>
  </si>
  <si>
    <t>revoke email address</t>
  </si>
  <si>
    <t xml:space="preserve">FSBP00127491 </t>
  </si>
  <si>
    <t>RT051814</t>
  </si>
  <si>
    <t>POS A &amp; B - Unable to power-on both POS due to power interruption</t>
  </si>
  <si>
    <t>10/20 - Troubleshooting/Action Taken:
- Conducted FCR and assisted MOD to power on and transfer POS power to another outlet.
- Confirmed POS able to power on and working.
- Proceeded with the onsite visit for double checking.
- Checked and secured power cables and adaptor.
- Checked the voltage, UPS voltage at 240-250V, Normal outlet at 0V.
- Conducted ping test and observed.
- POS A and B is up and working</t>
  </si>
  <si>
    <t>Re-socket power cable to other outlet and secured connection</t>
  </si>
  <si>
    <t xml:space="preserve">FSBP00127494 </t>
  </si>
  <si>
    <t>CurioplayerZ8</t>
  </si>
  <si>
    <t>B83504FF51518</t>
  </si>
  <si>
    <t>CURIO - No power due to power interruption and encountered interruption twice (2x) on 10-19-2025</t>
  </si>
  <si>
    <t xml:space="preserve">10/20 - Upon arrival, coordinate  MOD regarding issue
- Transfer other gang outlet
- Test curio and play musics
- Curio is now working
</t>
  </si>
  <si>
    <t>Transfer other gang outlet</t>
  </si>
  <si>
    <t>FSBP00127500</t>
  </si>
  <si>
    <t>PPM80545</t>
  </si>
  <si>
    <t>POS D Printer - Won't Print</t>
  </si>
  <si>
    <t>10/19 - HD action (AB) - Endorsed but not yet acknowledged on email.
10/20 Upon arrival coordinate with MOD; After restarting the printer and the POS, it succeeded worked according to the MOD
- Observe for transactions; print successful
- Check printer cables; secured</t>
  </si>
  <si>
    <t xml:space="preserve">Secured cables
</t>
  </si>
  <si>
    <t xml:space="preserve"> Zyrll Velasquez</t>
  </si>
  <si>
    <t xml:space="preserve"> FSBP00127499</t>
  </si>
  <si>
    <t>SB351</t>
  </si>
  <si>
    <t>CENTURY CITY MALL - GF - MAKATI</t>
  </si>
  <si>
    <t>PP040055</t>
  </si>
  <si>
    <t>POS B Printer - Continuous beeping and no receipt printing</t>
  </si>
  <si>
    <t>10/20 Upon arrival, checked POS B Printer has broken hook
-For replacement
-Waiting for parts
-Deliver and install new posiflex printer
-Tested by MOD good
-Work done</t>
  </si>
  <si>
    <t xml:space="preserve"> install new posiflex printer</t>
  </si>
  <si>
    <t>PPP81940</t>
  </si>
  <si>
    <t xml:space="preserve"> PP040055</t>
  </si>
  <si>
    <t>Sandro Labalan / Rojo-Jaerold Chyle</t>
  </si>
  <si>
    <t>JL Ysmael</t>
  </si>
  <si>
    <t>FSBP00126964</t>
  </si>
  <si>
    <t>SB571</t>
  </si>
  <si>
    <t>9036 BYPASS ROAD STA. MARIA BULACAN</t>
  </si>
  <si>
    <t xml:space="preserve">HA1PCQSK </t>
  </si>
  <si>
    <t xml:space="preserve">Store tablet - reset to default SN:HA1PCQSK </t>
  </si>
  <si>
    <t>10/20 HD Jave: received the photo of reported, proceed onsite support for 1 tablet OOW
coordinate to mod
- check tablet
- factory reset
- setup all apps
- setup authenticator
- check by mod
- pause time valid request for compliance in rcoc
- waited for compliance checking
- work done</t>
  </si>
  <si>
    <t>factory reset, setup apps,setup authenticator</t>
  </si>
  <si>
    <t>Myra Cadiz</t>
  </si>
  <si>
    <t xml:space="preserve"> FSBP00127520</t>
  </si>
  <si>
    <t>SB561</t>
  </si>
  <si>
    <t>SM RETAIL HQ - BLDG B.</t>
  </si>
  <si>
    <t>4CE02816ZB</t>
  </si>
  <si>
    <t>BOS - No Power (in relation with All POS no service tier available)</t>
  </si>
  <si>
    <t>10/20 upon arrival, BOS is no power
-tried to secure power cord then replug to another ups gang outlet then up BOS
-proper restart bos.
-ping pos A&amp;B and mws,pingable.
-pos A&amp;B is now operational.
-observed for 30 mins.
-work done.</t>
  </si>
  <si>
    <t>-secure power cord &amp; replug to another ups gang outlet</t>
  </si>
  <si>
    <t xml:space="preserve"> Cheska Dacanay</t>
  </si>
  <si>
    <t>FSBP00127536</t>
  </si>
  <si>
    <t xml:space="preserve">DITO LTE Temp Deployment
</t>
  </si>
  <si>
    <t xml:space="preserve">10/20 - Coordinate to MOD
- Assess possible location of DITO LTE
- Standalone testing at BOH/FOH; Test OK
- Perform speedtest; Done
- Pull-out Smart LTE; Done
</t>
  </si>
  <si>
    <t>deployed, setup DITO LTE and pull out Smart LTE</t>
  </si>
  <si>
    <t>Daisy Custudio</t>
  </si>
  <si>
    <t>FSBP00127693</t>
  </si>
  <si>
    <t>Dual display error</t>
  </si>
  <si>
    <t>POS transaction not reflecting on KDS</t>
  </si>
  <si>
    <t>10/20  Upon arrival coordinate with MOD 
- Ping test KDS; stable no RTO
- Remote by PASI; good 
- Test and witness by MOD; approved 
- POS transaction is now reflecting on KDS</t>
  </si>
  <si>
    <t xml:space="preserve">Check cables connection
</t>
  </si>
  <si>
    <t>FSBP00127537</t>
  </si>
  <si>
    <t>SM BICUTAN-GF</t>
  </si>
  <si>
    <t>KSM60529</t>
  </si>
  <si>
    <t>POS A Drawer 2 - not opening automatically</t>
  </si>
  <si>
    <t>10/20 - Upon arrival coordinate to MOD for POS A Y cable checking
- Confirmed damaged y cable
- Proceed replacing of y cable
- Test thru OPOS;ok
- Test thru LSNAV; ok
- Verify to MOD
- Work done</t>
  </si>
  <si>
    <t>replace y cable</t>
  </si>
  <si>
    <t>Irish Dhianne De Veyra</t>
  </si>
  <si>
    <t>FSBP00127615</t>
  </si>
  <si>
    <t xml:space="preserve">35019B4J6H </t>
  </si>
  <si>
    <t>202301160280/202301160195</t>
  </si>
  <si>
    <t>POS A drawer - Malfunctioning, causing sporadic delays in opening</t>
  </si>
  <si>
    <t xml:space="preserve">10/21 Permit approved
10/21 Upon arrival, checked POS A Drawers is good
-Multiple test and it’s working
-Tested by MOD good
-Work done
</t>
  </si>
  <si>
    <t>NTF</t>
  </si>
  <si>
    <t>Joshua Azaron</t>
  </si>
  <si>
    <t xml:space="preserve"> FSBP00127619</t>
  </si>
  <si>
    <t>POS C Drawer 1</t>
  </si>
  <si>
    <t>201902250247/201902250267</t>
  </si>
  <si>
    <t xml:space="preserve"> POS C drawer - Delays in opening, occurring inconsistently (manual use of key is needed</t>
  </si>
  <si>
    <t>10/21 Permit approved
10/21 Upon arrival, checked POS C drawers good
-Multiple test and it’s working
-Tested by MOD good
-Work done</t>
  </si>
  <si>
    <t xml:space="preserve"> FSBP00125920</t>
  </si>
  <si>
    <t>HAP1PF83C</t>
  </si>
  <si>
    <t>Store tablet - reset to default and asking for google account with "connect to mobile network" error</t>
  </si>
  <si>
    <t>10/21 upon arrival coordinate mod
-Proceed to reset -up tablets
-Install all applications 
-Follow manuals , coordinate team and rcoc 
-Request 8 digit code
- Set-up authenticator done
-sp connect and resize point advised mod to email rcoc for security policy
-Testing mod login successful verification code sent to mws vv
-Work done
-Call Closed</t>
  </si>
  <si>
    <t>Reset factory settings</t>
  </si>
  <si>
    <t>FSBP00127708</t>
  </si>
  <si>
    <t xml:space="preserve"> HG6245D</t>
  </si>
  <si>
    <t xml:space="preserve"> FHTT9B75B858</t>
  </si>
  <si>
    <t>PLDT Modem Del and Installation Oct 21, 2025 10am-5pm</t>
  </si>
  <si>
    <t>10/21 Installed pldt modem
- Assisted by trends for checking in maraki.
- Performed standalone test using laptop, no internet connection.
- No internet light on the modem.
- Coordinated with the RCOC Infra team.
- Waited for the PLDT personnel to arrive.
- After workaround of PLDT, performed standalone test again.
- Terminated to port 1 of meraki.
- Requested RCOC for dashboard checking
- PLDT installation successful.</t>
  </si>
  <si>
    <t xml:space="preserve">PLDT installation successful.
</t>
  </si>
  <si>
    <t>Martin Luangusta</t>
  </si>
  <si>
    <t>FSBP00127607</t>
  </si>
  <si>
    <t>SHELL SLEX BINAN</t>
  </si>
  <si>
    <t>HVA4MFZS</t>
  </si>
  <si>
    <t>Store Tablet - back to default setup</t>
  </si>
  <si>
    <t>10/21 - HD Jave: Per checking unit is still in IW based on w2w file
Ack ticket confirm by Sir Ryan already OOW
10/21 Upon arrival coordinate to MOD store tablet checking
- Confirmed store tablet is on default settings
- Factory reset; erased all data
- Setup tablet
- Connect to personal hotspot
- Input credentials
- Scan QR code
- Wait for setup to finish; good
- Revoke email for authenticator app
- Setup authenticator app; good
- Check all apps if complete; complete
- Check if screen-lock is set to PIN only; good
- Sync policies, return to kiosk mode
- Verify to MOD
- Workdone</t>
  </si>
  <si>
    <t>Hard reset/ factory reset store tablet</t>
  </si>
  <si>
    <t>Grace Dela Paz</t>
  </si>
  <si>
    <t xml:space="preserve"> FSBP00127570</t>
  </si>
  <si>
    <t>10/21 waiting for SD isolation
10/21 Conducted FCR, used credentials from previous onsite.
- BOS TeamViewer up and able to remote.
- Requested PASI to check if TV is up. PASI was able to remote the BOS.
- Requested RCOC Vince to check if TV is up. RCOC Vince was able to remote the BOS.
- TeamViewer is up and running.</t>
  </si>
  <si>
    <t>PASI TEAM &amp; TS Vince</t>
  </si>
  <si>
    <t>FSBP00127632</t>
  </si>
  <si>
    <t xml:space="preserve"> SAN ANTONIO EXCHANGE
</t>
  </si>
  <si>
    <t>4CE9241XWN</t>
  </si>
  <si>
    <t>MWS - Azure error when opening PDF File</t>
  </si>
  <si>
    <t xml:space="preserve">10/21 Upon arrival, Pdf files link to another app when it opens.
-open with Adobe acrobat and set default for pdf files. Done.
-tested with  SM pdf files okay.
-Remote by sir Vernon for mws system performance. Done.
-checked hdd using sentinel, 100%.
-tested by MOD mws performance, okay.
-work done.
</t>
  </si>
  <si>
    <t>set adobe acrobat for PDF files</t>
  </si>
  <si>
    <t>Iza Capili</t>
  </si>
  <si>
    <t>AD-HOC</t>
  </si>
  <si>
    <t>FSBP00127959</t>
  </si>
  <si>
    <t xml:space="preserve"> PETRON NORTH LUZON EXPRESSWAY - MARILAO</t>
  </si>
  <si>
    <t>SDD &amp; RAM Upgrade</t>
  </si>
  <si>
    <t>PC0D6YW4</t>
  </si>
  <si>
    <t>BOS Upgrade Activity for 151-Petron Marilao Oct 23 closing from 12:00MN going to Oct 24 Opening  5:00AM</t>
  </si>
  <si>
    <t xml:space="preserve">10/23 - Upon arrival, coordinated with MOD and waited for go signal.
Performed BOS file backup.
Upgraded SSD and RAM (including secondary HDD).
Configured BIOS settings and updated boot priority.
Set up computer details including Hostfile, IP address, and TeamViewer.
Coordinated with PASI for restoring backup files.
Joined BOS to domain and disabled domain firewall.
Opened all devices and reprinted all POS transactions to initialize the LS NAV database.
Conducted a 2-hour transaction observation period.
SM tested Cashout — one issue encountered during testing.
</t>
  </si>
  <si>
    <t xml:space="preserve">BOS upgrade successfully completed (SSD and RAM upgrade).
</t>
  </si>
  <si>
    <t>RAM and SSD</t>
  </si>
  <si>
    <t>RCOC Team</t>
  </si>
  <si>
    <t>Brent Facturan, Aaron Barroga, Rico Garcia</t>
  </si>
  <si>
    <t xml:space="preserve"> Rejie Bernardo</t>
  </si>
  <si>
    <t xml:space="preserve"> FSBP00126314</t>
  </si>
  <si>
    <t>PPM60835</t>
  </si>
  <si>
    <t>POS A Printer - Not printing</t>
  </si>
  <si>
    <t>10/21 upon arrival, checked pos A printer inside, no broken hook.
Adjust slider inside printer, secure  printer cover.
-tested print multiple times okay.
-observed.
-work dome.</t>
  </si>
  <si>
    <t>Adjust slider inside printer</t>
  </si>
  <si>
    <t xml:space="preserve"> Jenn Aga</t>
  </si>
  <si>
    <t xml:space="preserve">FSBP00127567 </t>
  </si>
  <si>
    <t>1935hqkf80162</t>
  </si>
  <si>
    <t xml:space="preserve">curio dashboard not accessible /store has music playing </t>
  </si>
  <si>
    <t xml:space="preserve">10/21 Catered the additional request of MOD to check the curio.
- MOD already reported the concern yesterday that curio dashboard is not accessible.
- Proceed to check the curio; store has music
- Confirmed Dashboard is not accessible.
- Checked end-to-end LAN cable check, ok.
- Confirmed I.P. 192.168.117.100 and pingable.
- Reset curio/Reboot
- Curio dashboard still not accessible but has stable ping.
</t>
  </si>
  <si>
    <t xml:space="preserve">For checking of curio device C/O facilities
</t>
  </si>
  <si>
    <t>MOD Martin</t>
  </si>
  <si>
    <t xml:space="preserve">FSBP00127642 </t>
  </si>
  <si>
    <t xml:space="preserve"> KSM60525/CICUC11112</t>
  </si>
  <si>
    <t>POS A Drawer 2 - Won't open automatically</t>
  </si>
  <si>
    <t>10/21 Coordinated with the MOD.
- Proceeded with the checking of y cable and cash drawer.
- Cash drawer on coupler to LAN cable setup due to short y cable.
- Y cable confirmed no damage.
- Checked LAN cable, has damage in jacket and RJ45 end.
- Replaced LAN cable and secured connection.
- Tested the cash drawer thru OPOS and NAV.
- Observed for 30 mins.
- Cash drawer status is ok</t>
  </si>
  <si>
    <t xml:space="preserve">Replaced RJ45 patch cable and secured connection. </t>
  </si>
  <si>
    <t>Patch Cable</t>
  </si>
  <si>
    <t xml:space="preserve">QC#989378002/1305676087 </t>
  </si>
  <si>
    <t>unreadable</t>
  </si>
  <si>
    <t xml:space="preserve">Rojo-Jaerold Chyle Marayag </t>
  </si>
  <si>
    <t xml:space="preserve"> Lea Sanchez</t>
  </si>
  <si>
    <t>FSBP00127660</t>
  </si>
  <si>
    <t xml:space="preserve"> SM NORTH TOWERS</t>
  </si>
  <si>
    <t xml:space="preserve">PC0QW7TM
</t>
  </si>
  <si>
    <t xml:space="preserve">OS to POS Intermittent Connection and High Disk Usage (100%) that causing Both POS to lag.
</t>
  </si>
  <si>
    <t>10/21 Upon arrival coordinate with MOD
- Checking BOS and POS A &amp; B Connection speed; Good 1.0gbps
- Gather POS A, B and BOS machine details
- Checking remotely POS A and B thru MWS VNC
- MWS remote BOS thru Remote Desktop Application
- Check health of BOS Hard drive Disk found 80%
- Perform Hard drive disk optimization cleaned temp and prefetch
- Perform Disk Defragmentation for all HDD partition
- Scan for viruses - No malware detected
- Disk cleaning chkdsk and sfc scan for bad sector removal
- Observe MWS POS A, B and BOS for 15Mins</t>
  </si>
  <si>
    <t>reco for HDD replacement and RAM upgrade (for new ticket)</t>
  </si>
  <si>
    <t>9:20 PM, 10:38 PM</t>
  </si>
  <si>
    <t>9:49 PM, 11:50 PM</t>
  </si>
  <si>
    <t>Matthew Amper</t>
  </si>
  <si>
    <t>FSBP00127569</t>
  </si>
  <si>
    <t>41173H0</t>
  </si>
  <si>
    <t xml:space="preserve">POS A Printer - Print is barely readable / cutter of the printer is loosen. </t>
  </si>
  <si>
    <t xml:space="preserve">10/22 -Coordinated with MOD upon arrival
-Verified issue: continuous printing with blurred output
-Cleaned thermal head and reseated cables — issue persisted
-Waited for replacement parts
-Installed new printer
-Encountered error in NAV, escalated to PASI for configuration
-Monitored for recurring issues
-Pulled out defective printer
-Completed installation and testing
</t>
  </si>
  <si>
    <t xml:space="preserve">Installed new printer
</t>
  </si>
  <si>
    <t>PPP81963</t>
  </si>
  <si>
    <t xml:space="preserve"> 41-173HO</t>
  </si>
  <si>
    <t>11:29 AM, 1:20 PM</t>
  </si>
  <si>
    <t>12:34 PM, 1:52 PM</t>
  </si>
  <si>
    <t>Cai Nate</t>
  </si>
  <si>
    <t>FSBP00127676</t>
  </si>
  <si>
    <t>GREYSTONE CONGRESSIONAL AVE EXT</t>
  </si>
  <si>
    <t>PC0D6Z2A</t>
  </si>
  <si>
    <t>BOS - Connection speed 100MBPS instead of 1GBPS (In relation with ALL POS - slow processing of transactions)</t>
  </si>
  <si>
    <t xml:space="preserve">10/22- Coordinate with MOD
- Upon arrival POS is up
- Remote and Check BOS from MWS
- Connection speed is already 1gbps; both MWS and BOS
- Observe for possible reoccur; none. Work done
</t>
  </si>
  <si>
    <t xml:space="preserve">Remote and Check BOS from MWS
</t>
  </si>
  <si>
    <t>Clarisse Rebuliana</t>
  </si>
  <si>
    <t>FSBP00127679</t>
  </si>
  <si>
    <t>SB502</t>
  </si>
  <si>
    <t>CALIFORNIA GARDEN SQUARE</t>
  </si>
  <si>
    <t>NAV error</t>
  </si>
  <si>
    <t>KSHC0050</t>
  </si>
  <si>
    <t>POS B NAV Error - MS NAV has run of out memory error</t>
  </si>
  <si>
    <t>10/22 Coordinated with MOD upon arrival and informed regarding POS B issue.
- Gather POS B machine details, including computer name, IP address, and hosts file.
- Properly shut down the affected POS terminal and disconnect it from the power source.
- Removed the old HDD and replaced it with a cloned HDD (copied from a working POS image).
- Verified that the cloned drive boots properly and the POS system launches successfully.
- Configured system details:
   Computer Name
   Network IPv4 Address
   Domain / Workgroup
   Host file entries under System32\drivers\etc
- Setup Windows AutoLogin configuration under registry path
- Installed and verified POS peripheral drivers (printer, scanner, cash drawer).
- Checked and verified MWS–POS B connection via VNC Viewer confirmed successful communication.
- Verified network connectivity between POS B and BOS (stable 1.0 Gbps).
- Conducted functional test on POS B – performed login and sample transactions.
 - Observed POS B for 30 minutes – system stable, no recurrence of NAV memory error.</t>
  </si>
  <si>
    <t xml:space="preserve"> WXC2AB0J61JC
</t>
  </si>
  <si>
    <t>Jane Berongoy</t>
  </si>
  <si>
    <t xml:space="preserve">FSBP00127715 </t>
  </si>
  <si>
    <t>SB108</t>
  </si>
  <si>
    <t>AYALA TOWER 1</t>
  </si>
  <si>
    <t>HAILFAJB</t>
  </si>
  <si>
    <t>Store Tablet - Auto Reset and Back to Default</t>
  </si>
  <si>
    <t xml:space="preserve">10/22 -Coordinated with MOD upon arrival
-Performed factory reset on the tablet
-Logged in using Gmail and attempted multiple accounts
-Successfully configured a new account
-Installed and tested required applications
-Signed out of MWS and performed login scan
-Tablet was reconfigured and tested for normal operation
-Work Completed
</t>
  </si>
  <si>
    <t xml:space="preserve">Reconfiguration and login of new account credentials for the tablet.
</t>
  </si>
  <si>
    <t xml:space="preserve"> Karl Joseph Almonte &amp; Rojo-Jaerold Chyle Marayag</t>
  </si>
  <si>
    <t>Patty Garcia</t>
  </si>
  <si>
    <t>FSBP00127776</t>
  </si>
  <si>
    <t>SB278</t>
  </si>
  <si>
    <t xml:space="preserve"> SHOPWISE COMMONWEALTH AVE.</t>
  </si>
  <si>
    <t>Smart Phone Delivery</t>
  </si>
  <si>
    <t xml:space="preserve">10/22 HD - Ack waiting for unit to received c/o Asset
10/23 -Upon arrival, received the phone.
-Set up the phone and inserted SIM card.
-Tested call functionality – all good.
-Endorsed to MOD. Work completed.
</t>
  </si>
  <si>
    <t xml:space="preserve">Set up the phone and inserted SIM card.
</t>
  </si>
  <si>
    <t>Keith Hilario</t>
  </si>
  <si>
    <t xml:space="preserve">FSBP00127667 </t>
  </si>
  <si>
    <t>SM CITY LUCENA</t>
  </si>
  <si>
    <t>KSM60561</t>
  </si>
  <si>
    <t>POS B Cash Drawer 1 - missing rollers on the front sides (broken)</t>
  </si>
  <si>
    <t xml:space="preserve">10/23 - -Upon arrival, coordinated with MOD regarding POS B Cash Drawer 1 issue.
-Confirmed missing rollers on Cash Drawer 1.
-Proceeded with the replacement of Cash Drawer 1.
-Tested the new cash drawer through OPOS and LS NAV – result OK.
-Verified and confirmed by MOD.
-Work completed.
</t>
  </si>
  <si>
    <t xml:space="preserve">Replaced Cash Drawer 1.
</t>
  </si>
  <si>
    <t>cash drawer</t>
  </si>
  <si>
    <t>Millard Monzon &amp; John Loyd R. Tapia</t>
  </si>
  <si>
    <t>Bong Penados</t>
  </si>
  <si>
    <t xml:space="preserve">FSBP00127738 </t>
  </si>
  <si>
    <t>PP 7600 X</t>
  </si>
  <si>
    <t>PPIA1370</t>
  </si>
  <si>
    <t xml:space="preserve">10/22 -Coordinated with MOD upon arrival to inspect POS B printer
-Identified issue: broken printer hook preventing print operation
-Replaced the defective printer with a new unit
-Performed and verified the following tests:
*Self-print test
*OPOS
*LSNav
-All tests passed successfully
-Confirmed with MOD
-Work completed
</t>
  </si>
  <si>
    <t>Printer replaced</t>
  </si>
  <si>
    <t>PPP81961</t>
  </si>
  <si>
    <t xml:space="preserve">FSBP00127572 </t>
  </si>
  <si>
    <t>M70q Gen5</t>
  </si>
  <si>
    <t>GM0Z9PQ7</t>
  </si>
  <si>
    <t>MWS - Back office credentials expired</t>
  </si>
  <si>
    <t>10/20 HD Mai: Advise unit is under warranty
10/22 SD update: Upon checking, the MWS was provided by RCOC, while only the cup labelers were supplied by the Lenovo team.
10/22 Upon Checking, Mws user "Backoffice" cant log in due to password expiration.
conduct undomain mws unit, config "backoffice" user password never expire.
conduct redomain mws but error occured "Account with the same name exists in Active Directory".
Rcoc Christian conducts remotely for the redomain mws unit.
mod confirmed "backoffice" user logs in with no error
call close.</t>
  </si>
  <si>
    <t>Reconfigured the “Backoffice” user</t>
  </si>
  <si>
    <t>Loid Velazquez</t>
  </si>
  <si>
    <t>FSBP00127773</t>
  </si>
  <si>
    <t xml:space="preserve">Tab M10 HD </t>
  </si>
  <si>
    <t>HA1LHNC6</t>
  </si>
  <si>
    <t>Authentication problem and it has been reset</t>
  </si>
  <si>
    <t>10/22 Check the reported unit, confirmed tablet has been reset.
- Perform factory reset
- Installed and tested default applications.
- Tablet connected to Sbux delivery SSID.
- Set up MS authenticator application.
- Check tablet status if compliant, no response from RCOC.
- Turnover the new configured tablet to MOD with working applications.
- MOD confirmed tablet is now working.
- Tablet compliance for checking of RCOC tech.</t>
  </si>
  <si>
    <t>setup tablet</t>
  </si>
  <si>
    <t>FSBP00126134</t>
  </si>
  <si>
    <t>SB113</t>
  </si>
  <si>
    <t>PEARL PLAZA - PEARL DRIVE</t>
  </si>
  <si>
    <t>10FG-S1R501</t>
  </si>
  <si>
    <t xml:space="preserve">PC0D6Z2A
</t>
  </si>
  <si>
    <t>10/22 upon arrival coordinate to MOD
-wait for signal og MOD to start isolation
-START isolation found BOS Lan status is 100MBPS only
-ask MOD if no available transaction to made need to disconnect BOS 
-  terminate lan cable and re connect
- recrimped RJ45
-check LAN status of LAN in BOS found in 1GBs now
-observe while MOD conducts transaction  
-test by MOD.</t>
  </si>
  <si>
    <t xml:space="preserve">terminate BOS lan cable </t>
  </si>
  <si>
    <t xml:space="preserve"> Cindy Gonzaga</t>
  </si>
  <si>
    <t>FSBP00127782</t>
  </si>
  <si>
    <t>MERAKI</t>
  </si>
  <si>
    <t>600-99010</t>
  </si>
  <si>
    <t xml:space="preserve"> Q3AJ-8D5K-SDZC</t>
  </si>
  <si>
    <t xml:space="preserve"> Check spare lan cable wifi access point - Oct. 23, 2025 10am onwards</t>
  </si>
  <si>
    <t>10/23 -Upon arrival, checked Meraki AP – found it was down.
-Checked LAN cable end-to-end – result good.
-Re-crimped and checked end-to-end again – result good.
-Meraki AP still down.
-Waited for customer to decrease.
-Checked spare LAN cable at menu board.
-Re-crimped and tested end-to-end – result good.
-Meraki AP is now up.
-Tested all SSIDs – all working properly.
-Checked by Sir Bryan and acknowledged.
-Work done.</t>
  </si>
  <si>
    <t xml:space="preserve">Re-crimped and replaced the LAN cable.
</t>
  </si>
  <si>
    <t>Karlo Reyes</t>
  </si>
  <si>
    <t>FSBP00127803</t>
  </si>
  <si>
    <t>PC0QW7TT</t>
  </si>
  <si>
    <t xml:space="preserve"> BOS - Connectivity Issue</t>
  </si>
  <si>
    <t>10/23 upon arrival coordinate mod
-Proceed to back office 
-Power up bos
-Ping on mws server ,pos A &amp; B 
-Restart Pos A &amp; B Nav 
-Check connectivity 1gbs
-Coordinate rcoc -confirmed
-Testing mod login successful verification pos A &amp; B
-Transact customers orders successful 
-Work done
-Call Closed</t>
  </si>
  <si>
    <t>Power-up Bos</t>
  </si>
  <si>
    <t>FSBP00127783</t>
  </si>
  <si>
    <t>KSL40340</t>
  </si>
  <si>
    <t>KDS - Error "Connecting to server"</t>
  </si>
  <si>
    <t>10/23 Upon arrival, KDS ping unreachable.
--Checked KDS lan cable no led indicator in 24switch port 7.
-Resocket Lan cable to 24 switch port7.
-KDS is now pingable and operational 
-Work Done.</t>
  </si>
  <si>
    <t>Resocket Lan cable to 24Switch Port7.</t>
  </si>
  <si>
    <t xml:space="preserve"> Jessah Arangez</t>
  </si>
  <si>
    <t xml:space="preserve">FSBP00127972 </t>
  </si>
  <si>
    <t>SB500</t>
  </si>
  <si>
    <t>AVIDA TOWERS VERTE</t>
  </si>
  <si>
    <t>4CE84403CQ</t>
  </si>
  <si>
    <t xml:space="preserve">BOS RAM Upgrade Activity for 500-Avida Towers Verte
</t>
  </si>
  <si>
    <t xml:space="preserve">10/24 -Coordinated with MOD upon arrival and informed them regarding the BOS memory replacement.
-Collected BOS machine details, including computer name and hardware specifications.
-Properly shut down the BOS unit and disconnected it from the power source.
-Removed the existing memory modules and installed new 32 GB RAM (2 × 16 GB).
-Cleaned the memory slot contacts and ensured proper seating of the new RAM modules.
-Booted the BOS and verified successful system startup.
-Confirmed that Windows recognized the full 32 GB memory capacity.
-Checked system performance and resource utilization via Task Manager.
-Verified BOS connectivity to POS A and POS B.
-Conducted test transactions from POS units to confirm BOS communication.
-Observed BOS performance for 30 minutes — confirmed stable.
</t>
  </si>
  <si>
    <t>Removed the existing memory modules and installed new 32 GB RAM (2 × 16 GB)</t>
  </si>
  <si>
    <t>KF432C16BB1</t>
  </si>
  <si>
    <t>HX424C1GFB2</t>
  </si>
  <si>
    <t xml:space="preserve"> Marlon Lee</t>
  </si>
  <si>
    <t>Adrien Baraquel</t>
  </si>
  <si>
    <t xml:space="preserve">FSBP00127841 </t>
  </si>
  <si>
    <t>SB330</t>
  </si>
  <si>
    <t>SM LANANG - 2F - DAVAO CITY</t>
  </si>
  <si>
    <t>HA1Q6PCX</t>
  </si>
  <si>
    <t>Store Tablet 2 - Auto Reset/Back to default (Set a new screen lock prompt)</t>
  </si>
  <si>
    <t xml:space="preserve">10/23 -Upon arrival, coordinated with MOD regarding the issue.
-Set a new screen lock password.
-Authenticator is now working properly.
</t>
  </si>
  <si>
    <t xml:space="preserve">Set a new screen lock password.
</t>
  </si>
  <si>
    <t xml:space="preserve">Jonname Torreon
</t>
  </si>
  <si>
    <t>FSBP00127839</t>
  </si>
  <si>
    <t>HVA1N263</t>
  </si>
  <si>
    <t>Store Tablet 1 - Auto Reset/Back to default (Set a new screen lock prompt)</t>
  </si>
  <si>
    <t xml:space="preserve">FSBP00128277 </t>
  </si>
  <si>
    <t>BOS and SDD Upgrade Activity for 309-St Charbel Oct 27 closing 2:00AM going to Oct 28 Opening 6:00AM ( Monday closing going to Tuesday Opening).</t>
  </si>
  <si>
    <t>10/27-28 Coordinated with the MOD upon arrival and informed them of the scheduled BOS SSD installation and memory upgrade activity.
- Verified current system specifications and gathered BOS machine details including computer name, IP configuration, and host file entries.
- Properly shut down the BOS unit and disconnected it from the power source.
- Installed an additional 2pcs 16 GB RAM module to enhance system performance and multitasking capability.
- Cleaned the memory slot contacts before installation and ensured proper seating of the RAM module.
- Installed a new SSD with pre-image ready.
- Powered on the BOS unit and verified successful system boot — confirmed that both the SSD and the new total memory were detected in BIOS and Windows.
- Checked system performance and resource utilization through Task Manager — system running smoothly with improved response time.
- Restored all backed-up configurations:
  Computer Name (matched previous setup)
  Static IPv4 Address
  Host file entries under C:\Windows\System32\drivers\etc
- Checked network connectivity — initially observed BOS link speed at 100 Mbps; issue was resolved after re-crimping the LAN cable, restoring stable 1.0 Gbps connection.
- Verified BOS to MWS, POS A, and POS B communication — all connections confirmed stable at 1.0 Gbps after correction.
- Observed BOS operation for 20 minutes — no lag, errors, or connection drops encountered during testing and transaction</t>
  </si>
  <si>
    <t>BOS upgrade successfully completed (RAM &amp; SSD upgrade)</t>
  </si>
  <si>
    <t>SSD, RAM</t>
  </si>
  <si>
    <t>K003245 &amp; K003314, 1F2505160071846</t>
  </si>
  <si>
    <t>KCP424ND8</t>
  </si>
  <si>
    <t>1:46 AM, 4:10 AM</t>
  </si>
  <si>
    <t>2:19 AM, 5:15 AM</t>
  </si>
  <si>
    <t>Mary Ruth</t>
  </si>
  <si>
    <t>FSBP00126705</t>
  </si>
  <si>
    <t>HA1Q6QPW</t>
  </si>
  <si>
    <t>Store tablet (HA1QGQPW) - locked and asking to reset password</t>
  </si>
  <si>
    <t>10/23 Upon arrival, Coordinate to MOD, Proceed to reset/factory reset and continue to log in gmail/account and trying the new account until we reached to install and test applications etc., revoke email/signout mws and login scan;
Work done.</t>
  </si>
  <si>
    <t>thalea casandang</t>
  </si>
  <si>
    <t>FSBP00127864</t>
  </si>
  <si>
    <t>HVA1N4LQ</t>
  </si>
  <si>
    <t>Store tablet (HVA1N4LQ) - locked and asking to reset password</t>
  </si>
  <si>
    <t xml:space="preserve">FSBP00127858 </t>
  </si>
  <si>
    <t xml:space="preserve"> Smart LTE Deployment</t>
  </si>
  <si>
    <t xml:space="preserve">10/24 -Coordinated with Asset team upon arrival.
-Received the LTE device.
-Performed standalone testing of the LTE unit.
-Terminated connection to WAN 1 of Meraki MX.
-Conducted a speed test to verify LTE performance.
-Work completed successfully.
</t>
  </si>
  <si>
    <t xml:space="preserve">Terminated connection to WAN 1 of Meraki MX.
</t>
  </si>
  <si>
    <t>SD Maja</t>
  </si>
  <si>
    <t>FSBP00127905</t>
  </si>
  <si>
    <t>PC0D6YY9</t>
  </si>
  <si>
    <t>BOS Upgrade Activity for 102-Robinsons Place Manila L1 - Oct 23 closing from 12:30MN going to Oct 24 Opening 5:00AM</t>
  </si>
  <si>
    <t>10/23 - Upon arrival coordinate to MOD
- Wait for signal go MOD to start BOS upgrade
- START activity at 02:05 am
- Get details of Lan IP, computer name &amp; save host file
- Acknowledge in GC to PASI to start for backup data
- Shutdown BOS for installation of SSD and 2 memory with 16GB size each
- Power on and set bios setting of SSD in 1st boot
- Set IP to static and input Lan details
- Set computer name
- Restart BOS
- After power on call PASI to restore backup date and configure BOS
- Problem encountered the backup file cant locate
- Power off BOS and boot from Old OS (HDD)
- Call PASI and conduct backup back up files again
- After done backup of PASI power off BOS with ssd in 1st boot
- Call for PASI for restoring data backup and configure
- Process done in 4:25 am in PASI
- Due to no available personnel to redomain call SD to support but have problem in teamviewer cant connect some problem error in there side
- Call out for RCOC support to conduct redomain
- Successfully redomain BOS server restart all devices and ready for testing.
- Test all devices by partners and MOD
- 1st transaction smooth according to partners observe for other transactions in discounted partners, GCASH, MAYA &amp; Other ONLINE Payment in CARD.
- According to partners some delay online payment but in seconds on but in cash is fast as before.
- Done observation
- Done in 1st cash out</t>
  </si>
  <si>
    <t>BOS upgrade successfully completed (SSD and RAM upgrade)</t>
  </si>
  <si>
    <t xml:space="preserve"> Miggy Mandani</t>
  </si>
  <si>
    <t>FSBP00127716</t>
  </si>
  <si>
    <t>KSIB0028</t>
  </si>
  <si>
    <t>POS A error- POS Unresponsive</t>
  </si>
  <si>
    <t xml:space="preserve">10/24 -Upon arrival, POS A was operational.
-As per MOD, they experienced intermittent connection issues.
-Checked POS connections and confirmed continuous ping from BOS.
-Verified BOS HDD and memory usage in Task Manager — both within normal parameters.
-Observed POS A for stability.
-Work completed.
</t>
  </si>
  <si>
    <t xml:space="preserve">Verified stable connection and continuous ping from BOS and confirmed BOS HDD and memory usage were normal.
</t>
  </si>
  <si>
    <t>Robert Dela Cruz</t>
  </si>
  <si>
    <t>FSBP00127870</t>
  </si>
  <si>
    <t>KSIB0003</t>
  </si>
  <si>
    <t>POS B- POS Unresponsive</t>
  </si>
  <si>
    <t xml:space="preserve">10/24 -Upon arrival, POS B was operational.
-As per MOD, they encountered intermittent connection issues.
-Checked POS connections and confirmed continuous ping from BOS.
-Verified BOS HDD and memory usage in Task Manager — both within normal parameters.
-Observed POS B for stability.
-Work completed.
</t>
  </si>
  <si>
    <t>FSBP00126891</t>
  </si>
  <si>
    <t xml:space="preserve">HA1LEKNR </t>
  </si>
  <si>
    <t>Store Tablet - Reset to default encountered Oct-12 202</t>
  </si>
  <si>
    <t>10/24 -Coordinated with MOD upon arrival.
-Checked the cash drawer alignment issue.
-Proceeded to set up and install all required applications on the tablet.
-Requested RCOC 8-digit code for setup.
-Configured Authenticator app for security.
-Coordinated with MOD regarding security policy compliance.</t>
  </si>
  <si>
    <t xml:space="preserve">Factory reset performed on the tablet and all applications successfully reinstalled.
</t>
  </si>
  <si>
    <t>Lovella Angel Uy</t>
  </si>
  <si>
    <t>FSBP00127777</t>
  </si>
  <si>
    <t>SB680</t>
  </si>
  <si>
    <t>FILINVEST AVE DT</t>
  </si>
  <si>
    <t>6MQ7524524001516</t>
  </si>
  <si>
    <t>DITO LTE Delivery</t>
  </si>
  <si>
    <t xml:space="preserve">10/22 HD - Ack waiting for unit to received c/o Asset
10/24 -Coordinated with Asset team upon arrival.
-Received DITO LTE device.
-Terminated DITO installation in POS D area.
-Conducted standalone test of the LTE device.
-Performed speed test to verify connectivity.
-Work completed on-site.
</t>
  </si>
  <si>
    <t xml:space="preserve">Terminated DITO installation in POS D area.
</t>
  </si>
  <si>
    <t>Ojmar Lopez</t>
  </si>
  <si>
    <t>FSBP00127800</t>
  </si>
  <si>
    <t>15153B1E04</t>
  </si>
  <si>
    <t>POS A Barcode Scanner - Request for replacement of POS A Thermal scanner / Not working and needed to plug in and unplug again</t>
  </si>
  <si>
    <t xml:space="preserve">10/23 waiting for SD iso
10/24 for onsite
10/24 -Upon arrival, received the new scanner.
-Removed the old scanner and installed the new one.
-Performed testing — scanner working properly.
-MOD reported that both POS credit card payments were not pushing through LS Nav.
-Reported the issue to PASI for further assistance.
-PASI performed configuration and restarted both POS units.
-After restart, MOD tested both POS — transactions successful.
-Pulled out the old scanner for return.
-Work completed.
</t>
  </si>
  <si>
    <t xml:space="preserve">Replaced defective scanner with new unit.
</t>
  </si>
  <si>
    <t>Barcode Scanner</t>
  </si>
  <si>
    <t>15162B1C27</t>
  </si>
  <si>
    <t>Jeyes Sito</t>
  </si>
  <si>
    <t>FSBP00127927</t>
  </si>
  <si>
    <t>41-VC963</t>
  </si>
  <si>
    <t>POS B Autoshutdown</t>
  </si>
  <si>
    <t>10/24 - Upon arrival coordinate to MOD for POS B checking
- Upon arrival POS B is up and working
- Check HDD status thru sentinel; 100 health stats
- Check event viewer; found history of unexpected shutdown
- Check power plan settings; sleep is set to never
- Proceed securing of all cables and components
- Clean RAM
- Check power source voltage; good
- Power on POS B
- Printer error appears during loading of LSNAV; unable to detect
- Reseat printer cable
- Restart again; no error appears
- Check network status
- POS Hub is connected
- Reseat &amp; recrimp LAN cable of POS B both ends
- Observe for 20 mins; no unexpected shutdown occur
- Verify to MOD
- Work Done</t>
  </si>
  <si>
    <t>Clean ram and reseat components</t>
  </si>
  <si>
    <t>8:14 PM, 10:10 PM</t>
  </si>
  <si>
    <t>8:44 PM, 10:30 PM</t>
  </si>
  <si>
    <t>Dionne Alhambra</t>
  </si>
  <si>
    <t>FSBP00127938</t>
  </si>
  <si>
    <t>SB514</t>
  </si>
  <si>
    <t xml:space="preserve">ONE GRIFFINSTONE BUILDING
</t>
  </si>
  <si>
    <t xml:space="preserve">PP-7600
</t>
  </si>
  <si>
    <t>PPI31186</t>
  </si>
  <si>
    <t xml:space="preserve">POS A and POS B printer - wont print
</t>
  </si>
  <si>
    <t xml:space="preserve">10/24 -Coordinated with MOD upon arrival for POS printer checking.
-Verified that POS A printer was working upon arrival.
-Performed test prints via LS NAV, OPOS, and self-print — all successful.
-Conducted stress test on POS A printer — results were satisfactory.
-Checked power cable connections — all secure.
-Verified findings with MOD.
-Work completed.
</t>
  </si>
  <si>
    <t>Performed test prints via LS NAV, OPOS, and self-print — all successful.</t>
  </si>
  <si>
    <t xml:space="preserve">FSBP00127976 </t>
  </si>
  <si>
    <t>PPI31182</t>
  </si>
  <si>
    <t>10/24 -Coordinated with MOD upon arrival for POS B printer checking.
-Found that the POS B printer could not open or print.
-Performed printer cleaning; issue persisted.
-Replaced the defective POS B printer with a new unit.
-Conducted self-print, OPOS, and LS NAV tests — all successful.
-Verified with MOD that the new printer was functioning properly.
-Work completed.</t>
  </si>
  <si>
    <t xml:space="preserve">Replaced defective POS B printer.
</t>
  </si>
  <si>
    <t>printer</t>
  </si>
  <si>
    <t>PPP81956</t>
  </si>
  <si>
    <t>FSBP00127432</t>
  </si>
  <si>
    <t>Elitedesk 800 G4 SFF</t>
  </si>
  <si>
    <t>4CE9140KM5</t>
  </si>
  <si>
    <t>BOS RAM Upgrade Activity for 520-Robinsons Magnolia Level 1 Oct 24 business closing from 12:00MN going  to  2AM of Oct 25. (Friday going Saturday)</t>
  </si>
  <si>
    <t>10/25 - Upon arrival coordinate to MOD before we proceed with BOS Ram Upgrade
- Proceed to mall admin for permit
- Check and Ping all tech devices (POS A, B, MWS, BOS)
- Checked on Task manager the usage of Memory.
- Checked network connection encountered 1GB
- 100% Usage on memory
- Upgraded RAM from 8gb to 32gb
- Run task manager &amp; checked usage from 100% on 8gb down to 6.2% on 32gb
- Observed BOS, MWS, POS A &amp; B
- Ping all tech devices
- Checked Connection of network encountered 1GB
- Work done</t>
  </si>
  <si>
    <t>BOS upgrade successfully completed (RAM upgrade)</t>
  </si>
  <si>
    <t>Niel Bondoc</t>
  </si>
  <si>
    <t xml:space="preserve">FSBP00127952 </t>
  </si>
  <si>
    <t>4CE9140KM3</t>
  </si>
  <si>
    <t>BOS RAM Upgrade Activity for  515 MADISON GALERIES Oct 24 business closing from 11:00PM going  to  1:00AM of Oct 25. (Friday closing  going Saturday )</t>
  </si>
  <si>
    <t>10/25 - Upon arrival coordinate to MOD for BOS RAM Upgrade
- Pause time upon arrival
- Ping all tech devices (POS A, B, MWS, BOS)
- Checked on task manager the usage of Memory, Drive C &amp; Drive D
- Checked network connection encountered 1GB
- 100% Usage on memory
- Replaced &amp; upgraded RAM from 8gb to 32gb
- Run task manager &amp; checked usage from 100% on 8gb down to 3.8% on 32gb
- Observed behavior of BOS, MWS, POS A &amp; B
- Ping all tech devices
- Checked Connection of network encountered 1GB
- Work done</t>
  </si>
  <si>
    <t>Maria Angelique Palma</t>
  </si>
  <si>
    <t xml:space="preserve">FSBP00127962 </t>
  </si>
  <si>
    <t>4CE9241XY2</t>
  </si>
  <si>
    <t>BOS upgrade Activity for 534 ESTANCIA MALL Oct 27 business closing from 12:00MN going to 2:00AM of Oct 28. (Monday closing going Tuesday )</t>
  </si>
  <si>
    <t>10/27-28 upon arrival coordinate to MOD
-start activity in 01:10 am
-take before of BOS details for Task manager, event viewer, desktop properties  and check LAN speed found in 1gbps
-shutdown BOS and upgrade memory
-after boot up normally get after BOS details
           -task manager
           -event viewer
           -lan speed
           -desktop properties
           -power source voltage in UPS
           -all found ok
-testing for printing jet report both POS not possible due to MOD not available.</t>
  </si>
  <si>
    <t>Patricia Sencio</t>
  </si>
  <si>
    <t>FSBP00127835</t>
  </si>
  <si>
    <t xml:space="preserve"> ROBINSONS PLACE MANILA ATRIUM</t>
  </si>
  <si>
    <t>Printing format issue</t>
  </si>
  <si>
    <t>PPM83925</t>
  </si>
  <si>
    <t xml:space="preserve"> POS A Printer - Cut Print Out
</t>
  </si>
  <si>
    <t>10/25 - Coordinate with MOD
- Proceed to check the reported device
- Check and Test print (unaligned and continues cutting)
- Replace printer and install new OPOS driver
- Coordinate with PASI for double checking
- Pull out defective printer</t>
  </si>
  <si>
    <t>replaced POS A printer and pull out defective</t>
  </si>
  <si>
    <t>PPP81980</t>
  </si>
  <si>
    <t>Kim Ballon</t>
  </si>
  <si>
    <t>FSBP00127955</t>
  </si>
  <si>
    <t>SB475</t>
  </si>
  <si>
    <t>ILOILO FESTIVE WALK MALL</t>
  </si>
  <si>
    <t>41VA450</t>
  </si>
  <si>
    <t>10/25 - Upon arrival coordinated with MOD.
- Upon checking POS A is UP
- Checked power cord and PSU cable.
- Power cord and cables are properly inserted.
- Cables are also good.
- Checked the power supply voltage and was good.
- Pingtest POS A and BOS continuously and was good
- Observed for an hour and there was no problem in POS A.</t>
  </si>
  <si>
    <t>Justin Louis Eudela</t>
  </si>
  <si>
    <t>FSBP00127970</t>
  </si>
  <si>
    <t xml:space="preserve"> ROBINSONS GALLERIA SOUTH</t>
  </si>
  <si>
    <t>CDIBI104</t>
  </si>
  <si>
    <t>POS A Scanner - unable to read barcode or unable to scan</t>
  </si>
  <si>
    <t>10/25 - Coordinate with MOD
- Upon arrival, POS A scanner is working.
- Secure scanner usb cable.
- Advised MOD to avoid hit the scanner usb cable by fake bill detector.
- Work done.</t>
  </si>
  <si>
    <t>Secured cable</t>
  </si>
  <si>
    <t>FSBP00127719</t>
  </si>
  <si>
    <t>Tab M10 HD</t>
  </si>
  <si>
    <t>HVA1N4LT</t>
  </si>
  <si>
    <t>Store tablet requires to login a Gmail account</t>
  </si>
  <si>
    <t>10/25 -Upon arrival, coordinated with MOD.
-Performed factory reset on the tablet.
-Logged in using a Gmail account; created and tested new account credentials.
-Installed and tested necessary applications.
-Revoked email/sign-out from MWS and performed login scan test.
-Verified device functionality — all working properly.</t>
  </si>
  <si>
    <t xml:space="preserve">Tablet successfully reset and configured with new Gmail account.
</t>
  </si>
  <si>
    <t>11:05 AM, 12:00 PM</t>
  </si>
  <si>
    <t>12:00 PM, 1:00 PM</t>
  </si>
  <si>
    <t>FSBP00127930</t>
  </si>
  <si>
    <t>GP8G874</t>
  </si>
  <si>
    <t>POS C -Network Unavailable</t>
  </si>
  <si>
    <t xml:space="preserve">10/25 - Upon arrival coordinate to MOD
- Checked connection of all tech devices all Up except POS C
- Checked Lan port of POS C- Good
- Checked Rj45 of Lan Cable- Good
- Reseat Lan cable of POS C- issue resolved
- Ping POS C, reachable &amp; pingable
- Checked network connection encountered 1GB
- Coordinate with PASI to cross checked POS C for other issue- cleared
- Ping all tech devices
- Standby support for 1hr as MOD requested
- Work done
</t>
  </si>
  <si>
    <t>Reseat lan cable of POS C</t>
  </si>
  <si>
    <t>Michelle Pineda Abo</t>
  </si>
  <si>
    <t xml:space="preserve">FSBP00128003 </t>
  </si>
  <si>
    <t>SB669</t>
  </si>
  <si>
    <t>PARK MALL MANDAUE</t>
  </si>
  <si>
    <t>CD0L0B4</t>
  </si>
  <si>
    <t>BOS Server - Connection (Unreachable)</t>
  </si>
  <si>
    <t>10/25 -Coordinated with MOD upon arrival.
-Checked BOS LAN and power connections.
-Ping test from MWS resulted in RTO.
-Coordinated with the team; found that BOS OS was corrupted.
-Purchased a DisplayPort cable and connected MWS monitor to BOS.
-Booted BOS in Safe Mode, then restarted.
-Performed ping test from MWS to BOS, POS A, and POS B – all successful.</t>
  </si>
  <si>
    <t xml:space="preserve">Opened BOS using monitor, accessed Recovery Mode, and restored normal operation.
</t>
  </si>
  <si>
    <t>Tahj Encluna</t>
  </si>
  <si>
    <t xml:space="preserve">FSBP00128009 </t>
  </si>
  <si>
    <t>Elitedesk 800 G4</t>
  </si>
  <si>
    <t>10/25 -Coordinated with MOD regarding the reported ticket.
-Verified that both POS terminals were operational upon arrival.
-As per MOD, no power fluctuation occurred prior to the incident.
-The issue encountered involved assigning partners in POS, which was already escalated to PASI and resolved.
-Performed system isolation and checks:
*Ethernet status – 1 Gbps (normal)
*UPS output – normal
*HDD status – no bad sectors
*UPS machine – operating above normal
*Event Viewer – no power-related errors detected
*Continuous ping test for both POS – no RTO encountered</t>
  </si>
  <si>
    <t>BOS verified operational and stable before and after isolation.</t>
  </si>
  <si>
    <t>FSBP00128111</t>
  </si>
  <si>
    <t xml:space="preserve">MATALINO </t>
  </si>
  <si>
    <t>PC0D6YY4</t>
  </si>
  <si>
    <t>BOS Upgrade Activity for 243-Matalino October 25  from  2:00AM going Oct  26 opening 6:00AM (Saturday going Sunday)</t>
  </si>
  <si>
    <t>10/21 HD Jave: Store reqeust to resched</t>
  </si>
  <si>
    <t>3:20 AM, 5:11 AM</t>
  </si>
  <si>
    <t>3:35 AM, 5:43 AM</t>
  </si>
  <si>
    <t>Sam Ordona</t>
  </si>
  <si>
    <t xml:space="preserve">FSBP00127929 </t>
  </si>
  <si>
    <t>EliteDesk800 G4 SFF</t>
  </si>
  <si>
    <t>BOS RAM Upgrade Activity for 516 -Mega One Oct 25 business closing from 12:00MN going  to  2:00AM of Oct 26. (Saturday closing  going Sunday )</t>
  </si>
  <si>
    <t xml:space="preserve">10/25-26 - Upon arrival coordinate to MOD
- Start activity in 12:30 am
- Take before of BOS details for Task manager, event viewer, desktop properties, lan HDD sentinel and check LAN speed found in 1gbps
- Shutdown BOS and upgrade memory
- After boot up normally get after BOS details
           -task manager
           -event viewer
           -lan speed
           -desktop properties
           -power source voltage in UPS
           -run also DHH sentinel
- All found ok
- Test all connections and test print JET report to both POS found ok
- Work done and tested all by MOD.
</t>
  </si>
  <si>
    <t>Jwergen Caringal</t>
  </si>
  <si>
    <t xml:space="preserve">10/25 -Upon arrival, POS B was operational.
-As per MOD, both POS A and POS B became unresponsive three times during the day.
-Coordinated with TSG (Brent) for further assistance.
-Checked BOS, POS A, and POS B network speed – confirmed at 1Gb.
-Performed continuous ping tests to 8.8.8.8 and between POS A &amp; B – connection stable.
-Verified no hardware or connectivity drops during testing.
-Turned off the Domain Profile firewall as a preventive measure.
-Advised MOD that the issue will be reported to Trends for monitoring and further analysis.
-Work completed; all systems confirmed operational.
</t>
  </si>
  <si>
    <t xml:space="preserve">Checked system performance and verified that there were no connectivity drops during testing.
</t>
  </si>
  <si>
    <t>POS A- POS Unresponsive</t>
  </si>
  <si>
    <t xml:space="preserve">10/25 -Upon arrival, POS A was found to be operational.
-As per MOD, both POS A and POS B became unresponsive three times during the day.
-Coordinated with TSG (Brent) for further checking and assistance.
-Verified the BOS, POS A, and POS B network connection speed – confirmed at 1Gb.
-Conducted a continuous ping test to 8.8.8.8 and between POS A &amp; B – both stable.
-Checked system performance and verified that there were no connectivity drops during testing.
-Turned off the Domain Profile firewall to prevent possible interference.
-Advised MOD that the issue will be reported to Trends for monitoring and further investigation.
-Work completed and system confirmed operational.
</t>
  </si>
  <si>
    <t xml:space="preserve">FSBP00128040 </t>
  </si>
  <si>
    <t>4CFW4DAV</t>
  </si>
  <si>
    <t xml:space="preserve">MWS computer wiring is grounded, causing the unit to automatically shut down
</t>
  </si>
  <si>
    <t>10/26 - Upon arrival coordinate MOD
- Proceed checking back office MWS
- Found that the power cable was loose.
- Turned off the equipment, unplugged it, and re-plugged it into the socket. 
- Ensured the connection was secure by pressing it in tightly.
- Work done</t>
  </si>
  <si>
    <t>secured power cable by resocket and tightening it</t>
  </si>
  <si>
    <t>FSBP00126824</t>
  </si>
  <si>
    <t>RTO51866</t>
  </si>
  <si>
    <t>POS B Maya- Shows "communication error timeout"</t>
  </si>
  <si>
    <t>10/26 -Arrived on site and coordinated with MOD.
-Replaced data cable, power cable, terminal, and cradle.
-Tested ECR connection.
-Installed necessary drivers.
-Device successfully detected.
-Configured by PASI.
-Tested other USB ports.
-Recommended replacement of all PayMaya devices.
-Root cause identified: Data cable needed to be re-socketed before the Maya terminal could function properly.
-Work completed.</t>
  </si>
  <si>
    <t xml:space="preserve">Performed full troubleshooting and replacement of necessary cables and devices. Maya terminal communication issue resolved after re-socketing data cable and configuration.
</t>
  </si>
  <si>
    <t xml:space="preserve">12:00 PM, 1:00 PM </t>
  </si>
  <si>
    <t xml:space="preserve">1:00 PM, 1:20 PM
</t>
  </si>
  <si>
    <t>Alvin Paigna</t>
  </si>
  <si>
    <t>FSBP00127401</t>
  </si>
  <si>
    <t>60-18378</t>
  </si>
  <si>
    <t>POS B drawer 1 (broken till drawer)</t>
  </si>
  <si>
    <t>10/26 - Upon arrival, checked POS B drawer 1 is broken
- Per MOD after they pull, the till suddenly broken
- Opening automatically
- Waiting for parts
- Deliver and install new till
- Tested by MOD; good
- Defective parts advised MOD to deliver it to tech
- Work done</t>
  </si>
  <si>
    <t>replaced till tray of POS B Drawer 1</t>
  </si>
  <si>
    <t>Till Tray</t>
  </si>
  <si>
    <t>Lupe Zaine</t>
  </si>
  <si>
    <t>FSBP00128079</t>
  </si>
  <si>
    <t>SB417</t>
  </si>
  <si>
    <t>VISTA MALL ANTIPOLO</t>
  </si>
  <si>
    <t>Tablet M10</t>
  </si>
  <si>
    <t>HA1LJ6QC</t>
  </si>
  <si>
    <t>10/26 -Upon arrival, coordinated with the MOD.
-Performed factory reset on the tablet.
-Set up the tablet using the provided email and 8-digit code.
-Installed and configured all required applications: QR Scanner, RCOC Learning, Files, OneDrive, and Quick Support.
-Configured authenticator and tested functionality with MOD witnessing; confirmed working properly.</t>
  </si>
  <si>
    <t xml:space="preserve">-Installed and configured all required applications: QR Scanner, RCOC Learning, Files, OneDrive, and Quick Support.
</t>
  </si>
  <si>
    <t>Michole Espinueva</t>
  </si>
  <si>
    <t>FSBP00128085</t>
  </si>
  <si>
    <t>PP-7600</t>
  </si>
  <si>
    <t>PPL31282</t>
  </si>
  <si>
    <t>POS D Printer - won't print due to a clip part inside the printer is broken</t>
  </si>
  <si>
    <t>10/26 -Upon arrival, coordinated with MOD.
-Checked printer status; found a broken hook on the left side.
-Confirmed printer is out of warranty.
-Waited for the replacement printer to arrive.
-Received and set up the replacement printer.
-Installed printer driver.
-Performed test print – successful.
-Reprinted receipt – successful.
-Work completed.</t>
  </si>
  <si>
    <t xml:space="preserve">Received and set up the replacement printer.
</t>
  </si>
  <si>
    <t>POS printer</t>
  </si>
  <si>
    <t>PPP81967</t>
  </si>
  <si>
    <t>John Carlo Dallan</t>
  </si>
  <si>
    <t xml:space="preserve">FSBP00127833 </t>
  </si>
  <si>
    <t xml:space="preserve"> 4CE9241XY4</t>
  </si>
  <si>
    <t>BOS RAM Upgrade Activity for 524 - Filinvest Axis Oct 27 before store opening from 5:00AM to 6:00AM (Monday)</t>
  </si>
  <si>
    <t>10/27 Upon arrival coordinate to MOD for BOS Ram Upgrade
- Pause Time upon arrival
- Ping all tech devices( Pos A, B, MWS, BOS)
- Checked on Task manager the usage of Memory, Drive C &amp; Drive D
- Checked network connection encounterd 1GB
- 100% Usage on memory
- Replaced &amp; Upgraded Ram from 8gb to 32gb
- Run task manager &amp; checked usage from 100% on 8gn down to 3.8% on 32gb
- Observed behavior of BOS, Mws, POS A &amp; B
- Ping all tech devices
- Checked Connection of network encountered 1GB
- Work done</t>
  </si>
  <si>
    <t>Stephanie Pascual</t>
  </si>
  <si>
    <t>FSBP00128131</t>
  </si>
  <si>
    <t>PC0JRPT7</t>
  </si>
  <si>
    <t>BOS Upgrade Activity for 446-SMDC Grace Residences Oct 26 business closing 2:00AM going to Oct 27 Opening 6:00AM ( Sunday closing going to Monday Opening).</t>
  </si>
  <si>
    <t>10/27 arrive at store coordinate with mod end of day reporting
- start activity 0300
- conduct ram upgrade first before pasi backup DB of bos unit.
- Pasi conduct DB Backup
- Take note/record all config of old hdd
- Install SSD as Primary &amp; HDD as Secondary Storage.
- config/setup IP, PCNAME, Teamviewer of Bos with the New SSD.
- Pasi Restore DB backup and Config Bos NAV
- Join Domain Done 0528
- test pos with mod, mod confirmed pos is working properly.
- store opening 0600
- Observe Customer Transactions,
- First Cashout 1030 done no problems encountered.</t>
  </si>
  <si>
    <t>K003531/K003523/1F2507300070304</t>
  </si>
  <si>
    <t xml:space="preserve"> M378A1K43CB2</t>
  </si>
  <si>
    <t>Mike Vito Cruz</t>
  </si>
  <si>
    <t xml:space="preserve">FSBP00128104 </t>
  </si>
  <si>
    <t>CDNBI362</t>
  </si>
  <si>
    <t>POS B Barcode Scanner - Unable to scan and sometimes there's no color white light indicator</t>
  </si>
  <si>
    <t>10/26-Upon arrival, coordinated with MOD.
-Checked scanner; no light observed.
-Inspected scanner cable; found it tight with no slack.
-Unplugged scanner and provided additional cable allowance.
-Plugged scanner into the nearest port; device showed green and white light.
-Performed test scan; successful and confirmed by MOD.
-Work completed.</t>
  </si>
  <si>
    <t xml:space="preserve">Unplugged scanner and provided additional cable allowance.
</t>
  </si>
  <si>
    <t>FSBP00124267</t>
  </si>
  <si>
    <t>SB391</t>
  </si>
  <si>
    <t>HSBC AYALA TECHNOHUB</t>
  </si>
  <si>
    <t>SIE CONNECT</t>
  </si>
  <si>
    <t>1935HQKF80050</t>
  </si>
  <si>
    <t>Curio Player - Website unable to access</t>
  </si>
  <si>
    <t>10/27 Upon arrival check curio player; up
- Ping test curio; pingable
- open playnetwork site; unable to access
- reset and restart curio; still not accessible to playnetwork
- power cycle; still same
- Curio player for reco to facilities</t>
  </si>
  <si>
    <t>Hard reset, reco for facillities</t>
  </si>
  <si>
    <t>Josh Constantino</t>
  </si>
  <si>
    <t xml:space="preserve">FSBP00128432 </t>
  </si>
  <si>
    <t xml:space="preserve">PC0D6Z4M
</t>
  </si>
  <si>
    <t xml:space="preserve">BOS Upgrade Activity for 429-Uptown Mall BGC Oct 26 closing 1:00AM going to Oct 27 Opening 6:00AM ( Sunday  closing going to Monday Opening) . </t>
  </si>
  <si>
    <t>10/27 Upon arrival coordinate with MOD, waiting for MOD go signal
- PASI proceed to backup BOS files
- proceed upgrade SSD and RAM (secondary HDD)
- Change Boot Priority
- Setup computer details, Host File, IP address, Teamviewer
- PASI Restoring Backup Files
- Domain BOS
- turn off Domain firewall
- Open all device, reprint all POS before the actual transaction to initialize the nav database
- Pull out Old RAM
- Transaction observation for 3 hours</t>
  </si>
  <si>
    <t>BOS upgrade successfully completed (SSD &amp; RAM upgrade)</t>
  </si>
  <si>
    <t>HDD&amp;SSD</t>
  </si>
  <si>
    <t>K003264/ 1F2507030190321</t>
  </si>
  <si>
    <t>K003256</t>
  </si>
  <si>
    <t xml:space="preserve">Brent Facturan, Karl Almonte </t>
  </si>
  <si>
    <t>Ash Dichoso</t>
  </si>
  <si>
    <t>FSBP00127654</t>
  </si>
  <si>
    <t>HVA1P612</t>
  </si>
  <si>
    <t xml:space="preserve"> Store Tablet - Tablet requesting for new screen lock</t>
  </si>
  <si>
    <t>10/27 Upon arrival coordinated with MOD
- Check tablet; found requesting new pin
- Check wifi connection; not connected to the internet
- Tried connecting to Starbucks delivery; failed
- Waited for the Starbucks delivery connection to be binded
- Temporary used my hotspot
- Set new tablet pin to "1234567"
- Exit kiosk mode
- Check wifi mac address
- Tried connecting to Starbucks delivery; good, connected
- Tested authenticator; good
- Login to starbucks app; good
- Advised MOD regarding the new password; confirmed by MOD
- Work done</t>
  </si>
  <si>
    <t>Anna  Dahilig</t>
  </si>
  <si>
    <t>FSBP00126045</t>
  </si>
  <si>
    <t>Browser Error</t>
  </si>
  <si>
    <t>2115H1GH62772</t>
  </si>
  <si>
    <t xml:space="preserve">Curio Player - request for username and password on web portal
</t>
  </si>
  <si>
    <t>10/27 Upon arrival coordinate to mod
- check curio
- invalid mac address
- curio have sound
- check ping, curio is pingable
- hard reset
- try to login again
- unable to connect
- try to connect curio to pldt mode
- wait for 10 minutes
- plug again in meraki port 10
- cant access
- try different patch cable
- failed to connect to portal
- double light in meraki port 10
- pingable
- reco for facillities</t>
  </si>
  <si>
    <t>Keren Golosina</t>
  </si>
  <si>
    <t xml:space="preserve"> FSBP00128141</t>
  </si>
  <si>
    <t>RT051714</t>
  </si>
  <si>
    <t>POS D - Detached cover</t>
  </si>
  <si>
    <t>10/27 upon arrival coordinate to mod
- check pos d
- pos d backover detached
- attached back cover
- secure
- check by mod
- work done</t>
  </si>
  <si>
    <t>attached back cover</t>
  </si>
  <si>
    <t>Yzabel Nuñez</t>
  </si>
  <si>
    <t xml:space="preserve">FSBP00128162 </t>
  </si>
  <si>
    <t xml:space="preserve"> TOWER ONE ROCKWELL BUSINESS CENTER</t>
  </si>
  <si>
    <t>HVA1P5ZV</t>
  </si>
  <si>
    <t xml:space="preserve">Store Tablet - Unable to Login via Scoop and Sharepoint (Check Username and Password)
</t>
  </si>
  <si>
    <t>10/27 Upon arrival coordinate with MOD
- Proceed to reset tablet
- Set-up tablet; enter given email, Scan the qr code
- Set-up all apps; QR scanner,RCOC learning,files, one drive, quick support
- Set-up authenticator; test by MOD witness that authenticator is properly working</t>
  </si>
  <si>
    <t>Ken Ira</t>
  </si>
  <si>
    <t xml:space="preserve"> FSBP00127912 </t>
  </si>
  <si>
    <t>SB600</t>
  </si>
  <si>
    <t>SILANG - AGUINALDO HIGHWAY</t>
  </si>
  <si>
    <t>Bixolon Printer</t>
  </si>
  <si>
    <t>SRP-S300</t>
  </si>
  <si>
    <t>CYBN8KA25070063</t>
  </si>
  <si>
    <t xml:space="preserve"> ALL newly installed labeler - not synced to POS</t>
  </si>
  <si>
    <t>10/24 waiting for printers warranty
10/27 PASI Update- Upon checking and monitoring through ping tests for all cup labelers, only BIXOLON SRP-S300 CAFE CBS (IP: 192.168.56.214) showed an RTO (Request Timed Out) response, while the other labelers responded normally and remained stable.
Root Cause: Loose network cable connection between the POS and the labeler.
Recommendation: Kindly escalate this issue to the proper vendor for further checking of the labeler’s network connection and possible loose cable.
10/27 - Upon arrival coordinate to MOD for CBS labeler checking
- Found that all labelers are wireless
- Test ping IP of CBS 192.168.56.214; RTO
- Restart CBS
- Test ping CBS; reachable
- Test print CBS thru windows; ok
- Test ping labeler using phone; ok
- Speed test komodo dragon wifi; 0.63 MBPS
- Observe; no RTO occurs
- Verify to MOD
- Work done</t>
  </si>
  <si>
    <t>Restart CBS</t>
  </si>
  <si>
    <t>Socorro Macalipis</t>
  </si>
  <si>
    <t>FSBP00128325</t>
  </si>
  <si>
    <t>HA1PXGLM</t>
  </si>
  <si>
    <t>Store tablet unable to connect in Starbucks Delivery (S/N:HA1PXGLM)</t>
  </si>
  <si>
    <t>10/27 - Upon checking of 2 store tablet, confirmed unable to connect to SB delivery wifi
- Tried restart tablet; issue still persist
- Exit to kiosk mode
- Coordinate to Sir Bryan for device binding
- Reconnect to SB delivery wifi; connected
- Verify to MOD
- Work done</t>
  </si>
  <si>
    <t>Bind the store tablet</t>
  </si>
  <si>
    <t>FSBP00128327</t>
  </si>
  <si>
    <t>HA1PDY0R</t>
  </si>
  <si>
    <t>Store tablet unable to connect in Starbucks Delivery (S/N:HA1PDY0R)</t>
  </si>
  <si>
    <t>FSBP00128187</t>
  </si>
  <si>
    <t>SB239</t>
  </si>
  <si>
    <t>E. RODRIGUEZ</t>
  </si>
  <si>
    <t>PY0D6YYM</t>
  </si>
  <si>
    <t>BOS - Connectivity Issue (POS A &amp; B - Error "No service tier available") and encountered fluctuation 3x Today, Oct-27 2025 at 10AM, 1PM and 4:30PM</t>
  </si>
  <si>
    <t>10/27 - Upon arrival coordinate to MOD
- Checked connection of all tech devices -  POS A &amp; POS B no service tier (unable to ping)
- Check switch and meraki - 24 switch is not  responding
- Checked port connection form meraki to switch - good
- Checked Rj45 of Lan Cable Good
- Restart meraki and 24 switch
- After restart meraki and 24 switch light indicator up
- Restart both POS A &amp; POS B
- Ping POS A &amp; POS B - reachable &amp; Pingable
- Checked network connection from all devices - good
- Ping all tech devices  
- Observe 20 minutes
- All devices up both POS A &amp; B is now operational
- Work done</t>
  </si>
  <si>
    <t>Restart 24 switch and meraki</t>
  </si>
  <si>
    <t>Michelle Cabrera</t>
  </si>
  <si>
    <t>FSBP00128195</t>
  </si>
  <si>
    <t>10/28 - Coordinate with MOD
- Proceeded to check and verify the reported device
- Replace new POS A Scanner.
- Tested Scanner- Okay.
- Pulled Out Defective Scanner.
- Work Done.</t>
  </si>
  <si>
    <t>POS A scanner Replacement</t>
  </si>
  <si>
    <t>CDJ1I246</t>
  </si>
  <si>
    <t>FSBP00128154</t>
  </si>
  <si>
    <t>INTERNATIONAL FINANCE CENTER BGC</t>
  </si>
  <si>
    <t>GHOL3S98</t>
  </si>
  <si>
    <t>MWS Jet report - network related error</t>
  </si>
  <si>
    <t>10/28 - Upon arrival checked MWS is good
-Network is 1 gbps
-Ping test stable
-Per checking when you move the MWS connection suddenly RTO
-Recrimp lan cable
-Tested and stable
-Work done</t>
  </si>
  <si>
    <t>Ark Bale</t>
  </si>
  <si>
    <t xml:space="preserve"> FSBP00127271</t>
  </si>
  <si>
    <t>SB432</t>
  </si>
  <si>
    <t>SERIN</t>
  </si>
  <si>
    <t>HVA2QE0K</t>
  </si>
  <si>
    <t xml:space="preserve"> Store tablet - reset to default</t>
  </si>
  <si>
    <t>10/28 - Upon arrival coordinate to MOD for Store tablet checking
- Confirmed, tablet are set to default
- Setup credentials
- Coordinate to Sir Bryan for device binding
- Connect to starbucks delivery
- Install required apps
- Coordinate to Sir Marvin for email revoking
- Setup Microsoft authenticator
- Verify to MOD
- Work done</t>
  </si>
  <si>
    <t>setup required credentials</t>
  </si>
  <si>
    <t>Mischelle N. Sambajon</t>
  </si>
  <si>
    <t>FSBP00128201</t>
  </si>
  <si>
    <t>SB110</t>
  </si>
  <si>
    <t>ONE ROCKWELL - GF - MAKATI</t>
  </si>
  <si>
    <t>Globe Fiber Internet Activation Oct 28, 2025 10am-5pm</t>
  </si>
  <si>
    <t>10/28 - Upon arrival, Coordinate to MOD
- Input ip
- Standalone test
- Ping 8.8.8.8
- Terminate Globe to WAN 1
- PLDT WAN 2
- Pull out smart
- Sir Bryan approved; all ISP is now active
- Work done.</t>
  </si>
  <si>
    <t>Activate Globe fiber to WAN 1, pull out Smart LTE</t>
  </si>
  <si>
    <t>Eddie Cabunta</t>
  </si>
  <si>
    <t>FSBP00128193</t>
  </si>
  <si>
    <t xml:space="preserve"> SHANGRI-LA PLAZA - LEVEL 1</t>
  </si>
  <si>
    <t>10/28 - Coordinate with MOD
- Upon arrival standalone test Globe; stable and good
- Connect Globe to port 1 of meraki
- Standalone both DITO and Smart LTE; DITOis faster
- Transfer DITO to port 2 of meraki
- Wait for confirmation of RCOC
- Pull out Smart LTE. Work done</t>
  </si>
  <si>
    <t>Melo Valdez</t>
  </si>
  <si>
    <t>FSBP00128194</t>
  </si>
  <si>
    <t>SB195</t>
  </si>
  <si>
    <t>SHANGRI-LA PLAZA - LEVEL 6</t>
  </si>
  <si>
    <t>10/28 - Coordinate with MOD
- Upon arrival standalone test Globe; stable and good
- Connect Globe to port 1 of meraki
- Transfer PLDT to port 2 of meraki
- Wait for confirmation of RCOC
- Pull out Smart LTE. Work done</t>
  </si>
  <si>
    <t>Hine Sukat</t>
  </si>
  <si>
    <t>FSBP00128186</t>
  </si>
  <si>
    <t xml:space="preserve">HVA1N4R8 </t>
  </si>
  <si>
    <t>Store tablet - has been reset</t>
  </si>
  <si>
    <t>10/28 - Coordinate with MOD
- Upon arrival, store tablet has not been reset, it's not on kiosk mode.
- Set to home screen and checked all applications; complete.
- Set home screen to Always.
- Checked all applications and authenticator by MOD; okay.
- Work Done.</t>
  </si>
  <si>
    <t>Set Home screen to 'Always'</t>
  </si>
  <si>
    <t>Onnel Almendral</t>
  </si>
  <si>
    <t>FSBP00128176</t>
  </si>
  <si>
    <t>PC0D6YZ3</t>
  </si>
  <si>
    <t xml:space="preserve"> BOS Upgrade Activity for 333-Evia Daang Hari Oct 27 business closing 2:00AM going to Oct 28 Opening 6:00AM ( Monday closing going to Tuesday Opening) . </t>
  </si>
  <si>
    <t>10/28 Upon arrival coordinate to MOD for BOS Ram Upgrade
- Ping all tech devices( Pos A, B, MWS, BOS)
- Checked on Task manager the usage of Memory, Drive C &amp; Drive D
- Checked network connection encountered 1GB
- 100% Usage on memory
- Replaced &amp; Upgraded Ram from 16gb to 32gb
- Run task manager &amp; checked usage from 100% on 8gn down to 3.8% on 32gb
- Observed behavior of BOS, Mws, POS A &amp; B
- Ping all tech devices
- Pasi configuration
- Redomain BOS
- Cash, discounted, QRPH transaction OK
- Checked jet report done
- Work done</t>
  </si>
  <si>
    <t>1F2507030190320, K003258/K00330</t>
  </si>
  <si>
    <t>Ramil Aquino</t>
  </si>
  <si>
    <t xml:space="preserve">FSBP00128300 </t>
  </si>
  <si>
    <t>PC0D6Z3A</t>
  </si>
  <si>
    <t xml:space="preserve">BOS Upgrade Activity for 347-Capitol Commons  Oct 27 closing 1:00AM going to Oct 28 Opening 5:00AM ( Monday closing going to Tuesday Opening) . </t>
  </si>
  <si>
    <t>10/28  arrive at store coordinate with mod end of day reporting
- start activity 0200
- conduct ram upgrade first before pasi backup DB of bos unit.
- Pasi conduct DB Backup
- Take note/record all config of old hdd
- Install SSD as Primary &amp; HDD as Secondary Storage.
- config/setup IP, PCNAME, Teamviewer of Bos with the New SSD.
- Pasi Restore DB backup and Config Bos NAV
- test pos with mod, mod confirmed pos is working properly.
- store opening 0500
- Observe Customer Transactions,
- ReDomain by RCOC Tech Support</t>
  </si>
  <si>
    <t>K003599/K003557, 1F2507300070298</t>
  </si>
  <si>
    <t xml:space="preserve">FSBP00128255 </t>
  </si>
  <si>
    <t xml:space="preserve"> THE ASSEMBLY GROUNDS AT THE RISE</t>
  </si>
  <si>
    <t>POS C Printer</t>
  </si>
  <si>
    <t>PPM80522</t>
  </si>
  <si>
    <t xml:space="preserve"> POS C printer - defective cord</t>
  </si>
  <si>
    <t>10/28 - Coordinate with MOD
- Upon arrival checked POS C printer; has no power
- Checked power cord missing
- Waiting for parts
- Install new power cord and cable
- Tested and good now
- Work done</t>
  </si>
  <si>
    <t xml:space="preserve"> install new power cord and cable</t>
  </si>
  <si>
    <t>Power cord&amp;cable</t>
  </si>
  <si>
    <t>FSBP00128297</t>
  </si>
  <si>
    <t>ST. LUKE'S - GROUND FLOOR - BONIFACIO GLOBAL CITY</t>
  </si>
  <si>
    <t>15154B071E</t>
  </si>
  <si>
    <t>POS A Scanner - Unable to Scan/ Unresponsive</t>
  </si>
  <si>
    <t>10/28 - Coordinate with MOD
- Checked the physical connection of the QR scanner to the POS terminal; ensured cable was properly seated and device received power.
- Verified that the scanner’s indicator lights were active and confirmed no visible damage to the cable or port.
- Reconnected the QR scanner to a different USB port to rule out port issues.
- Restarted both the POS terminal and the scanner.
- Tested the scanner using Notepad to check for barcode or QR code input; no data was detected.
- Observed scanner performance for 20 minutes during testing; no error encountered.</t>
  </si>
  <si>
    <t>secure cables and restart both POS terminal and the scanner</t>
  </si>
  <si>
    <t>Karl</t>
  </si>
  <si>
    <t>FSBP00128304</t>
  </si>
  <si>
    <t>15232B0443</t>
  </si>
  <si>
    <t>POS A Scanner has no power</t>
  </si>
  <si>
    <t>10/28 - Upon arrival coordinated with MOD
- Check scanner; found no light
- Check scanner's cord; found no allowance
- Switched scanner to other port and gave 5 inch allowance; good, scanner has light
- Clean scanner glass; good
- Observed for a while; scanner is disconnecting randomly, issue with scanner's cable
- Coordinate with team asset for the replacement 
- Waited for the replacement scanner to be delivered
- Received the replacement scanner
- Setup the replacement scanner and gave cord allowance; good
- Test multiple transactions; good, confirmed by MOD
- Observed for a while
- Work done</t>
  </si>
  <si>
    <t>replaced POS A Scanner (Honeywell)</t>
  </si>
  <si>
    <t>15152B122D</t>
  </si>
  <si>
    <t>Ralph Bagaforo</t>
  </si>
  <si>
    <t>FSBP00126229</t>
  </si>
  <si>
    <t>Request for cable grooming of POS and MWS area</t>
  </si>
  <si>
    <t>10/14 Approved by Sir Pow only on the POS cables  of drawers, printer  and lan cables 
for electrical cables like the picture  kindly check if  with Facilities 
10/14 HD ; Advise Sir Pow if approval is under the new proposal
10/21 HD Jave: MOD advise to sched on Monday evening October 27 going October 28
10/28 - Coordinate to MOD about cable grooming
- Inspected all POS-related cables including power, network, and peripheral connections.
- Performed cable grooming to organize and secure all wiring.
- Used zip ties, tags, and spiral wrap for proper labeling, bundling, protection, and to ensure cables were neatly routed to avoid tangling and potential damage.
- Verified all connected devices were functional after grooming.
- Checked network status and confirmed it was stable at 1.0 Gbps
- Ensured the POS area was clean and cable management was properly maintained after completion.</t>
  </si>
  <si>
    <t>successful cable grooming at FOH POS area</t>
  </si>
  <si>
    <t>10:20 PM, 12:00 AM</t>
  </si>
  <si>
    <t>11:59 PM, 1:00 AM</t>
  </si>
  <si>
    <t>Jake Sharwin Biron</t>
  </si>
  <si>
    <t>FSBP00125330</t>
  </si>
  <si>
    <t>SB128</t>
  </si>
  <si>
    <t>JAZZ MALL</t>
  </si>
  <si>
    <t>KSM60614</t>
  </si>
  <si>
    <t>POS A drawer 1 - wire has been cut/broken cable</t>
  </si>
  <si>
    <t>9/30 HD Acton: We have received your request. Currently, there are no buffer parts available on our end. We will share an estimated time of arrival (ETA) as soon as replacements are in stock. Thank you for your patience and understanding.  (mm)
10/7 HD Jave: Advise SD still no buffer unit on our end 
- 12:52 parts received, sched today for replacement
10/7 Upon arrival coordinate with MOD
- Waiting for parts
- Install new y-cable
- MOD explained that the y-cable is easily damaged by slight drawer movements.
- Y-cable is too short and keeps breaking
- The drawer handle hole is not ideal for y-cable, requesting redrilling of the hole
- Reco to facilities need to be re-drilled
- Drawer 2 is not working for now already explain to MOD
- Work done
10/28-29 - Coordinated to SS about the ticket reported, SS not informed about the activity, provided the ticket details.
- Waiting for the store closing.
- Proceed drilling cabinet case of POS-A drawer.
- Per checking y-cable has damaged, only drawer 1 functioning in OPOS test health. Drawer 2 is not working
- Replaced new y-cable but error persist drawer, drawer 2 not responding in check health in OPOS.
- Tested CR1 tagged on new y-cable functioning in both drawers but CR2 tagged is not working.
- Cross check OPOS configuration of POS-B if same with configuration of POS-A. Good same config.
- Tested y-cable of POS-B drawer to POS-A same error persist drawer 2 not functioning.
- Tested new y-cable in POS-B both drawer is working.
- Trying to perform another troubleshooting by swapping POS-B drawer to POS-A, reinstallation of drivers, seek assistance with PASI for cross check OPOS configuration of drawers. Can't perform due to SS was not endorsed about the activity and out of time.
- Reco replacement of drawer 2</t>
  </si>
  <si>
    <t>successful drilling and replacement of y-cable - drawer 2 for replacement for new ticket</t>
  </si>
  <si>
    <t>FSBP00128270</t>
  </si>
  <si>
    <t>SB481</t>
  </si>
  <si>
    <t>OKADA MANILA CORAL WING</t>
  </si>
  <si>
    <t>PP040162</t>
  </si>
  <si>
    <t>POS A Posiflex Printer - Wont print</t>
  </si>
  <si>
    <t xml:space="preserve">10/31 -Upon arrival, waited for parts and SB escort.
-Replaced POS A printer with a new unit.
-Installed OPOS drivers.
-Performed test print – result OK.
-Pulled out defective printer.
-Work completed.
</t>
  </si>
  <si>
    <t xml:space="preserve">POS A printer replaced successfully.
</t>
  </si>
  <si>
    <t>PPP81944</t>
  </si>
  <si>
    <t>Vina Ferrer</t>
  </si>
  <si>
    <t>FSBP00128322</t>
  </si>
  <si>
    <t>ELITEDESK</t>
  </si>
  <si>
    <t>4CE9241XWX</t>
  </si>
  <si>
    <t>BOS cant remote</t>
  </si>
  <si>
    <t>10/29 - Upon arrival waiting for MOD to arrived
- Coordinate to MOD
- Check all POS is up
- Check MWS try to remote BOS using VNC; found black screen
- Try to restart BOS
- Coordinate to PASI to check the BOS remotely
- As per PASI remote working
- Check ping NO RTO found
- Work done</t>
  </si>
  <si>
    <t>restart BOS</t>
  </si>
  <si>
    <t>RCOC Peter</t>
  </si>
  <si>
    <t>Marjorie De Luna</t>
  </si>
  <si>
    <t xml:space="preserve">FSBP00128433 </t>
  </si>
  <si>
    <t>PC0D6Z2L</t>
  </si>
  <si>
    <t xml:space="preserve">BOS and SSD upgrade Activity for 116  PETRON SOUTH LUZON EXPRESSWAY
</t>
  </si>
  <si>
    <t>10/28-29 Upon arrival coordinate with MOD, waiting for MOD go signal
- PASI proceed to backup BOS files
- proceed upgrade SSD and RAM (secondary HDD)
- Change Boot Priority
- Setup computer details, Hostfile, IP address, Teamviewer
- Recrimp BOS lan cable; 1Gbps
- PASI Restoring Backup Files
- Open all device, reprint all POS before the actual transaction to initialize the nav database
- Pull out Old RAM
- Transaction observation for 3 hours</t>
  </si>
  <si>
    <t>K0003332, K0003316, 1F2507030190323</t>
  </si>
  <si>
    <t xml:space="preserve"> M378A1K43BB1-CPB</t>
  </si>
  <si>
    <t xml:space="preserve"> Millard Monzon &amp; Brent Facturan</t>
  </si>
  <si>
    <t xml:space="preserve"> Eunice Forro</t>
  </si>
  <si>
    <t>FSBP00128191</t>
  </si>
  <si>
    <t>PC0D623X</t>
  </si>
  <si>
    <t>BOS RAM Upgrade Activity for 282-32nd and 7th</t>
  </si>
  <si>
    <t xml:space="preserve">10/29 -Arrived onsite and coordinated with MOD after end-of-day reporting.
-Started activity at 3:00 AM.
-Powered off BOS and removed the existing RAM module.
-Installed 2 pcs. 16GB Kingston RAM into the BOS unit.
-Booted BOS and checked System Information — confirmed total 32GB RAM recognized.
-Verified in Task Manager — 32GB RAM detected and fully functional.
-Upgrade confirmed and witnessed by MOD.
</t>
  </si>
  <si>
    <t>KCP424ND8/16</t>
  </si>
  <si>
    <t>K003244 , K002616</t>
  </si>
  <si>
    <t>Ian Clemente</t>
  </si>
  <si>
    <t xml:space="preserve">FSBP00128452 </t>
  </si>
  <si>
    <t>PC0D6Z1Z</t>
  </si>
  <si>
    <t>BOS Upgrade Activity for 324-Calamba Road Tagaytay Oct 28 business closing 1:30AM going to Oct 29 Opening 7:00AM ( Tuesday  closing going to Wednesday Opening) .</t>
  </si>
  <si>
    <t>10/29 Coordinated with the MOD regarding the scheduled BOS SSD installation and memory upgrade activity.
- Waited for permission to proceed as the store conducts EOD
- Upon receiving permission to proceed, gathered BOS machine details including computer name, IP configuration, and host file entries.
- Advised PASI to proceed with the backup.
- After backup completion, properly shut down the BOS unit and proceeded with the installation of 2 pcs 16 GB RAM and SSD.
- Powered on the BOS unit and confirmed both SSD and the RAM were detected. Observed system performance.
- Proceeded with the initial setup and reconfiguration of BOS.
- Advised PASI that the BOS is ready for setup. Waited for the configuration to finish and standby for possible problems.
- After configuration, conducted ping test to check for connectivity. Also confirmed BOS at 1gbps.
- Waited for store opening to observed transactions. No lag, errors, or connection drops encountered during testing and transaction</t>
  </si>
  <si>
    <t xml:space="preserve"> K003207/K003241/1F2507300070315</t>
  </si>
  <si>
    <t>M378A1K43BB1-CPB, 8SSM30K25297R1AA794242V</t>
  </si>
  <si>
    <t>Rico Garcia, Aaron Barroga</t>
  </si>
  <si>
    <t>FSBP00128348</t>
  </si>
  <si>
    <t>POS B Barcode Scanner - No power</t>
  </si>
  <si>
    <t xml:space="preserve">10/29 -Upon arrival, waited for delivery of new scanner.
-Checked current scanner — powered on.
-Replaced scanner with new unit.
-Waited for customers to clear testing area.
-Tested by MOD — working properly.
-Removed old scanner.
</t>
  </si>
  <si>
    <t xml:space="preserve">Replaced scanner with new Honeywell unit.
</t>
  </si>
  <si>
    <t>SCANNER</t>
  </si>
  <si>
    <t>1512O67C</t>
  </si>
  <si>
    <t>Lourdjimme Jega</t>
  </si>
  <si>
    <t>FSBP00128345</t>
  </si>
  <si>
    <t>SB462</t>
  </si>
  <si>
    <t>KALAYAAN AVENUE</t>
  </si>
  <si>
    <t>41-VA434</t>
  </si>
  <si>
    <t>POS B - No internet connection (Network currently not available error)</t>
  </si>
  <si>
    <t xml:space="preserve">10/29 -Upon arrival, verified that POS B was powered on but the navigation was frozen.
-Restarted the system, but the navigation remained unresponsive.
-Found that the connection was intermittent.
-Re-crimped the LAN cable; however, the navigation issue persisted.
-Noticed the printer’s red light indicator.
-Replaced/fixed the paper in the printer; the navigation system then came back online.
-Tested and confirmed by MOD as working properly.
-Work completed successfully.
</t>
  </si>
  <si>
    <t xml:space="preserve">Replaced/fixed the paper in the printer; the navigation system then came back online.
</t>
  </si>
  <si>
    <t>Cindy Camacho</t>
  </si>
  <si>
    <t>FSBP00127902</t>
  </si>
  <si>
    <t>KS-7512P</t>
  </si>
  <si>
    <t>KSH60009</t>
  </si>
  <si>
    <t>POS A Drawer 1 - gets stuck and won't open during the transactions and it has to be open manually</t>
  </si>
  <si>
    <t xml:space="preserve">10/29 -Upon arrival, checked POS A Cash Drawer 1.
-Waited for the arrival of replacement parts.
-Installed the new cash drawer.
-Tested operation — confirmed that the drawer opens automatically.
-Work completed successfully.
</t>
  </si>
  <si>
    <t xml:space="preserve">Replaced POS A Cash Drawer 1 with a new unit.
</t>
  </si>
  <si>
    <t>Roque Jurilla</t>
  </si>
  <si>
    <t xml:space="preserve">FSBP00128352 </t>
  </si>
  <si>
    <t>KSHC0081</t>
  </si>
  <si>
    <t>POS B Drawer 1 - gets stuck and won't open during the transactions and it has to be open manually</t>
  </si>
  <si>
    <t xml:space="preserve">10/29 -Upon arrival, checked POS B Cash Drawer 1.
-Waited for replacement parts.
-Replaced defective cash drawer with a new unit.
-Tested drawer operation — confirmed it opens automatically.
-Work completed successfully.
</t>
  </si>
  <si>
    <t xml:space="preserve">POS B Cash Drawer 1 replaced and tested.
</t>
  </si>
  <si>
    <t>FSBP00128375</t>
  </si>
  <si>
    <t>RAISECOM</t>
  </si>
  <si>
    <t>133002031620A257180191G</t>
  </si>
  <si>
    <t xml:space="preserve">[665 Shell Logcom] Radius Internet Activation </t>
  </si>
  <si>
    <t xml:space="preserve">10/29 -Upon arrival, coordinated with MOD.
-Checked BOH setup.
-Performed standalone test on WAN 2 — stable, good, and pingable.
-Checked Radius modem.
-Activated Radius.
-Performed standalone test on Radius — stable, good, and pingable.
-Terminated Radius to WAN 1 — confirmed working by Sir Bryan.
-Work completed.
</t>
  </si>
  <si>
    <t xml:space="preserve">Terminated Radius to WAN 1 — confirmed working by Sir Bryan.
</t>
  </si>
  <si>
    <t>Jayzar Nierva</t>
  </si>
  <si>
    <t>FSBP00128368</t>
  </si>
  <si>
    <t>PC0D6Z2U</t>
  </si>
  <si>
    <t>BOS TV - Offline status</t>
  </si>
  <si>
    <t xml:space="preserve">10/29 -Upon arrival, coordinated with MOD.
-Checked BOS status; found that the monitor was turned off.
-Powered on the BOS monitor and verified TeamViewer status.
-Confirmed TeamViewer is up to date.
-Coordinated with Sir Marvin from RCOC; confirmed that TeamViewer on the BOS unit is accessible and that the system remains remotely accessible even if the monitor is off.
</t>
  </si>
  <si>
    <t xml:space="preserve">Powered on the monitor and launched TeamViewer.
</t>
  </si>
  <si>
    <t>Cedrick Chavez</t>
  </si>
  <si>
    <t>FSBP00128144</t>
  </si>
  <si>
    <t>POS A Line Display</t>
  </si>
  <si>
    <t>11S9634961YK11DX565332</t>
  </si>
  <si>
    <t>POS A: Customer display - No display</t>
  </si>
  <si>
    <t xml:space="preserve">10/29 -Upon arrival, checked customer display — no power.
-Attempted to unplug and replug — still no power.
-Advised Sir Mervin for replacement parts.
-Waiting for parts.
-Installed new Toshiba customer display.
-Work completed.
</t>
  </si>
  <si>
    <t xml:space="preserve">Installed new Toshiba customer display.
</t>
  </si>
  <si>
    <t>Line Display</t>
  </si>
  <si>
    <t>11S9634961YK11DX54N290</t>
  </si>
  <si>
    <t>Anny Fanzel</t>
  </si>
  <si>
    <t>FSBP00128369</t>
  </si>
  <si>
    <t>Intel Core i5</t>
  </si>
  <si>
    <t>PC0D6YW3</t>
  </si>
  <si>
    <t xml:space="preserve">10/29-Upon arrival, coordinated with MOD.
-Stood by while waiting for MOD to finish MWS transition.
-Proceeded to check BOS status using MWS.
-Accessed BOS remotely via VNC (entered password).
-Coordinated with PASSI and RCOC; both confirmed that BOS TV is remote and accessible.
-Verified successful remote access.
-Work completed and call closed.
</t>
  </si>
  <si>
    <t xml:space="preserve">BOS successfully accessed remotely from MWS.
</t>
  </si>
  <si>
    <t>Jully Anne Dela Serna</t>
  </si>
  <si>
    <t>FSBP00128374</t>
  </si>
  <si>
    <t>SB457</t>
  </si>
  <si>
    <t>STRATOSPHERE BUILDING VALERO</t>
  </si>
  <si>
    <t>PP040164</t>
  </si>
  <si>
    <t>POS B - Printer Not Working (No Power)</t>
  </si>
  <si>
    <t xml:space="preserve">10/29 -Upon arrival, checked printer — found it working and has power.
-Advised MOD that printer will be observed onsite.
-Issue did not reoccur during onsite observation.
</t>
  </si>
  <si>
    <t xml:space="preserve">Unplugged and replugged POS printer to restore power.
</t>
  </si>
  <si>
    <t>Robert Odronia</t>
  </si>
  <si>
    <t>Francis Ebel</t>
  </si>
  <si>
    <t xml:space="preserve">FSBP00128133 </t>
  </si>
  <si>
    <t>Wall-mounted</t>
  </si>
  <si>
    <t>Globe Fiber Internet Activation Oct 30, 2025 10am-5pm</t>
  </si>
  <si>
    <t xml:space="preserve">10/30 -Upon arrival, coordinated with MOD.
-Configured IP settings.
-Performed standalone connection test.
-Ping test to 8.8.8.8 successful.
-Verified WAN setup: WAN1 – Globe, WAN2 – Converge.
-Sir Bryan approved — both ISPs are now active.
-Pulled out DITO LTE device.
-Work completed successfully.
</t>
  </si>
  <si>
    <t xml:space="preserve">Globe Fiber Internet successfully activated and verified working.
</t>
  </si>
  <si>
    <t>Denielle Roxas</t>
  </si>
  <si>
    <t xml:space="preserve">FSBP00128358 </t>
  </si>
  <si>
    <t>EB-90621A5U6H</t>
  </si>
  <si>
    <t>POS A Drawer 2 for replacement (related ticket FSBP00125330)</t>
  </si>
  <si>
    <t>10/28-29 - Coordinated to SS about the ticket reported, SS not informed about the activity, provided the ticket details.
- Waiting for the store closing.
- Proceed drilling cabinet case of POS-A drawer.
- Per checking y-cable has damaged, only drawer 1 functioning in OPOS test health. Drawer 2 is not working
- Replaced new y-cable but error persist drawer, drawer 2 not responding in check health in OPOS.
- Tested CR1 tagged on new y-cable functioning in both drawers but CR2 tagged is not working.
- Cross check OPOS configuration of POS-B if same with configuration of POS-A. Good same config.
- Tested y-cable of POS-B drawer to POS-A same error persist drawer 2 not functioning.
- Tested new y-cable in POS-B both drawer is working.
- Trying to perform another troubleshooting by swapping POS-B drawer to POS-A, reinstallation of drivers, seek assistance with PASI for cross check OPOS configuration of drawers. Can't perform due to SS was not endorsed about the activity and out of time.
- Reco replacement of drawer 2
10/29 -Upon arrival, coordinated with MOD.
-Waited for delivery of replacement parts.
-Installed new drawer; issue persisted.
-Reinstalled OPOS software; issue still present.
-Switched Y-cable connections between drawers; only Drawer 1 (CR1) was working.
-Recommended motherboard replacement (POS A).
-MOD advised that operating with only one working drawer is not feasible.
-Endorsed new drawer to Sir Sean for further handling.
-Rescheduled follow-up support for November 1 (midnight).
-Work completed for the day.
10/29 Upon arrival, coordinated with MOD.
-Waited for delivery of replacement parts.
-Installed new drawer; issue persisted.
-Reinstalled OPOS software; issue still present.
-Switched Y-cable connections between drawers; only Drawer 1 (CR1) was working.
-Recommended motherboard replacement (POS A).
-MOD advised that operating with only one working drawer is not feasible.
-Endorsed new drawer to Sir Sean for further handling.
-Rescheduled follow-up support for November 1 (midnight).
-Work completed for the day.
Final Resolution:
-Installed and tested OPOS software.
-Issue persists; Drawer 2 remains non-functional.
-Recommendation: Replace POS A motherboard.</t>
  </si>
  <si>
    <t xml:space="preserve">Recommendation: Replace POS A motherboard.
</t>
  </si>
  <si>
    <t>Sean Aranias</t>
  </si>
  <si>
    <t xml:space="preserve">FSBP00128329 </t>
  </si>
  <si>
    <t>2012F0HG09883</t>
  </si>
  <si>
    <t>Curio Connection Issue</t>
  </si>
  <si>
    <t xml:space="preserve">10/29 -Upon arrival, coordinated with MOD.
-As per Facilities, Curio device could not be accessed remotely.
-Checked the LAN cable – found to be in good condition.
-Verified that Curio was connected to port 7 on the Meraki MX.
-Re-terminated the LAN cable to port 10; Curio became pingable.
-Attempted to access Play Network website – unable to connect.
-Updated Curio via LTE connection through LAN for approximately 15 minutes.
</t>
  </si>
  <si>
    <t xml:space="preserve">Curio device confirmed pingable and responsive.
</t>
  </si>
  <si>
    <t>MOD Cedrick Chavez</t>
  </si>
  <si>
    <t>FSBP00128543</t>
  </si>
  <si>
    <t>SM SAN LAZARO LVL 1</t>
  </si>
  <si>
    <t>PC0D6Z1W</t>
  </si>
  <si>
    <t>BOS Upgrade Activity for 196-SM San Lazaro L1 - Oct 23 closing from 12:00MN going to Oct 24 Opening 6:00AM</t>
  </si>
  <si>
    <t>10/22 HD MM: Store advise new schedule-- "Apologies for the confusion. We have a scheduled store meeting on October 28. Kindly proceed with this on Oct 29 onwards.'
10/30 -Upon arrival, coordinated with the MOD.
-Waited for the MOD’s signal to begin the BOS upgrade.
-Started activity at 1:30 AM.
-Recorded all required details.
-Acknowledged in GC to PASI to start data backup and awaited their signal to proceed with SSD and RAM installation.
-Shut down BOS to install SSD and two (2) 16GB memory modules.
-Powered on the BOS and configured BIOS settings to prioritize SSD as the first boot device.
-Set IP configuration to static and input LAN details.
-Renamed the computer as per configuration standards.
-Restarted BOS.
-Coordinated with PASI for backup restoration, updates, and BOS configuration.
-PASI completed restoration and configuration by 3:30 AM.
-Conducted testing with MOD and partners:
-LS NAV login successful for both POS A &amp; POS B.
-Test print successful for old transactions.
-Verified connection to Maya and other online transactions — all connected.
-Paused activity at 2:30 AM to allow re-domain in SB196.
-Departed store due to permit restriction (store access allowed only after 6:00 AM).
-Resumed upon validation; MOD and partners resumed operations at 7:30 AM and first customer transaction at 8:20 AM.
-MOD observed a slight delay in Maya transactions.</t>
  </si>
  <si>
    <t>SSD and RAM installation</t>
  </si>
  <si>
    <t>Lloyde Charles</t>
  </si>
  <si>
    <t xml:space="preserve">10/22 HD MM: Store advise new schedule-- "Apologies for the confusion. We have a scheduled store meeting on October 28. Kindly proceed with this on Oct 29 onwards.'
10/30-Restarted BOS after re-domain process.
-Tested Jet Report — encountered “Error: Connection to SQL.” (Handled by PASI team.)
-Tested Cash Out — result was good, no issues observed.
</t>
  </si>
  <si>
    <t xml:space="preserve">Performed observation and testing following the BOS upgrade. BOS operation confirmed stable.
</t>
  </si>
  <si>
    <t>Rich Cadano</t>
  </si>
  <si>
    <t>FSBP00128113</t>
  </si>
  <si>
    <t>BOS RAM Upgrade Activity for 502-California Garden Square Oct 29 business closing from 2:00AM going  to  5:00AM of Oct 30. (Wednesday closing  going Thursday)</t>
  </si>
  <si>
    <t xml:space="preserve">10/29 -Coordinated with the MOD regarding the scheduled BOS RAM upgrade.
-Verified BOS unit details, including computer name, IP configuration, and host file entries before starting.
-Properly shut down the BOS unit and disconnected it from the power source.
-Opened the unit and cleaned the RAM slots before installing the new memory modules.
-Ensured both memory modules were properly seated and secured.
-Powered on the BOS unit and confirmed the system detected a total of 32GB RAM.
-Checked overall system performance and confirmed stable operation.
-Verified BOS connectivity to the POS and network after the upgrade.
-Observed for 20 minutes — no lag or errors encountered.
</t>
  </si>
  <si>
    <t xml:space="preserve">RAM upgrade
</t>
  </si>
  <si>
    <t>K003266, K003284</t>
  </si>
  <si>
    <t>K003009</t>
  </si>
  <si>
    <t xml:space="preserve">Marlon Lee
</t>
  </si>
  <si>
    <t>Matt Jimenez</t>
  </si>
  <si>
    <t>FSBP00128328</t>
  </si>
  <si>
    <t>VENICE GRAND CANAL MALL - MCKINLEY HILL</t>
  </si>
  <si>
    <t>EliteDesk M900</t>
  </si>
  <si>
    <t>PC0D6YZK</t>
  </si>
  <si>
    <t xml:space="preserve">BOS Upgrade Activity for 402-Venice Grand Canal Oct 29 business closing 11:30PM going to Oct 30 Opening 6:00AM ( Wednesday  closing going to Thursday Opening) . </t>
  </si>
  <si>
    <t>10/29 -Upon arrival, coordinated with MOD regarding the BOS RAM upgrade.
-Performed ping test on all technical devices (POS A, POS B, MWS, BOS).
-Checked Task Manager for memory and drive usage (C: and D:).
-Verified network connection — stable at 1 Gbps.
-Observed 100% memory usage prior to upgrade.
-Replaced and upgraded RAM from 16GB to 32GB.
-Rechecked Task Manager — memory usage reduced from 100% (8GB) to 3.8% (32GB).
-Observed BOS, MWS, and POS A &amp; B operation — all stable.
-Re-pinged all technical devices — all responded successfully.
-Coordinated with PASI for configuration.
-Performed BOS re-domain.
-Tested cash, discount, and QRPH transactions — all successful.
-Verified Jet Report functionality — working properly.
-Work completed successfully.</t>
  </si>
  <si>
    <t xml:space="preserve">BOS SSD and RAM upgrade completed and verified operational.
</t>
  </si>
  <si>
    <t>1F25073000070297 , K002631, K003525</t>
  </si>
  <si>
    <t>Anna Hernando</t>
  </si>
  <si>
    <t>FSBP00128421</t>
  </si>
  <si>
    <t>BC7JL24</t>
  </si>
  <si>
    <t xml:space="preserve"> POS C- Shows " The network is currently not available"</t>
  </si>
  <si>
    <t xml:space="preserve">10/30 -Coordinated with MOD upon arrival.
-Checked POS C power status — confirmed powered ON.
-Performed ping test to MWS IP — pingable, no RTO observed.
-Verified data connection — stable at 1 Gbps.
-Coordinated with RCOC (Sir Vince) — confirmed POS C and POS D are both up on the dashboard.
-Conducted final checks — communication between BOS and POS verified.
</t>
  </si>
  <si>
    <t xml:space="preserve">Powered up POS C and verified IP connectivity.
</t>
  </si>
  <si>
    <t>Jully Jana Mae Pesquera</t>
  </si>
  <si>
    <t xml:space="preserve">FSBP00128507 </t>
  </si>
  <si>
    <t>PC037900</t>
  </si>
  <si>
    <t>MWS - TV unable to remote</t>
  </si>
  <si>
    <t xml:space="preserve">10/30 -Upon arrival, waited until the partners’ meeting concluded.
-Checked MWS settings.
-Turned off the firewall.
-Attempted to open TeamViewer but could not establish a remote connection.
-Restarted MWS — TeamViewer was then able to connect.
-Coordinated with PASI for further validation.
-PASI remoted into TeamViewer but experienced disconnection when switching users.
-PASI reinstalled TeamViewer, but disconnection persisted.
-Restarted MWS again — TeamViewer connection stabilized and worked properly.
-Conducted functional testing on MWS — all results were good.
-RCOC confirmed MWS is operational.
-Work completed successfully.
</t>
  </si>
  <si>
    <t xml:space="preserve">Turned off the firewall and reinstalled TeamViewer to restore normal remote access functionality.
</t>
  </si>
  <si>
    <t>Irene Sina</t>
  </si>
  <si>
    <t>FSBP00128296</t>
  </si>
  <si>
    <t>SB678</t>
  </si>
  <si>
    <t>NORTH ROAD PUERTO PRINSESA</t>
  </si>
  <si>
    <t>TV Offline, SDD &amp; RAM Upgrade, RAM Upgrade</t>
  </si>
  <si>
    <t>7788JB4</t>
  </si>
  <si>
    <t>BOS TeamViewer – Black Screen Issue</t>
  </si>
  <si>
    <t>10/30-31 - Coordinate with MOD
- Check BOS Unit, Cables found; OK
- Borrow back office area to setup monitor to BOS
- Insert DP-HDMI Adapter w/ hdmi cable from BOS to connect display on the Monitor.
- Check device manager found; Display adapter not initiate from the correct driver.
- Uninstall and delete display adapter driver not needed.
- Retain microsoft display adapter driver
- Go to services and force disable windows update
- Restart the unit without monitor
- Check and remote via Teamviewer BOS; accessible
- Double check TV credential BOS and MWS.
- Check again Device manager; services, firewall, and test remote multiple times: OK
- Report to MOD work done</t>
  </si>
  <si>
    <t>Set the correct driver from display adapter and force disable windows update.</t>
  </si>
  <si>
    <t>11:40 PM, 12:00 AM</t>
  </si>
  <si>
    <t>11:59 PM, 1:30 AM</t>
  </si>
  <si>
    <t>Vernon Torres</t>
  </si>
  <si>
    <t>Tiffany Casipong</t>
  </si>
  <si>
    <t>FSBP00128530</t>
  </si>
  <si>
    <t>4CE02816ZQ</t>
  </si>
  <si>
    <t xml:space="preserve"> Both POS - lagging and slow receipt printing (takes 5-7mins)</t>
  </si>
  <si>
    <t>10/31 - Upon arrival borrow MWS
- Remote BOS from MWS
- BOS connection already at 1gbps
- Ping test all machine; stable
- Advised PASI BOS is 1gbps
- PASI confirmed
- Confirmed by MOD POS printing now good.
- Observe for 30 mins. Work done</t>
  </si>
  <si>
    <t>Ena Fung</t>
  </si>
  <si>
    <t>FSBP00128610</t>
  </si>
  <si>
    <t>TB-X360X</t>
  </si>
  <si>
    <t>HVA18KGF</t>
  </si>
  <si>
    <t>Store Tablet - Auto Reset (Back to default)</t>
  </si>
  <si>
    <t>10/31 - Upon arrival coordinate with MOD
- Proceed to reset tablet
- Set-up tablet; enter given email, Scan the qr code
- Set-up all apps; QR scanner,RCOC learning,files, one drive, quick support
- Set-up authenticator; test by MOD witness that authenticator is properly working</t>
  </si>
  <si>
    <t>Reset and set-up tablet</t>
  </si>
  <si>
    <t>FSBP00128539</t>
  </si>
  <si>
    <t>POS B - connection to the server has been lost prompt</t>
  </si>
  <si>
    <t>10/31 -Coordinated with MOD upon arrival.
-Checked POS B connection; detected 100 Mbps link speed.
-Re-crimped LAN cable on POS B side – still 100 Mbps.
-Re-crimped LAN cable on Meraki side – still 100 Mbps.
-Re-crimped end-to-end three more times – still 100 Mbps; noted that POS B LAN cable on Meraki side no longer has allowance for further crimping.
-Cleaned POS B LAN port – still 100 Mbps.
-Coordinated with PASI regarding the issue; advised that 100 Mbps is acceptable as long as BOS maintains 1.0 Gbps and pings between BOS and POS B are stable.
-Verified network connectivity and latency:
*POS B → Google: Good, stable, and pingable
*POS B → BOS: Good, stable, and pingable
*BOS → POS B: Good, stable, and pingable
-Checked BOS network adapter speed – 1.0 Gbps (Good)
-Checked BOS firewall – all settings off (Good)
-Observed POS B operation for a while – no errors encountered, transactions processed successfully.
-Work completed.</t>
  </si>
  <si>
    <t xml:space="preserve">POS B network and connection tested stable.
</t>
  </si>
  <si>
    <t>Marvin Benito</t>
  </si>
  <si>
    <t xml:space="preserve">FSBP00128097 </t>
  </si>
  <si>
    <t>PPM92003</t>
  </si>
  <si>
    <t>POS B Printer -auto shutdown</t>
  </si>
  <si>
    <t xml:space="preserve">10/31 -Coordinated with MOD upon arrival for POS B printer inspection.
-Upon arrival, POS B was operational.
-Checked all cables and inspected for broken hooks; no physical issues found.
-Performed test prints via LSNAV, OPOS, and Self Print – all successful.
-MOD reported that POS B occasionally experiences unexpected shutdowns.
-Checked POS B components and reseated all cables; cleaned RAM.
-Verified power cord reading: 209V.
-Checked UPS voltage: 206V.
-Checked power outlet voltage: 209V.
-Observed unit operation for 30 minutes.
-Verified results with MOD.
</t>
  </si>
  <si>
    <t xml:space="preserve">Reseated printer cable and checked all POS B components.
</t>
  </si>
  <si>
    <t xml:space="preserve">FSBP00128615 </t>
  </si>
  <si>
    <t>SB198</t>
  </si>
  <si>
    <t>SM BATANGAS</t>
  </si>
  <si>
    <t>HVA1N4HP</t>
  </si>
  <si>
    <t>Store Tablet - back to default settings</t>
  </si>
  <si>
    <t xml:space="preserve">10/31 -Coordinated with MOD upon arrival.
-Performed tablet reset.
-Set up tablet and entered provided email; scanned QR code for configuration.
-Installed and configured all required applications: QR Scanner, RCOC Learning, Files, OneDrive, and Quick Support.
-Set up Microsoft Authenticator; verified functionality with MOD witness.
</t>
  </si>
  <si>
    <t xml:space="preserve">Tablet reset and installed, configured all required applications: QR Scanner, RCOC Learning, Files, OneDrive, and Quick Support.
</t>
  </si>
  <si>
    <t>Peter John Andal</t>
  </si>
  <si>
    <t xml:space="preserve">FSBP00128567 </t>
  </si>
  <si>
    <t>All POS - For the past week, store experienced POS lagging, slow printing, and transaction</t>
  </si>
  <si>
    <t>10/31 -Coordinated with MOD upon arrival regarding the main issue.
-Performed ping test on both POS units.
-Re-crimped LAN cable and replaced RJ45 connectors (end-to-end) three times.
-Conducted ping and LAN tests after re-crimping – both POS units working but still detected at 100 Mbps connection speed.
-Verified that network communication was stable and both POS units were functioning properly.</t>
  </si>
  <si>
    <t xml:space="preserve">Network connection stabilized after re-crimping and cable replacement.
</t>
  </si>
  <si>
    <t>Rojo-Jaerold Chyle Marayag</t>
  </si>
  <si>
    <t xml:space="preserve">FSBP00128685 </t>
  </si>
  <si>
    <t>HVA1N4QQ</t>
  </si>
  <si>
    <t>Store Tablet - reset to default settings</t>
  </si>
  <si>
    <t xml:space="preserve">10/31 - Upon arrival borrow store tablet
- Hard reset tablet in qr code scan
- Connect wifi after scan qr code
- Follow instruction to configure tablet
- Install default application
- Test one by one
- Open authenticator
- Request RCOC to revoke for partners email
- After successfully signing in partners email in tablet test by MOD
- Tested by MOD. DOne
</t>
  </si>
  <si>
    <t>reset and set-up tablet</t>
  </si>
  <si>
    <t>Pedro Tingzon</t>
  </si>
  <si>
    <t xml:space="preserve">FSBP00128473 </t>
  </si>
  <si>
    <t>Defective Motherboard</t>
  </si>
  <si>
    <t>POS A - Motherboard for replacement as recommendation of FE on ticket FSBP00128358</t>
  </si>
  <si>
    <t xml:space="preserve">11/1 -Approached MOD for approval.
-Disassembled POS A (Posiflex unit).
-Installed new motherboard and re-aligned cables.
-Performed configuration and testing procedures.
-Verified network connectivity (ping test successful).
-Conducted FTS with MOD — work approved.
</t>
  </si>
  <si>
    <t xml:space="preserve">Installed new motherboard and re-aligned cables.
</t>
  </si>
  <si>
    <t>Mother Board</t>
  </si>
  <si>
    <t>KSN70090</t>
  </si>
  <si>
    <t>Robert Odronia &amp; Rojo-Jaerold Chyle</t>
  </si>
  <si>
    <t>Sean Arañas</t>
  </si>
  <si>
    <t xml:space="preserve">FSBP00128680 </t>
  </si>
  <si>
    <t>PC03XJJG</t>
  </si>
  <si>
    <t>MWS - stock up on Backoffice account loading only</t>
  </si>
  <si>
    <t xml:space="preserve">11/1 -Coordinated with the MOD regarding the reported issue.
-Verified that the MWS Backoffice account was accessible and working after waiting several minutes for it to load.
-Conducted the following troubleshooting steps:
*Ran CHKDSK – found and repaired corrupted files.
*Performed SFC /scannow – repaired additional corrupted system files.
*Checked HDD health – status good.
-Restarted the unit; issue persisted initially (Backoffice user login time: 7 minutes).
-Deleted temporary files.
-Optimized and defragmented Local Disk C:
-Performed a malware scan – no threats detected.
-Disabled automatic updates.
-Verified network status – 1 Gbps.
-Restarted the unit – boot time improved to 3 minutes (faster than before, as confirmed by MOD).
-Tested Switch User function – no delay, including for the Backoffice user.
-After isolation, the Backoffice user was able to log in faster.
-Advised MOD to allow the MWS system to run for 2–3 minutes before opening applications.
</t>
  </si>
  <si>
    <t xml:space="preserve">Optimized system performance by repairing corrupted files, deleting temporary files, and defragmenting the disk; Backoffice account now loads properly.
</t>
  </si>
  <si>
    <t xml:space="preserve"> Lilio Abrida
</t>
  </si>
  <si>
    <t xml:space="preserve">FSBP00128385 </t>
  </si>
  <si>
    <t>POS B Printer - Not printing receipt properly</t>
  </si>
  <si>
    <t>11/1 -Upon arrival, checked POS B printer.
-Printer intermittently printing properly.
-Observed minor damage on printer hook.
-Rebooted and cleaned printer – issue persisted.
-Proceeded with printer replacement.
-Installed driver for new printer and performed print test – passed.
-Conducted test print with MOD – approved.
-Pulled out old printer.</t>
  </si>
  <si>
    <t xml:space="preserve">Replaced defective POS B printer with new unit.
</t>
  </si>
  <si>
    <t>PPP81978</t>
  </si>
  <si>
    <t>Rona Marasigan</t>
  </si>
  <si>
    <t xml:space="preserve">FSBP00128568 </t>
  </si>
  <si>
    <t>60-16803</t>
  </si>
  <si>
    <t>POS A Drawer 1 - Not opening</t>
  </si>
  <si>
    <t>11/1 -Upon arrival, coordinated with MOD.
-Checked POS A and found Cash Drawer 1 cable defective.
-Replaced the Cash Drawer 1 cable.
-Verified functionality – Cash Drawer 1 now opens automatically. Test witnessed by MOD.
-MOD also reported that Cash Drawer 2 was not opening.
-Reseated Cash Drawer 2 cable and restarted POS.
-Verified functionality – Cash Drawer 2 now opens automatically. Test witnessed by MOD.</t>
  </si>
  <si>
    <t xml:space="preserve">Replaced Cash Drawer 1 cable and reseated and secured Cash Drawer 2 cable.
</t>
  </si>
  <si>
    <t>CASH DRAWER</t>
  </si>
  <si>
    <t>Jericho Rada, Rojo – Jaerold Chyle</t>
  </si>
  <si>
    <t xml:space="preserve">Justine Mabute
</t>
  </si>
  <si>
    <t>FSBP00128373</t>
  </si>
  <si>
    <t>TOSHIBA, TOSHIBA</t>
  </si>
  <si>
    <t>E70, E70</t>
  </si>
  <si>
    <t>41NY890, 41NY929</t>
  </si>
  <si>
    <t>BOS - POS A and POS B error "POS unresponsive"</t>
  </si>
  <si>
    <t>11/1 -Checked network properties of both POS units (initially 100 Mbps).
-Re-crimped LAN cables for POS A and POS B (both ends).
-Verified network properties (now 1 Gbps).
-Conducted ping test – no RTOs observed on both sides.
-Monitored performance.</t>
  </si>
  <si>
    <t>Re-crimped LAN cables for POS A and POS B (both ends).</t>
  </si>
  <si>
    <t xml:space="preserve">FSBP00128719 </t>
  </si>
  <si>
    <t>0KHJHNJTA00002P</t>
  </si>
  <si>
    <t>DT Pre Menuboard - 10.161.220.36 RTO not pingable</t>
  </si>
  <si>
    <t xml:space="preserve">11/1-Upon arrival, ping test to Pre-Menu Panel resulted in RTO. No LED indicator observed on 24-port switch (Port 14).
-Verified Pre-Menu LAN cable continuity using LAN tester – cable tested OK.
-Re-seated LAN cable on both the Pre-Menu Panel and the 24-port switch (Port 14) – still experiencing RTO.
-Replaced the LAN cable with a spare (connected to Pre-Menu 2).
-Performed ping test again – continuous, no RTO. Port 14 LED indicator now active.
-Work completed successfully.
</t>
  </si>
  <si>
    <t xml:space="preserve">Replaced the LAN cable to Pre-Menu 2 (spare LAN cable).
</t>
  </si>
  <si>
    <t xml:space="preserve">JD De Leon
</t>
  </si>
  <si>
    <t>FSBP00128753</t>
  </si>
  <si>
    <t>FILINVEST AVENUE</t>
  </si>
  <si>
    <t>BOS Black Screen</t>
  </si>
  <si>
    <t>Dell P3680</t>
  </si>
  <si>
    <t>1688JB4</t>
  </si>
  <si>
    <t>BOS Black screen</t>
  </si>
  <si>
    <t xml:space="preserve">11/1 -Upon arrival, waited for MOD go signal.
-Checked BOS and confirmed black screen issue.
-Restarted BOS twice — issue persisted.
-Restarted again — display appeared.
-Checked display driver — GPU was enabled.
-Disabled GPU and set display driver to Microsoft Basic Display Adapter.
-Restarted BOS — display appeared normally.
-Coordinated with PASI to verify if BOS was remotable — confirmed remotable.
</t>
  </si>
  <si>
    <t xml:space="preserve">Adjusted display driver configuration.
</t>
  </si>
  <si>
    <t>Benigno Aquino</t>
  </si>
  <si>
    <t>FSBP00124164</t>
  </si>
  <si>
    <t>PP050340</t>
  </si>
  <si>
    <t>11/2 -Upon arrival, verified that the printer hook was broken.
-Found that the printer warranty had expired.
-Informed Sir Jericho regarding the need for replacement parts.
-Awaited delivery of replacement parts.</t>
  </si>
  <si>
    <t xml:space="preserve">Delivered and installed a new printer.
</t>
  </si>
  <si>
    <t>PPP81937</t>
  </si>
  <si>
    <t>PP040909</t>
  </si>
  <si>
    <t>Sean Rey Matias</t>
  </si>
  <si>
    <t>FSBP00128727</t>
  </si>
  <si>
    <t>PP 7600X</t>
  </si>
  <si>
    <t>PPM80654</t>
  </si>
  <si>
    <t>POS B Printer - wont print</t>
  </si>
  <si>
    <t xml:space="preserve">11/2 -Upon arrival, coordinated with MOD for POS B printer checking.
-Confirmed that the printer hook was broken.
-Proceeded with printer replacement.
-Performed test printing (self-test, OPOS, and LS NAV) — all results OK.
-Verified functionality with MOD.
-Work completed successfully.
</t>
  </si>
  <si>
    <t xml:space="preserve">Replaced defective POS B printer with a new unit.
</t>
  </si>
  <si>
    <t>PPP81962</t>
  </si>
  <si>
    <t>SD CHA</t>
  </si>
  <si>
    <t xml:space="preserve">Ferdinand Decena
</t>
  </si>
  <si>
    <t>FSBP00128786</t>
  </si>
  <si>
    <t>PETRON SOUTH LUZON EXPRESSWAY</t>
  </si>
  <si>
    <t>41KY752</t>
  </si>
  <si>
    <t xml:space="preserve">11/2 -Upon arrival, coordinated with MOD for POS A checking.
-Verified that POS A was up and running upon arrival.
-Checked HDD status — 100% health.
-Reviewed Event Viewer — no record of unexpected shutdown on the reported date.
-Performed memory diagnostics — no errors detected.
-Scanned system for corrupted files — no issues found.
-Cleaned RAM and re-seated all internal components and cables.
-Restarted the unit multiple times — no issues encountered.
-Conducted transaction testing — all processes working properly.
-Observed the system for 20 minutes — no problems occurred.
-Verified results with MOD.
-Work completed successfully.
</t>
  </si>
  <si>
    <t xml:space="preserve">Performed full system diagnostics: memory test, HDD health check, Event Viewer log review, and corrupted file scan.
</t>
  </si>
  <si>
    <t>4:36:00 PM, 5:42 PM</t>
  </si>
  <si>
    <t>4:55:00 PM, 6:02 PM</t>
  </si>
  <si>
    <t>Jon De Vera</t>
  </si>
  <si>
    <t>FSBP00128850</t>
  </si>
  <si>
    <t>SB172</t>
  </si>
  <si>
    <t>SM PAMPANGA</t>
  </si>
  <si>
    <t>6MQ7S24524003164</t>
  </si>
  <si>
    <t>DITO LTE deployment.</t>
  </si>
  <si>
    <t xml:space="preserve">11/3 - Upon arrival, coordinate to MOD
- Conduct stand alone of DITO LTE, test speedtest at the Oklahoma, ping 8888
- MOD witness that all transactions are working.
- Sir Jade advised to stand alone the philcom to proof, the connection is not working and test speedtest and YouTube. But still not working.
</t>
  </si>
  <si>
    <t>deployed DITO LTE</t>
  </si>
  <si>
    <t>Armand Morales</t>
  </si>
  <si>
    <t xml:space="preserve">FSBP00128792 </t>
  </si>
  <si>
    <t xml:space="preserve"> SM CDO DOWNTOWN PREMIER</t>
  </si>
  <si>
    <t>M900 MT-M10FG-S1R501</t>
  </si>
  <si>
    <t>PC0JRPSC</t>
  </si>
  <si>
    <t xml:space="preserve"> BOS - for checking of connectivity (only 100mbps)</t>
  </si>
  <si>
    <t xml:space="preserve">11/2 -Upon arrival, coordinated with MOD.
-Checked BOS connection; confirmed LAN speed was only 100 Mbps.
-Recrimped LAN cable.
-Verified network speed — now running at 1.0 Gbps.
</t>
  </si>
  <si>
    <t xml:space="preserve">Recrimped LAN cable to restore full 1.0 Gbps connectivity.
</t>
  </si>
  <si>
    <t xml:space="preserve"> Ms. Cherry May Agustin</t>
  </si>
  <si>
    <t xml:space="preserve">FSBP00128626 </t>
  </si>
  <si>
    <t>SB583</t>
  </si>
  <si>
    <t>SM CITY SORSOGON</t>
  </si>
  <si>
    <t>PPM92045</t>
  </si>
  <si>
    <t xml:space="preserve"> POS A Printer Blurred Print out</t>
  </si>
  <si>
    <t xml:space="preserve">11/1 HD MM - ack ticket as pending, VEI ISO  found printer broken hook, reco for replacement - parts for shipment today c/o asset team
11/3 -Coordinated with MOD and confirmed the reported issue.
-Replaced the defective printer with a new unit.
-Installed necessary drivers and performed setup.
-Conducted test prints through OPOS and NAV.
-Verified successful test print and normal printer operation, confirmed by the MOD.
-Pulled out the defective printer.
</t>
  </si>
  <si>
    <t xml:space="preserve">Replaced the defective printer with a new unit.
</t>
  </si>
  <si>
    <t>PPP81953</t>
  </si>
  <si>
    <t>Jeffrey A. Baluscan</t>
  </si>
  <si>
    <t>Jonathan Atienza</t>
  </si>
  <si>
    <t>FSBP00128855</t>
  </si>
  <si>
    <t xml:space="preserve"> BOS TeamViewer - Display black screen and cannot remote</t>
  </si>
  <si>
    <t xml:space="preserve">11/3 -Upon arrival, borrowed MWS for remote testing.
-Attempted to remote BOS from MWS — unable to connect.
-Performed ping test to BOS — device is pingable.
-Retrieved VGA cable and connected BOS to CCTV monitor.
-Observed black screen with visible cursor.
-Attempted to restart display driver using Win + Ctrl + Shift + B — screen blinked but display did not return.
-Tried Ctrl + Alt + Delete — no response.
-Waited for customer activity to subside before proceeding.
-Restarted BOS — display restored successfully.
-Conducted TeamViewer test with Brent — confirmed working.
-Work completed.
</t>
  </si>
  <si>
    <t>Restarted BOS to restore display functionality.</t>
  </si>
  <si>
    <t>Jude Tolores</t>
  </si>
  <si>
    <t>FSBP00128808</t>
  </si>
  <si>
    <t>SB285</t>
  </si>
  <si>
    <t>AGUIRRE COR. F. CRUZ - BF HOMES</t>
  </si>
  <si>
    <t>PP7600X00B020</t>
  </si>
  <si>
    <t>POS A Printer Auto shutdown</t>
  </si>
  <si>
    <t xml:space="preserve">11/2 HD AB - asked for printer details
11/3 - Coordinated with MOD upon arrival.
-Paused time upon arrival.
-Observed the printer during 20 test transactions — issue did not persist.
-As per MOD, they had previously re-seated the data cable, and the issue has not reoccurred since.
-Performed stress test by printing 30 transaction receipts — issue still did not persist.
-Verified that POS A printer is functioning properly.
-Secured both data and power cables of the printer.
-Re-aligned the printer data cable.
-Work completed successfully.
</t>
  </si>
  <si>
    <t>Re-aligned data cable and secured power cable.</t>
  </si>
  <si>
    <t>Richard Allen Cruz / John Loyd Tapia</t>
  </si>
  <si>
    <t>Gab Bilog</t>
  </si>
  <si>
    <t xml:space="preserve">FSBP00129080 </t>
  </si>
  <si>
    <t>6MQ7S24524003161</t>
  </si>
  <si>
    <t>Converge Fiber Internet Activation Nov 4-5 10am-5pm</t>
  </si>
  <si>
    <t>11/3 -Coordinated with MOD.
-Borrowed back office area to conduct standalone testing.
-Conducted standalone testing using the provided IP configuration:
*IP Address: 27.49.244.4
*Subnet Mask: 255.255.255.192
*Gateway: 27.49.244.1
*DNS: 161.49.49.49
-Performed constant ping to 8.8.8.8 and conducted speed tests via laptop.
-Switched connection from DITO LTE to Converge (Port 02 of MX to LAN1 of Converge modem).
-Conducted speed tests on SB SSID (Komodo, SB Delivery, SB Customer).
-Observed connectivity for 30 minutes to ensure stability.
-Pulled out DITO LTE device via LBC Shipping Center; documented shipping details.
-Obtained tracking number and OR receipt.
-Submitted activity report.
-Work completed successfully.</t>
  </si>
  <si>
    <t xml:space="preserve">Converge Fiber Internet successfully activated.
</t>
  </si>
  <si>
    <t>Mark De Pedro</t>
  </si>
  <si>
    <t>Paulo</t>
  </si>
  <si>
    <t>FSBP00128886</t>
  </si>
  <si>
    <t>POS B, POS A</t>
  </si>
  <si>
    <t>4852-E70, 4852-E70</t>
  </si>
  <si>
    <t>41VZ421</t>
  </si>
  <si>
    <t>Both POS - slow/lagging</t>
  </si>
  <si>
    <t xml:space="preserve">11/3 -Coordinated with MOD upon arrival.
-Checked both POS units; both were down and not connecting to LS Nav.
-Verified adapter settings for POS A and POS B; both at 1.0 Gbps.
-Restarted both POS units; still not connecting to LS Nav.
-Checked BOS; pingable but displayed blue screen.
-Coordinated with MOD to restart BOS; restarted successfully.
-Verified BOS connectivity; ping stable.
-Tested LS Nav on both POS units; only POS A connected.
-Checked POS B IPv4; configuration correct.
-Coordinated with PASI.
-Inspected POS B printer; found paper jam (red light).
-Cleared POS B printer paper jam; printer operational.
-Retested LS Nav on POS B; connection successful.
-Tested transactions on both POS units; confirmed working by MOD.
-Checked TeamViewer on BOS; outdated.
-Updated TeamViewer on BOS; remote access now functional.
-Verified BOS IPv4; configuration correct.
-Checked MWS IPv4; found configuration mismatch.
-Restored MWS configuration to normal; ping all devices stable and responsive.
-Conducted final transaction tests on both POS units; confirmed working by MOD.
-Observed system stability; no further issues.
</t>
  </si>
  <si>
    <t xml:space="preserve">Restart BOS, Updated TeamViewer on BOS.
</t>
  </si>
  <si>
    <t>Alvin Irangia</t>
  </si>
  <si>
    <t>FSBP00128804</t>
  </si>
  <si>
    <t>Executable not found</t>
  </si>
  <si>
    <t>41MA646, 41LZ971</t>
  </si>
  <si>
    <t>POS B - Error "Executable not found: C:\Program Files (x86)\Microsoft Dynamics NAV\90\Role Tailored Client\Microsoft Dynamics.Nav.Client.x86.exe"</t>
  </si>
  <si>
    <t xml:space="preserve">11/3 -Upon arrival, coordinated with MOD regarding the reported issue.
-Proceeded with re-domain of POS A and POS B.
-Configured auto logon for both POS A and POS B after joining to domain.
-Checked peripherals with PASI’s assistance; all functioning properly.
-Swapped Cash Drawer 1 and Cash Drawer 2 for verification.
-Observed slow receipt printing issue after re-domain.
-Checked BOS performance and found high utilization causing slow response in printing and transactions.
-Verified that both memory and disk utilization were at high levels on BOS.
</t>
  </si>
  <si>
    <t>Re-domain completed for POS A and POS B.</t>
  </si>
  <si>
    <t>2:15 PM, 3:34 PM, 6:05 PM</t>
  </si>
  <si>
    <t>2:50 PM, 4:05 PM, 7:00 PM</t>
  </si>
  <si>
    <t>Chris Dimetrio</t>
  </si>
  <si>
    <t>FSBP00128042</t>
  </si>
  <si>
    <t>SB316</t>
  </si>
  <si>
    <t>SM CITY  DAVAO - GF</t>
  </si>
  <si>
    <t>KSM60478</t>
  </si>
  <si>
    <t xml:space="preserve"> JV - POS and B Maya Terminal- Communication with terminal has timed out</t>
  </si>
  <si>
    <t>10/31 HD AB - Request for reschedule for MOBO shipment. 
11/4 - Upon arrival coordinate MOD
- Replaced MOBO
- Reconfig by PASI
- Test Card transaction
- POS B is still error occurred</t>
  </si>
  <si>
    <t>replaced motherboard</t>
  </si>
  <si>
    <t>Motherboard</t>
  </si>
  <si>
    <t>MAYA Team</t>
  </si>
  <si>
    <t>Leazel Sta.Ana</t>
  </si>
  <si>
    <t xml:space="preserve">FSBP00129019 </t>
  </si>
  <si>
    <t>PP040108</t>
  </si>
  <si>
    <t>POS B Printer won't print due to a part of printer was detached</t>
  </si>
  <si>
    <t>11/4 - Upon arrival, Coordinate to MOD
- Proceeded to check the reported device; found printer hook is broken
- Waiting for parts
- Install new printer
- Test multiple times; MOD approved
- Pull out defective printer
- Work done.</t>
  </si>
  <si>
    <t>replaced POS B printer (Posiflex)</t>
  </si>
  <si>
    <t>PPP81979</t>
  </si>
  <si>
    <t>2:56 PM, 4:00 PM</t>
  </si>
  <si>
    <t>3:29 PM, 5:00 PM</t>
  </si>
  <si>
    <t>Shiela Gregorio</t>
  </si>
  <si>
    <t>FSBP00128891</t>
  </si>
  <si>
    <t>PP040066</t>
  </si>
  <si>
    <t>11/3 HD MM - requesting complete L1 and photos
11/4 SD provided L1- acknowledged the ticket
11/4 Coordinate with the MOD
-Proceed with checking of the printer
-Checked hook, good condition
-Reseated and secured cables
-Conducted test print thru OPOS
-Restarted the POS B and requested PASI for checking.
-After PASI configuration proceed to restart POS.
-Conducted test print thru OPOS and NAV and observed transactions.
-POS B printer status is ok, confirmed by the MOD</t>
  </si>
  <si>
    <t>Reseated and secured cables</t>
  </si>
  <si>
    <t xml:space="preserve">Rojo-Jaerold Chyle </t>
  </si>
  <si>
    <t>Jaqui blancada</t>
  </si>
  <si>
    <t>FSBP00128362</t>
  </si>
  <si>
    <t>SB563</t>
  </si>
  <si>
    <t>VILLA MANUELA FRIENDSHIP ROAD ANGELES CITY</t>
  </si>
  <si>
    <t>HA1QGGBC</t>
  </si>
  <si>
    <t>Store tablet - needs to be locked to Managed Home Screen</t>
  </si>
  <si>
    <t>11/5 Upon arrival, coordinated with the MOD regarding the issue.
- Identified that the store tablet needs to be locked to manage the home screen.
- L2 conducted erase all data (factory reset).
- After factory reset, updated all applications.
- Updated kiosk apps and performed configuration.
- No need for an authenticator.
- MOD tested the tablet and confirmed it is now working.</t>
  </si>
  <si>
    <t>reset and setup tablet</t>
  </si>
  <si>
    <t>Jon Vincent Macapagal</t>
  </si>
  <si>
    <t>FSBP00129149</t>
  </si>
  <si>
    <t xml:space="preserve"> AVIDA TOWERS VERTE</t>
  </si>
  <si>
    <t>HA1QL6R7</t>
  </si>
  <si>
    <t>Store Tablet - Auto Reset (Formatted)</t>
  </si>
  <si>
    <t xml:space="preserve">11/5 - Upon arrival coordinate with MOD
- Tablet is lowbat; waiting to charge.
- Proceed to reset tablet
- Set-up tablet; enter given email, Scan the qr code
- Set-up all apps; QR scanner,RCOC learning,files, one drive, quick support
- Set-up authenticator; test by MOD witness that authenticator is properly working
</t>
  </si>
  <si>
    <t>Reset &amp; Set-up tablet</t>
  </si>
  <si>
    <t>Rence Anoche</t>
  </si>
  <si>
    <t>FSBP00129112</t>
  </si>
  <si>
    <t xml:space="preserve"> HVA18L4R</t>
  </si>
  <si>
    <t xml:space="preserve">Store Tablet - Was reset and needs a google account to access the tablet
</t>
  </si>
  <si>
    <t>11/5 - Upon arrival coordinate to MOD for store tablet checking
- Confirmed, tablet is set to default
- Reset tablet
- Coordinate to RCOC for email verification
- Set up device
- Install all required apps
- Sync policies
- Set up authenticator app
- Verify to MOD
- Work done</t>
  </si>
  <si>
    <t>Reset &amp; Set up store tablet</t>
  </si>
  <si>
    <t>Millard Monzon &amp; John Loyd Tapia</t>
  </si>
  <si>
    <t>FSBP00129153</t>
  </si>
  <si>
    <t>41MK225</t>
  </si>
  <si>
    <t>POS B - LSStart has stopped working error</t>
  </si>
  <si>
    <t xml:space="preserve">11/5 - Upon arrival, Coordinate to MOD
- HDD has 98% health
- Checkdisk; got bad sector
- Reco need new HDD
- Reformat
- Reimage
- Config by PASI
- Observe
- Work done.
</t>
  </si>
  <si>
    <t>reimage POS B (reco HDD replacement - replaced 11/15 under ticket FSBP00129414)</t>
  </si>
  <si>
    <t>5:30 PM, 6:30 PM</t>
  </si>
  <si>
    <t>6:30 PM, 7:30 PM</t>
  </si>
  <si>
    <t>Saki Akimoto</t>
  </si>
  <si>
    <t>FSBP00129221</t>
  </si>
  <si>
    <t>SB217</t>
  </si>
  <si>
    <t>ANSONS BLDG - ADB AVE</t>
  </si>
  <si>
    <t>Smart LTE temporary deployment</t>
  </si>
  <si>
    <t>11/5 - Already onsite for New Store Renov
- Awaiting parts delivery
- Assess possible location of Smart BIZ LTE
- Standalone testing at BOH/FOH; Test OK
- Perform speedtest; Done</t>
  </si>
  <si>
    <t>Marlon Lee, Richard Cruz</t>
  </si>
  <si>
    <t>RCOC</t>
  </si>
  <si>
    <t>FSBP00129188</t>
  </si>
  <si>
    <t>SB284</t>
  </si>
  <si>
    <t>MAGSAYSAY AVE-NAGA CITY</t>
  </si>
  <si>
    <t xml:space="preserve"> 4852-E70 </t>
  </si>
  <si>
    <t>41NY912</t>
  </si>
  <si>
    <t>POS B is working properly by RTO in pingtest</t>
  </si>
  <si>
    <t xml:space="preserve">11/5 - Coordinate to MOD
- Check the Cable on POS B
- Reseat Cable from POS B and MX Port 5
- Remote BOS thru MWS PC
- Ping test POS B in BOS; Good
- Check Connection speed; 1GBPS
- Test POS B witnessed by MOD
- POS B working properly
- Work done
</t>
  </si>
  <si>
    <t>reseat cable</t>
  </si>
  <si>
    <t>Charlene Maniscan</t>
  </si>
  <si>
    <t xml:space="preserve"> FSBP00129308 </t>
  </si>
  <si>
    <t>HA1MRC35</t>
  </si>
  <si>
    <t>10/5 Coordinated with MOD upon arrival.
- Performed a hard reset on the old tablet.
- Follow the standard configuration for tablet
- Waiting for intune updates to Reinstall all apps.
- Updated all applications and configured the kiosk app after installation.
- Sir Marvin from RCOC sent the email revocation for the Authenticator to the MWS PC.
- MOD witnessed the authenticator setup and performed testing.
- Device confirmed to be working properly.</t>
  </si>
  <si>
    <t>Jon Vince Macapagal</t>
  </si>
  <si>
    <t xml:space="preserve"> FSBP00125264</t>
  </si>
  <si>
    <t>SB304</t>
  </si>
  <si>
    <t>HANSTON SQUARE</t>
  </si>
  <si>
    <t>Request for cable grooming in MWS area</t>
  </si>
  <si>
    <t>11/6 Upon arrival, coordinte to MOD regarding the Activity of Grooming in the back office  @ 23:23 to 6am.
-Trends personnel check assign  devices
-start grooming at 23:30 after trends personnel checking trends conduct test the network connection of Cisco AP.
-connection from MX MERAKI switch unable to hide due to no borehole on shelves for outgoing cable
-found secondary Internet down status this recorded and test by trends
-remove all unwanted cable and device
-tag and reterminate defective RJ45
-test all connection end to end aftre recabling
- done grooming. MOD witness the all cable is already properly arrange.
Ticket Close.</t>
  </si>
  <si>
    <t>successful cable gromming</t>
  </si>
  <si>
    <t>Elvin Abella / Robert Odronia</t>
  </si>
  <si>
    <t>lexare villanueva</t>
  </si>
  <si>
    <t>FSBP00129218</t>
  </si>
  <si>
    <t>AR600</t>
  </si>
  <si>
    <t>2S2340010321</t>
  </si>
  <si>
    <t>Globe Fiber Activation</t>
  </si>
  <si>
    <t>11/6Upon arrival standalone test globe; stable and good
- Connect globe to port 1 of meraki
- transfer pldt to port 2 of meraki
- Wait for confirmation of RCOC
- Observe for 30mins; good
- pull out smart LTE. Work done</t>
  </si>
  <si>
    <t>Activate Globe fiber to wan 1</t>
  </si>
  <si>
    <t>FSBP00129219</t>
  </si>
  <si>
    <t>INFINIVAN/ Converge</t>
  </si>
  <si>
    <t>485754430D2D4A85/ZTEEQTTQ8511948</t>
  </si>
  <si>
    <t>ISP Activation</t>
  </si>
  <si>
    <t xml:space="preserve">11/6 Upon arrival, checked infinivan.
-IP is not working
-terminate it to FX is up
-standalone test good
-Checked Converge IP is unidentified
-Terminate to MX still down
-Advised Sir Bryan and he acknowledged
-Pull out Smart LTE
-Reco to converge
</t>
  </si>
  <si>
    <t xml:space="preserve">Port 1 - Infinivan, Port 2 - PLDT Converge dow, reco to converge </t>
  </si>
  <si>
    <t>Noellene Sulit</t>
  </si>
  <si>
    <t>FSBP00129216</t>
  </si>
  <si>
    <t>SB219</t>
  </si>
  <si>
    <t>FEU-REGALADO</t>
  </si>
  <si>
    <t>EC2408000420</t>
  </si>
  <si>
    <t>Converge Fiber Internet Activation</t>
  </si>
  <si>
    <t>11/6Upon arrival coordinate to mode
- check converge
- perform standalone
- ping 8.8.8.8
- speedtest 3x
- connect converge to port 1
- connect pldt to port 2
- confirm sir bryan converge and pldt is up
- work done</t>
  </si>
  <si>
    <t>connect to port 1 converge and port 2 pldt</t>
  </si>
  <si>
    <t>Kharen Hontiveros</t>
  </si>
  <si>
    <t>FSBP00129249</t>
  </si>
  <si>
    <t>HVA1P5ZY</t>
  </si>
  <si>
    <t xml:space="preserve"> Store Tablet - Tablet unable to use by MOD after opening / "The device was reset. To continue, sign in with a Google Account" &amp; "License Agreement" display</t>
  </si>
  <si>
    <t>11/6 -Coordinated with MOD upon arrival and borrowed the store tablet.
-Confirmed that the tablet was not yet set up.
-Performed a hard reset on the tablet.
-Set up the tablet and installed all required applications.
-Restarted the tablet and exited kiosk mode.
-Conducted compliance check with RCOC – result Good.
-MOD raised a concern regarding a lagging POS.
-Performed ping tests on all devices – results stable.
-Advised PASI regarding lagging issue with LS NAV.
-PASI performed remote checks.
-Tablet tested by MOD – result Good.</t>
  </si>
  <si>
    <t xml:space="preserve">Tablet successfully reset and reconfigured.
</t>
  </si>
  <si>
    <t>Ramil Bantog</t>
  </si>
  <si>
    <t xml:space="preserve"> FSBP00129012</t>
  </si>
  <si>
    <t xml:space="preserve"> D' VERDE COMMERCIAL CENTER</t>
  </si>
  <si>
    <t>HVA1P64P</t>
  </si>
  <si>
    <t>Store Tablet went back to its default setting and installed applications were missing including authenticator for 448_partners email.</t>
  </si>
  <si>
    <t xml:space="preserve">11/6 -Coordinated with MOD upon arrival.
-Reset the tablet.
-Set up the tablet and logged in using the provided email.
-Scanned the QR code to configure settings.
-Installed and set up all required applications:
*QR Scanner
*RCOC Learning
*Files
*OneDrive
*Quick Support
-Configured the Authenticator app.
-Tested the Authenticator in the presence of MOD, who confirmed it was working properly.
</t>
  </si>
  <si>
    <t xml:space="preserve">Tablet reset and reconfigured
</t>
  </si>
  <si>
    <t>Ronalyn Marasigan</t>
  </si>
  <si>
    <t xml:space="preserve"> FSBP00129257 </t>
  </si>
  <si>
    <t xml:space="preserve"> POS A Power Button - Damage power button resulting POS hard to power-on</t>
  </si>
  <si>
    <t xml:space="preserve">11/6upon arrival, pos a is operational.
-coordinated with sir rico and advised for bezel replacement since it reoccurs.
-waiting for parts.
-replace pos A bezel and tested.
-work done.
</t>
  </si>
  <si>
    <t>Pos A bezel replacement.</t>
  </si>
  <si>
    <t>11S742990YK12R6616052</t>
  </si>
  <si>
    <t>11S429990YK11R65CM088</t>
  </si>
  <si>
    <t xml:space="preserve"> Jason Aspa</t>
  </si>
  <si>
    <t>FSBP00129260</t>
  </si>
  <si>
    <t xml:space="preserve"> SHELL LOGCOM</t>
  </si>
  <si>
    <t>OM55N-5</t>
  </si>
  <si>
    <t>KHJHNQX4000007W</t>
  </si>
  <si>
    <t>DTO - Unreachable/RTO</t>
  </si>
  <si>
    <t xml:space="preserve">11/6 - Coordinated with MOD upon arrival.
-Performed ping test on Content PC – RTO.
-Reseated LAN connections end-to-end; issue persisted.
-Remotely accessed Content PC and turned off the firewall – connection restored.
-ITI and PASI performed remote checks; camera still unreachable.
-Resocketed USB port and re-crimped LAN cable end-to-end – connection restored.
-Verified system functionality – all working properly.
</t>
  </si>
  <si>
    <t xml:space="preserve">Re-crimped end-to-end LAN cable.
</t>
  </si>
  <si>
    <t>Joanna Archino</t>
  </si>
  <si>
    <t>FSBP00129186</t>
  </si>
  <si>
    <t xml:space="preserve"> BOS - destination host unreachable</t>
  </si>
  <si>
    <t>11/5 - Upon arrival coordinate with MOD
- BOS can remote thru TeamViewer; also confirmed by PASI
- Ping test BOS for 1HOUR; continuous ping
- Upon checking BOS LAN connection is only 100MBPS
- Reseat LAN cable; but still 100MBPS
- BOS LAN cable need to recrimp
- As per MOD they can't afford during store hours since they have long line
- Store Hours 11:30PM (FOR CUSTOMER) 1:00AM (FOR PARTNERS)
11/6 Coordinated with MOD Cindy regarding the issue.
-Checked network connection status; initially detected at 100 Mbps.
-Re-crimped both ends of the Ethernet cable — connection speed improved to 1.0 Gbps.
-Verified BOS connectivity with MWS, POS A, and POS B after re-crimping.
-Found that host files on MWS and POS A &amp; B were not properly configured; corrected the configuration.
-Monitored the connection for 30 minutes — no errors encountered.</t>
  </si>
  <si>
    <t xml:space="preserve">Re-crimped BOS LAN cable, improving speed and stability.
</t>
  </si>
  <si>
    <t>Princess Cristine</t>
  </si>
  <si>
    <t>FSBP00129353</t>
  </si>
  <si>
    <t xml:space="preserve"> WALTERMART - CHINO ROCES AVE</t>
  </si>
  <si>
    <t>PC0D6Z1V</t>
  </si>
  <si>
    <t xml:space="preserve"> Check BOS Connection</t>
  </si>
  <si>
    <t>11/6 Coordinated to MOD about the ticket reported.
- Due to high volume of customers, MOD moved the activities on 11PM.
- BOS was crimped multiple times refer to ticket FSBP00128567, but the issues still persists.
- As per sir Pow laid out new CAT6 connection from BOS to meraki.
- Bought materials, molding to cover the line of CAT6.
- Test new CAT6 cable, check ethernet status, confirmed 1GBS.
- Ping test, no RTO.</t>
  </si>
  <si>
    <t>Installed new LAN cable</t>
  </si>
  <si>
    <t>LAN CABLE</t>
  </si>
  <si>
    <t xml:space="preserve">7:00 PM, 10:25 PM </t>
  </si>
  <si>
    <t>9:35 PM, 11:00 PM</t>
  </si>
  <si>
    <t>Karl Joseph Almonte, Chylde Rojo, Brent Facturan</t>
  </si>
  <si>
    <t>LYDEL GA-AN</t>
  </si>
  <si>
    <t>FSBP00129237</t>
  </si>
  <si>
    <t>ROBINSON PLACE LAS PIÑAS</t>
  </si>
  <si>
    <t>PC0D6Z4Q</t>
  </si>
  <si>
    <t>BOS — POS A and POS B are lagging for 1 minute to complete the transaction</t>
  </si>
  <si>
    <t>11/ 6 HD Jave: Sched after store hours
11/ 6  Upon arrival coordinate to MOD for BOS checking
- Confirmed, BOS network speed is on 100mbps only
- Reseat; issue still persist
- Proceed recrimp of BOS end cable
- Network speed is now on 1Gbps
- Test ping both POS; ok
- Found that MWS is on 100mbps only
- Reseat MWS end cable; 1gbps
- Verify to MOD
- Work Done</t>
  </si>
  <si>
    <t>Recrimp end to end lan cable of BOS</t>
  </si>
  <si>
    <t>jhunne carol patrimonio</t>
  </si>
  <si>
    <t xml:space="preserve">FSBP00129316 </t>
  </si>
  <si>
    <t xml:space="preserve"> ROBINSONS GALLERIA - LEVEL 4</t>
  </si>
  <si>
    <t>M10 TB X306</t>
  </si>
  <si>
    <t xml:space="preserve">HVA1N4T6 </t>
  </si>
  <si>
    <t>Store tablet - reset to its default settings</t>
  </si>
  <si>
    <t xml:space="preserve">11/7 -Upon arrival, coordinated with MOD and borrowed the store tablet
-Verified that the tablet was not yet set up
-Performed a hard reset on the tablet
-Set up tablet and required applications
-Restarted tablet and exited kiosk mode
-Tested by MOD; confirmed working properly
-Work completed
</t>
  </si>
  <si>
    <t xml:space="preserve">Set up tablet and required applications
</t>
  </si>
  <si>
    <t>SD PAM</t>
  </si>
  <si>
    <t>Cheenies Sanguyo</t>
  </si>
  <si>
    <t xml:space="preserve">FSBP00129315 </t>
  </si>
  <si>
    <t>PPN70771</t>
  </si>
  <si>
    <t>POS A Printer - power cable is grounded</t>
  </si>
  <si>
    <t xml:space="preserve">11/7-Upon arrival, found that the POS B printer had no power
-Removed the old power cable
-Observed that the old cable was burnt
-Installed a new power cable
-Tested printer functionality – power and printing confirmed good
-Observed for possible errors – none found
-Work completed
</t>
  </si>
  <si>
    <t xml:space="preserve">Installed a new power cable
</t>
  </si>
  <si>
    <t>FSBP00129318</t>
  </si>
  <si>
    <t>00L8175</t>
  </si>
  <si>
    <t>POS A Toshiba printer - Blurred print out missing letters</t>
  </si>
  <si>
    <t xml:space="preserve">11/7 -Upon arrival, coordinated with MOD
-Checked printer; found blurred printout
-Cleaned inside printer; issue persisted
-Coordinated with asset team for a replacement printer
-Waited for the replacement printer to arrive
-Received replacement printer
-Set up the new printer (Posiflex PP-7900)
-Coordinated with PASI for printer error; confirmed resolved
-Test print performed; print quality good
-Reprinted receipt; confirmed good
-Observed operations for a while
-Work completed
</t>
  </si>
  <si>
    <t xml:space="preserve">Replaced the defective printer with a new printer
</t>
  </si>
  <si>
    <t>PPP81949</t>
  </si>
  <si>
    <t>Joey Guy</t>
  </si>
  <si>
    <t>FSBP00129320</t>
  </si>
  <si>
    <t>41376ZN</t>
  </si>
  <si>
    <t>POS B Toshiba printer - Blurred print out missing letters</t>
  </si>
  <si>
    <t xml:space="preserve">11/7 -Upon arrival, coordinated with MOD
-Checked printer – found printout quality to be good
-As per MOD, POS B printer is working normally
-Work completed
</t>
  </si>
  <si>
    <t xml:space="preserve">Checked printer
</t>
  </si>
  <si>
    <t>FSBP00129344</t>
  </si>
  <si>
    <t xml:space="preserve"> PPO40875</t>
  </si>
  <si>
    <t>POS A Printer — No power due to cables are grounded with spark sounds</t>
  </si>
  <si>
    <t xml:space="preserve">11/7 -Upon arrival, coordinated with MOD
-Checked the power adapter — found to be working properly
-Observed that the power socket was loose
-As per MOD, printer was intermittently working and printing was not continuous
-Waited for replacement parts
-Installed new printer
-Conducted multiple test prints — results good and approved by MOD
-Observed unit for possible recurring issues — none found
-Work completed
</t>
  </si>
  <si>
    <t xml:space="preserve">Installed new printer 
</t>
  </si>
  <si>
    <t>PP81043</t>
  </si>
  <si>
    <t>PP040875</t>
  </si>
  <si>
    <t>12:15:00 PM, 6:00 PM</t>
  </si>
  <si>
    <t>4:25:00 PM, 7:00 PM</t>
  </si>
  <si>
    <t>Edwin Perez</t>
  </si>
  <si>
    <t xml:space="preserve">FSBP00129360 </t>
  </si>
  <si>
    <t>KS741212610900</t>
  </si>
  <si>
    <t xml:space="preserve"> POS A - Bluescreen error</t>
  </si>
  <si>
    <t>11/7 -Upon arrival, coordinated with MOD.
-Restarted POS A and attempted recovery options – issue persisted.
-Performed clean and reformat; encountered bad sectors on the hard drive.
-Attempted to reimage the unit – encountered errors during reimaging.
-Coordinated with Asset and TSG teams for HDD replacement approval.
-Pause Time (waiting for replacement part): 12:01 PM – 7:00 PM.
-Upon arrival of replacement part, proceeded with HDD installation.
-Coordinated with PASI for POS reconfiguration.
-Performed the following configurations:
*Renamed POS
*Rejoined to domain
*Edited host file
*Configured auto-login
-Tested components using OPOS Manager – all results OK</t>
  </si>
  <si>
    <t>Reimaged system and replaced defective HDD</t>
  </si>
  <si>
    <t>WX21A388Z2ST</t>
  </si>
  <si>
    <t>WXT1A57RN95K</t>
  </si>
  <si>
    <t>Hershey Nuñez</t>
  </si>
  <si>
    <t xml:space="preserve">FSBP00129411 </t>
  </si>
  <si>
    <t xml:space="preserve"> Smart Wireless Phone</t>
  </si>
  <si>
    <t xml:space="preserve">11/7 - Coordinated with the MOD and Operations Team regarding the scheduled telephone wireless installation.
Verified the designated installation area and ensured power and network availability.
Installed and configured the wireless telephone unit according to store standards.
Tested connectivity and functionality; results confirmed good.
Work completed
</t>
  </si>
  <si>
    <t xml:space="preserve">Installed and configured the wireless telephone unit according to store standards.
</t>
  </si>
  <si>
    <t>Keren Golosinds</t>
  </si>
  <si>
    <t xml:space="preserve">FSBP00129378 </t>
  </si>
  <si>
    <t>EB3501</t>
  </si>
  <si>
    <t>POS A and B Drawer 1 - won't open automatically</t>
  </si>
  <si>
    <t>11/7 -  Upon arrival, coordinated with MOD.
Observed the behavior of both cash drawers — confirmed that drawers require ID swipe to open.
Tested Cash Drawer 1 using OPOS Manager — result: OK.
Coordinated with PASI to cross-check POS B Cash Drawer 1 — no system issue found.
Re-seated the cash drawer connection — issue persisted.
Upon inspection of the cash drawer port, found the green wire disconnected.
Coordinated with TSG (Aaron Barroga) for issue validation and approval for cash drawer replacement.
Requested a new cash drawer from Mervin.</t>
  </si>
  <si>
    <t>Replaced Cash Drawer 1</t>
  </si>
  <si>
    <t>2:00 PM, 9:30 PM</t>
  </si>
  <si>
    <t xml:space="preserve">7:00 PM, 10:00 PM
</t>
  </si>
  <si>
    <t xml:space="preserve">FSBP00129424 </t>
  </si>
  <si>
    <t xml:space="preserve">11/7 -Upon arrival, coordinated with MOD.
-Observed cash drawer behavior — found that it requires ID swipe to open.
-Tested Cash Drawer 1 using OPOS Manager — result OK.
-Coordinated with PASI to cross-check Cash Drawer 1 of POS B — no software issue detected.
-Re-seated and verified the cable connection — issue persisted.
-After inspection and testing, determined that the cash drawer is functioning normally after POS A replacement and reconfiguration.
-Observed POS B operation — no further issue encountered.
-Work completed.
</t>
  </si>
  <si>
    <t xml:space="preserve">Verified functionality; no replacement needed for POS B Cash Drawer 1
</t>
  </si>
  <si>
    <t xml:space="preserve">FSBP00129422 </t>
  </si>
  <si>
    <t xml:space="preserve">OptiPlex 7010
</t>
  </si>
  <si>
    <t>POS C - Network currently not available prompt</t>
  </si>
  <si>
    <t xml:space="preserve">11/8 -Upon arrival, coordinated with MOD.
-Verified POS C power status — operational.
-Checked network connection — link detected at 1 Gbps.
-Performed ping test to MWS — ping successful, no RTO (Request Time Out).
-Coordinated with the support team for further validation.
-Verified stable connectivity after checks.
-Work completed.
</t>
  </si>
  <si>
    <t xml:space="preserve">Verified and confirmed POS C network connectivity — no issue found.
</t>
  </si>
  <si>
    <t>Ana Mae Ferenio</t>
  </si>
  <si>
    <t>FSBP00129477</t>
  </si>
  <si>
    <t>15156B0519</t>
  </si>
  <si>
    <t xml:space="preserve"> POS A Barcode Scanner - Loose Connection</t>
  </si>
  <si>
    <t xml:space="preserve">11/9 -Upon arrival, coordinated with MOD.
-Re-seated scanner cable; no light detected.
-Waited for parts.
-Installed new scanner.
-Conducted multiple tests; MOD approved.
-Pulled out defective unit.
</t>
  </si>
  <si>
    <t xml:space="preserve">New scanner installed and tested successfully.
</t>
  </si>
  <si>
    <t>15162B1C36</t>
  </si>
  <si>
    <t>2:40 PM, 11:00 AM</t>
  </si>
  <si>
    <t>4:22 PM, 2:40 PM</t>
  </si>
  <si>
    <t>Bench Pineda</t>
  </si>
  <si>
    <t>FSBP00129484</t>
  </si>
  <si>
    <t>Optiplex</t>
  </si>
  <si>
    <t>8FB1M24</t>
  </si>
  <si>
    <t xml:space="preserve"> POS C - no power</t>
  </si>
  <si>
    <t>11/9 - Upon arrival coordinate to MOD
- UPS is power off
- UPS power on
- Test POS C and Orderpoint
- Reconfig by PASI
- POS C is now working</t>
  </si>
  <si>
    <t>connected to normal outlet</t>
  </si>
  <si>
    <t>SD VINCENT</t>
  </si>
  <si>
    <t xml:space="preserve"> Gaz Pagulong</t>
  </si>
  <si>
    <t xml:space="preserve">FSBP00129266 </t>
  </si>
  <si>
    <t>TOMAS MORATO 2</t>
  </si>
  <si>
    <t>11/6 - HD AB - asked for the details of warranty tag
11/9 -Upon arrival, coordinated with MOD.
-Checked printer; found broken hook.
-Verified warranty; no warranty sticker found.
-Coordinated with Asset team for replacement.
-Waited for replacement printer to arrive.
-Received the replacement printer.
-Set up the printer – OK.
-Installed driver – OK.
-Checked printer health – OK.
-Performed test print – OK.
-Performed test transaction – OK.
-Work completed successfully.</t>
  </si>
  <si>
    <t>PPM81042</t>
  </si>
  <si>
    <t>2:40 PM, 4:30 PM</t>
  </si>
  <si>
    <t xml:space="preserve">4:04 PM, 5:15 PM </t>
  </si>
  <si>
    <t>FSBP00129492</t>
  </si>
  <si>
    <t>M70q Gen 3</t>
  </si>
  <si>
    <t>GM067EBY</t>
  </si>
  <si>
    <t>MWS - No power</t>
  </si>
  <si>
    <t>11/9 - Upon arrival coordinate MOD
- UPS is power off
- UPS power on
- Test MWS
- MWS is now working
- Observed UPS for 1-hour</t>
  </si>
  <si>
    <t>UPS power on</t>
  </si>
  <si>
    <t xml:space="preserve">FSBP00129454 </t>
  </si>
  <si>
    <t>PASEO ARCENAS BANAWA</t>
  </si>
  <si>
    <t>Cut/Incomplete print</t>
  </si>
  <si>
    <t>PP-9000</t>
  </si>
  <si>
    <t>PP0C0199</t>
  </si>
  <si>
    <t>POS D printer - currently not working. It is incomplete print out</t>
  </si>
  <si>
    <t>11/9 Resched due to typhoon
11/10 upon arrival coordinate mod
-mod change the printer from posD to PosB
-checking printer 
-replaced new thermal paper same issue
-perform reset printer same issue
- Printer cannot cut the paper normally 
-Coordinate team since the printer is under warranty 
-reco to heritage 
- Work done</t>
  </si>
  <si>
    <t>reco to heritage</t>
  </si>
  <si>
    <t>Gail lagadia</t>
  </si>
  <si>
    <t>FSBP00129483</t>
  </si>
  <si>
    <t xml:space="preserve"> THE COLUMNS - GIL PUYAT AVE</t>
  </si>
  <si>
    <t>ThinkCentre M93P</t>
  </si>
  <si>
    <t>MWS - glitching display</t>
  </si>
  <si>
    <t xml:space="preserve">11/10 - Coordinate with MOD  
- Upon arrival checked MWS
- Monitor is glitching
- Checked cables; secured
- For replacement defective monitor
- Coordinated with the team
- Waiting for Parts
- Deliver and install new monitor
- Pull out defective
- Tested by MOD; good
- Work done
</t>
  </si>
  <si>
    <t>replaced monitor - pull out defective</t>
  </si>
  <si>
    <t>Lenovo Monitor</t>
  </si>
  <si>
    <t>VNA0ZD5R</t>
  </si>
  <si>
    <t>VNA0R48G</t>
  </si>
  <si>
    <t>FSBP00129507</t>
  </si>
  <si>
    <t>SB445</t>
  </si>
  <si>
    <t>SM CITY SAN PABLO</t>
  </si>
  <si>
    <t>PPN72093</t>
  </si>
  <si>
    <t>POS A Printer- Blurred Print-Out</t>
  </si>
  <si>
    <t xml:space="preserve">11/10 - Upon arrival coordinate to MOD for POS A Printer checking
- Confirmed broken hook
- Proceed replacement
- Test the new printer, self print, OPOS, and LSNAV; ok
- Verify to MOD
- Work done
</t>
  </si>
  <si>
    <t>replaced POS A printer</t>
  </si>
  <si>
    <t>PPP81048</t>
  </si>
  <si>
    <t>Jhanine Celerio</t>
  </si>
  <si>
    <t xml:space="preserve">FSBP00129393 </t>
  </si>
  <si>
    <t>41-VY897</t>
  </si>
  <si>
    <t xml:space="preserve">POS B Terminal Unable to retrieve transaction error for QR PH and unsync transactions for QR PH
External
Inbox
</t>
  </si>
  <si>
    <t>11/10 - Upon arrival coordinate with MOD
- Proceed to check the device; detected coordinate to PASI for checking
- As per MAYA they already replace; Device, Cradle, USB cable, Power adaptors
- Check outlet; normal reading
- Reinstall MAYA drivers
- Still has error; found MAYA device is using data
- PASI advise to connect the MAYA Device to WIFI
- Wait for customer; upon testing good no retrieve connection appear in POS
- Route cause is connectivity error</t>
  </si>
  <si>
    <t>Reinstall drivers and connect the MAYA Device to WIFI</t>
  </si>
  <si>
    <t>FSBP00129622</t>
  </si>
  <si>
    <t>SB509</t>
  </si>
  <si>
    <t xml:space="preserve"> DIVERSION ROAD</t>
  </si>
  <si>
    <t>O.S corrupted</t>
  </si>
  <si>
    <t xml:space="preserve"> EliteDesk 800 G4 SFF</t>
  </si>
  <si>
    <t>4CE84403B6</t>
  </si>
  <si>
    <t>MWS - Stuck in Repairing Disk</t>
  </si>
  <si>
    <t xml:space="preserve">11/10 HD Jave: for approval of HDD purchase
- approved HDD replacment c/o Cerv  by Sir Pow
11/10 - Upon arrival coordinate with MOD
- Observed that the MWS is working
- Check the Health/Status of the HDD; 5% (Critical)
</t>
  </si>
  <si>
    <t>HDD reco for replacement - HDD for shipment tom 11/11 c/o Asset</t>
  </si>
  <si>
    <t>Jeeboy Dollete</t>
  </si>
  <si>
    <t xml:space="preserve">FSBP00129626 </t>
  </si>
  <si>
    <t>ALPAP I - LEVISTE</t>
  </si>
  <si>
    <t>HVA4JSV2</t>
  </si>
  <si>
    <t>Store tablet- Unable to open Store tablet as it ask for a google account</t>
  </si>
  <si>
    <t>11/10 - Upon arrival coordinate to MOD
- Checked the reported tablet and performed isolation; conducted hard reset seven times but QR code to start configuration did not appear.
- Required to sign in using email and password.
- After login, QR code appeared.
- Connected to Wi-Fi and proceeded with QR code scan.
- Installed default applications.
- Tested all applications one by one.
- Opened Authenticator and requested RCOC to revoke partner’s email.
- Successfully signed in partner’s email on the tablet and verified by MOD.
- Tested by MOD</t>
  </si>
  <si>
    <t>hard reset and setup tablet</t>
  </si>
  <si>
    <t>Japs Andres</t>
  </si>
  <si>
    <t>FSBP00129417</t>
  </si>
  <si>
    <t>A.T. YUCHENGCO CENTRE</t>
  </si>
  <si>
    <t>HA1LJ1FK</t>
  </si>
  <si>
    <t>Store Tablet - Factory reset</t>
  </si>
  <si>
    <t>11/10 - Upon arrival coordinate with MOD
- Tablet is lowbat; waiting to charge.
- Proceed to reset tablet
- Multiple reset due to problem of QR
- Waiting for RCOC reply
- Set-up tablet; enter given email, Scan the qr code
- Set-up all apps; QR scanner,RCOC learning,files, one drive, quick support
- Set-up authenticator; test by MOD witness that authenticator is properly working</t>
  </si>
  <si>
    <t>Reset and setup tablet</t>
  </si>
  <si>
    <t>Jomar Bilango</t>
  </si>
  <si>
    <t>FSBP00129613</t>
  </si>
  <si>
    <t>SB466</t>
  </si>
  <si>
    <t>AYALA MALLS FELIZ</t>
  </si>
  <si>
    <t>41VA466</t>
  </si>
  <si>
    <t>POS A Auto Shutdown</t>
  </si>
  <si>
    <t>11/10 - Upon arrival POS A is up and working
- As per MOD; auto shutdown occurs every morning
- Check power button; good
- Check tasks cheduler; no scheduled shutdown/restart
- Check event viewer; there is auto shutdown
- Back up IP, hosts file, computer name
- Reimage POS A using hirens
- Setup drivers
- Configure by PASI
- Setup Domain and autologin
- Test by MOD; Good.
- Observe for possible reoccur; none. Work done</t>
  </si>
  <si>
    <t>Andrew Cabungcal</t>
  </si>
  <si>
    <t>FSBP00129646</t>
  </si>
  <si>
    <t>SB146</t>
  </si>
  <si>
    <t>MADRIGAL AVE - ALABANG</t>
  </si>
  <si>
    <t>HVA18LS0</t>
  </si>
  <si>
    <t xml:space="preserve"> Store tablet- Automatically reset</t>
  </si>
  <si>
    <t>11/10 - Upon arrival coordinate with MOD
- Tablet was lowbat; connected charger.
- Proceed to reset tablet
- Set-up tablet; enter given email, Scan the qr code
- Set-up all apps; QR scanner,RCOC learning,files, one drive, quick support
- Set-up authenticator; test by MOD witness that authenticator is properly working</t>
  </si>
  <si>
    <t>John Loyd R. Tapia</t>
  </si>
  <si>
    <t>Melvin C. Mercurio</t>
  </si>
  <si>
    <t xml:space="preserve">FSBP00129693 </t>
  </si>
  <si>
    <t>41PW021</t>
  </si>
  <si>
    <t>POS A Network speed 10Mbps only</t>
  </si>
  <si>
    <t>11/10 - Coordinate to MOD for POS A network checking
- Encountered No Service tier error
- Upon checking network speed is on 10mbps only
- Reseat end to end cable of POS A; issue still persist
- Recrimp POS A lan cable; ok 1Gbps
- Test transaction; ok
- Verify to MOD
- Work done</t>
  </si>
  <si>
    <t>recrimp lan cable of POS A</t>
  </si>
  <si>
    <t>FE</t>
  </si>
  <si>
    <t>FSBP00129692</t>
  </si>
  <si>
    <t xml:space="preserve"> 41LH295</t>
  </si>
  <si>
    <t>POS A - stuck down power button</t>
  </si>
  <si>
    <t>11/10  Upon Arrival coordinate to MOD
- Proceed to check POS
- Upon checking POS NO POWER, POWER BUTTON STUCK
- CHECK ALL CONNECTION ; ok
- RE-ADJUST POWER BUTTON
- CHECK HDD HEALTH THRU HD SENTINEL ; 100%
- Verify to mod
- Test POS; ok
- Work done</t>
  </si>
  <si>
    <t>re-adjust power button</t>
  </si>
  <si>
    <t>John Lloyd Tapia</t>
  </si>
  <si>
    <t>Rovic Cuncoyes</t>
  </si>
  <si>
    <t>FSBP00128888</t>
  </si>
  <si>
    <t>8350HQHF92356</t>
  </si>
  <si>
    <t>Curio player - unable to connect error</t>
  </si>
  <si>
    <t>11/10 upon arrival coordinate to mod
- check curio
-found unplug lan cable
- test lan cable good
- plug in to curio
- ping curio ip good
-  access dashboard goods
-check by mod
- work done</t>
  </si>
  <si>
    <t>test lan cable and plugin to curio,</t>
  </si>
  <si>
    <t xml:space="preserve">FSBP00129668 </t>
  </si>
  <si>
    <t xml:space="preserve"> ONE AYALA</t>
  </si>
  <si>
    <t>HA1PY182</t>
  </si>
  <si>
    <t>Lenovo M10 Store Tablet - reset and unable to connect to SB delivery WIFI</t>
  </si>
  <si>
    <t>11/11 Upon arrival checked tablet unable to connect to SB Delivery
-Exit Kiosk and connect to SB Delivery good
-Tested by MOD; Good
-Standby for 30 mins
-Work done</t>
  </si>
  <si>
    <t>Exit Kiosk and connect to SB Delivery good</t>
  </si>
  <si>
    <t>FSBP00129694</t>
  </si>
  <si>
    <t xml:space="preserve"> JP RIZAL COR JAPAN ST</t>
  </si>
  <si>
    <t xml:space="preserve"> XT071051</t>
  </si>
  <si>
    <t>KDS - Unable to connect to error</t>
  </si>
  <si>
    <t>11/11 Upon arrival KDS is connecting to server
- Check lan cable in 24 switch; loose rj45
- Try to resocket; intermittent ping
- Recrimp; now stable ping
- KDS now working. Work done</t>
  </si>
  <si>
    <t>recrimped cable</t>
  </si>
  <si>
    <t>Joshua Ardano</t>
  </si>
  <si>
    <t>FSBP00129617</t>
  </si>
  <si>
    <t>SB671</t>
  </si>
  <si>
    <t>ATRIA ILOILO DT</t>
  </si>
  <si>
    <t xml:space="preserve"> PP-7900-B</t>
  </si>
  <si>
    <t>PP0C332</t>
  </si>
  <si>
    <t>POS D Printer- Cannot generate receipt</t>
  </si>
  <si>
    <t>11/10 HD Jave: Store is new unit is under warranty also cc tech support for verification
11/11 HD Jave: Sir vince advise to check printer as heritage take longer to onsite ticket request
11/11 - Upon arrival coordinated with MOD.
- Checked POS D Printer.
- Printer can dispense receipt however it can't cut properly and after one or two prints it doesn't generate the receipt.
- MOD needed to on/off the printer in order to generate a receipt again.
- Asked permission to MOD to swap the POS A printer to POS D Printer and labeled the POS D as defective.
- Drive thru printer is now operational for temporary only.</t>
  </si>
  <si>
    <t>Reco to proper vendor for checking of printer. Printer under warranty</t>
  </si>
  <si>
    <t>Liza Lacal</t>
  </si>
  <si>
    <t>FSBP00129715</t>
  </si>
  <si>
    <t xml:space="preserve"> GLORIETTA 5 LEVEL 2</t>
  </si>
  <si>
    <t>PC0D6Z4R</t>
  </si>
  <si>
    <t>Mall Sending - Connection Disconnected</t>
  </si>
  <si>
    <t>11/11 - Upon arrival, coordinated with MOD.
- Isolated the unit and found the connection from BOS to the mall admin side was disconnected.
- Recrimped cable; tested good
- Terminated and tested the connection end-to-end; good
- tried connecting laptop with the same static IP address but encountered the same issue.
- Contact Mall IT for assistance
- they confirmed the store’s connection issue has intermittent
- Mall IT suggets investigate the cable inside store
- IO port, laying cables inside conduit is possibe broken/defective
- Get the contact number and email of Mall IT</t>
  </si>
  <si>
    <t>Recommend coordination with Mall IT and RCOC Tech for permanent resolution</t>
  </si>
  <si>
    <t>Eman Baezong</t>
  </si>
  <si>
    <t>FSBP00129759</t>
  </si>
  <si>
    <t>KS7412p</t>
  </si>
  <si>
    <t>KSIB0026</t>
  </si>
  <si>
    <t>POS D Card Terminals for replacement and unable to open port</t>
  </si>
  <si>
    <t>11/11 - Upon arrival coordinate with MOD
- Proceed to check if MAYA terminal is detected; good
- MAYA FT; USB cable and charging cable were switched in the outlet
- Coordinate with PASI for checking of configuration; PASI approved
- Test and witness by MOD; MAYA terminal is now working</t>
  </si>
  <si>
    <t>check MAYA port if detected and restart POS</t>
  </si>
  <si>
    <t>Maya Jana</t>
  </si>
  <si>
    <t>Kim Yannie</t>
  </si>
  <si>
    <t>FSBP00130302</t>
  </si>
  <si>
    <t>POS B Card Terminals for replacement and unable to open port</t>
  </si>
  <si>
    <t>FSBP00129877</t>
  </si>
  <si>
    <t>KSIB0041</t>
  </si>
  <si>
    <t>POS A Card Terminals for replacement and unable to open port</t>
  </si>
  <si>
    <t>FSBP00129739</t>
  </si>
  <si>
    <t>Curio Player - Disconnected</t>
  </si>
  <si>
    <t xml:space="preserve">11/11 - Upon arrival, coordinate to MOD regarding the issue 
- Checked the LAN cable connection.
- Replaced the LAN cable for the curio and tested it with a LAN tester before installation.
- Reset the curio from the back and connected the LAN cable to port 10 on the Meraki MX.
- MOD witness the curio player is now working. But the Holiday Christmas song is not working. Same playlist only. 
- Sir Vince of RCOC advised to monitor due to update the playlist. </t>
  </si>
  <si>
    <t>Curio Player is now working. Replace new lan cable</t>
  </si>
  <si>
    <t>Erika Cajucom</t>
  </si>
  <si>
    <t>FSBP00129803</t>
  </si>
  <si>
    <t xml:space="preserve"> OM55N-S</t>
  </si>
  <si>
    <t>0KHJHNQY4000B9R</t>
  </si>
  <si>
    <t>Disconnected - Menu B</t>
  </si>
  <si>
    <t>11/11 - Pingtest Panel B and it showed the destination host unreachable.
- Reseat cables end to end.
- Lan test cables end to end and was good.
- After reseat I pinged Panel B again and was good.</t>
  </si>
  <si>
    <t>Reseat cables end to end.</t>
  </si>
  <si>
    <t xml:space="preserve">FSBP00129801 </t>
  </si>
  <si>
    <t xml:space="preserve">disconnected/RTO LFD Panel - PRE-MENU
</t>
  </si>
  <si>
    <t>11/11 - Upon arrival coordinate to MOD for PRE MENU checking
- Confirmed PRE MENU is unreachable
- Upon checking on 24 switch PRE MENU is not properly plugged in
- Reseat lan cable; ok reachable
- Coordinate to RCOC
- Pre menu is now up on dashboard
- Verify to MOD
- Work done</t>
  </si>
  <si>
    <t>reseat lan cable</t>
  </si>
  <si>
    <t>Patrick Sabat</t>
  </si>
  <si>
    <t xml:space="preserve">FSBP00129453 </t>
  </si>
  <si>
    <t>0KHJHNQY400079D</t>
  </si>
  <si>
    <t>Orderpoint No Display</t>
  </si>
  <si>
    <t>11/11 - Reseat the hdmi cable and Lan cable
- After reseat still no display</t>
  </si>
  <si>
    <t>reseat the hdmi cable and Lan cable - reco to ITI</t>
  </si>
  <si>
    <t>FSBP00129783</t>
  </si>
  <si>
    <t>RT6016G2</t>
  </si>
  <si>
    <t>RT051679</t>
  </si>
  <si>
    <t>POS A connectivity - unreachable</t>
  </si>
  <si>
    <t xml:space="preserve">11/12 -Upon arrival, coordinated with MOD regarding the replacement procedure.
-Waited for confirmation from MOD before proceeding.
-Checked POS A — found it not connected to the network.
-Inspected LAN cable end-to-end — found the connection loose.
-Recrimped the LAN cable and restarted POS A.
-Performed ping test from MWS — successful.
-Tested POS A and NAV — confirmed line display not responding.
-Advised PASI to check POS A customer display.
-After driver update by PASI, issue was resolved.
-Verified POS A functionality — working properly.
-Observed POS A operation and advised MOD for testing — no issues encountered.
-POS A now fully operational.
-Work completed.
</t>
  </si>
  <si>
    <t xml:space="preserve">Recrimped LAN cable, restarted POS A, and verified connectivity and functionality — issue resolved.
</t>
  </si>
  <si>
    <t>Jhester Delacruz</t>
  </si>
  <si>
    <t xml:space="preserve">FSBP00130022 </t>
  </si>
  <si>
    <t>B83504FF51895</t>
  </si>
  <si>
    <t>Curio – Not updating Christmas songs</t>
  </si>
  <si>
    <t xml:space="preserve">11/12 -Coordinated with MOD before proceeding.
-Checked MWS PC — Curio was not reachable on the network.
-Verified port assignment on Meraki (Port 10) — confirmed correct.
-Checked LAN cable end-to-end — cable in good condition.
-Restarted Curio — still not reachable.
-Performed ping test from MWS — same issue, no response.
-Coordinated with Sir Bryan for Curio connectivity checking.
-After coordination, Curio became reachable and pingable.
-Restarted Curio — confirmed that updated Christmas songs are now playing.
-Verified with MOD — no further issues observed.
-Work completed.
</t>
  </si>
  <si>
    <t xml:space="preserve">Rebound and restarted Curio — issue resolved and updated playlist confirmed.
</t>
  </si>
  <si>
    <t>FSBP00129797</t>
  </si>
  <si>
    <t>HAIPXZF5</t>
  </si>
  <si>
    <t>Store tablet - automatically reset</t>
  </si>
  <si>
    <t xml:space="preserve">11/12 -Upon arrival, performed a factory reset on the store tablet.
-Waited for the 8-digit code for setup.
-Proceeded with tablet setup following standard procedures.
-Requested revocation of the partner’s email account.
-Set up Microsoft Authenticator with MOD.
-Work completed.
</t>
  </si>
  <si>
    <t xml:space="preserve">Factory reset and reconfigured the store tablet successfully.
</t>
  </si>
  <si>
    <t xml:space="preserve"> Kylie Andal</t>
  </si>
  <si>
    <t>FSBP00130257</t>
  </si>
  <si>
    <t>HVA1N4VE</t>
  </si>
  <si>
    <t xml:space="preserve">11/12 -Upon arrival, performed a factory reset on the store tablet.
-Waited for the 8-digit setup code.
-Proceeded with tablet setup following standard procedures.
-Work completed.
</t>
  </si>
  <si>
    <t xml:space="preserve">FSBP00129838 </t>
  </si>
  <si>
    <t xml:space="preserve"> MADISON GALERIES</t>
  </si>
  <si>
    <t xml:space="preserve"> KSIB0018</t>
  </si>
  <si>
    <t xml:space="preserve"> POS A - Touchscreen not responding and prompt message "Products need attention"</t>
  </si>
  <si>
    <t>11/12 upon arrival coor to mod
- Proceed to check POS A touch screen not responding
- Check wiring connection ;
- Check device drivers ; touch screen drivers missing
- Update drivers and reseat wiring connection ; ok
- Restart POS
- Touchscreen now working
- Verify to mod to test; ok
- Work done</t>
  </si>
  <si>
    <t>reseat and update drivers</t>
  </si>
  <si>
    <t xml:space="preserve"> John Loyd R. Tapia</t>
  </si>
  <si>
    <t>Elvin Toledo</t>
  </si>
  <si>
    <t>FSBP00129816</t>
  </si>
  <si>
    <t>SB424</t>
  </si>
  <si>
    <t>SM BACOLOD</t>
  </si>
  <si>
    <t>PC0D6YYV</t>
  </si>
  <si>
    <t>BOS — Both POS are experiencing lag</t>
  </si>
  <si>
    <t>11/12 - Upon arrival coordinated with MOD.
- Checked BOS Ethernet Speed and connectivity.
- BOS ethernet speed was 100mbps only.
- Bought Cat6 Lan cable and replaced the Lan cable of BOS because the cable was CAT 5e only.
- Checked the ethernet speed of POS A and 100mbps only.
- Recrimped the Lan cable of POS A and after recrimp the Ethernet speed was now 1Gbps.
- After cleaning and optimizing. I restarted POS A but was corrupted when boot up.
- Coordinated with the team- POS A for reimage.
- After the reimage process POS A was now good and operational.
- Checked the Ethernet Speed of POS B and has only 100mbps.
- Recrimped POS B and after recrimp POS B got 1Gbps.
- Both POS now are working and has 1Gbps Ethernet Speed.
- MOD witnessed also that POS A are operational after the reimage.</t>
  </si>
  <si>
    <t>reimage POS A and recrimped both POS</t>
  </si>
  <si>
    <t>2:00 PM, 7:00 PM, 9:00 PM</t>
  </si>
  <si>
    <t>3:00 PM, 9:00 PM, 9:30 PM</t>
  </si>
  <si>
    <t>Francene Faye Datoon</t>
  </si>
  <si>
    <t>FSBP00129732</t>
  </si>
  <si>
    <t xml:space="preserve">ThinkCentre M910s  </t>
  </si>
  <si>
    <t xml:space="preserve"> PC0QW7TR</t>
  </si>
  <si>
    <t>MWS - web browser no internet</t>
  </si>
  <si>
    <t>11/12 Upon arrival coordinate to MOD for MWS internet/browser checking
- Upon arrival mws has an internet connection 
- Confirmed unable to proceed in outlook page and speed-test
- Tried to repair and reset microsoft edge; issue still persist
- Tried to access in different browser; ok outlook is accessible but google chrome looks corrupted 
- Coordinate to sir bryan for firewall checking; no problem in their end
- Tried dhcp; issue still persist
- Proceed reinstalling of both browser; ok outlook is now accessible in both browser and able to speed test
- Verify to MOD
- Workdone</t>
  </si>
  <si>
    <t>einstall Microsoft Edge and Google Chrome</t>
  </si>
  <si>
    <t xml:space="preserve"> Millard Monzon
</t>
  </si>
  <si>
    <t>Thea Aloquin</t>
  </si>
  <si>
    <t>FSBP00126557</t>
  </si>
  <si>
    <t xml:space="preserve">ThinkCentre M900  </t>
  </si>
  <si>
    <t>PC0JRPSZ</t>
  </si>
  <si>
    <t>POS A and POS B - Lagging and slow for all transaction</t>
  </si>
  <si>
    <t xml:space="preserve">11/12  - Coordinated with the MOD upon arrival and informed them regarding the BOS memory upgrade activity.
 - Gathered BOS machine details, including computer name and hardware specifications.
 - Properly shut down the BOS unit and disconnected it from the power source.
 - Added three (3) 8GB RAM modules, bringing the total memory capacity to 32GB.
 - Cleaned memory slot contacts and ensured all RAM sticks were properly seated.
 - Booted the BOS and verified successful system startup.
 - Confirmed Windows recognized the full 32GB memory capacity.
 - Checked system performance and resource utilization through Task Manager.
 - Check network status
 - Verified BOS connection to MWS and POS A &amp; B.
 - Monitored BOS performance for 30 minutes — confirmed stable and responsive operation.
</t>
  </si>
  <si>
    <t>successful RAM upgrade</t>
  </si>
  <si>
    <t>8SSM30G16482G1PC66A013R
8SSM30G16482G1PC66A011R
8SSM30G16482G1PC66A012H</t>
  </si>
  <si>
    <t>10:30 PM, 12:00 AM</t>
  </si>
  <si>
    <t>Jerome</t>
  </si>
  <si>
    <t xml:space="preserve">FSBP00129409 </t>
  </si>
  <si>
    <t>SB584</t>
  </si>
  <si>
    <t>SM CITY CAUAYAN</t>
  </si>
  <si>
    <t>VB73219V21185</t>
  </si>
  <si>
    <t>MOP device - unable to login account loading only</t>
  </si>
  <si>
    <t xml:space="preserve">11/7 Resched due to bad weather
11/12 -Upon arrival, verified that the MOP device was connected to the internet.
-Performed device reset and reconnected to personal Wi-Fi for testing.
-Conducted speed test — recorded 10 Mbps download speed.
-Reconnected the MOP device to the Starbucks Wi-Fi network.
-Performed MOP application login test — successful.
-Coordinated with MOD for further checks on other MOP concerns.
-MOD and FTS conducted testing — approved and confirmed working.
-Observed the device for 30 minutes — MOP operating normally.
-Work completed.
</t>
  </si>
  <si>
    <t xml:space="preserve">MOD and FTS conducted testing — approved and confirmed working.
</t>
  </si>
  <si>
    <t>Rojo-Jaerold Chyle</t>
  </si>
  <si>
    <t xml:space="preserve"> Ariel Fernando</t>
  </si>
  <si>
    <t>FSBP00129630</t>
  </si>
  <si>
    <t>RT051945</t>
  </si>
  <si>
    <t>Joint Visit with Maya</t>
  </si>
  <si>
    <t xml:space="preserve">11/12 -Upon arrival, coordinated with the MOD.
-Waited for MOD’s go signal before proceeding.
-Inspected the USB port of POS A.
-Found that the USB port of POS A was connected to the “Power” port of the Maya Terminal.
-Reconnected the Maya Terminal’s USB cable from the “Power” port to the “USB Slave” port.
-Coordinated with PASI to verify COM port detection.
-After PASI’s configuration, confirmed that the COM port of the Maya Terminal was successfully detected.
-Observed that the Maya Terminal was not charging — noted that the power cord was connected directly to the terminal instead of the cradle.
-Paused work to allow the Maya Terminal to charge.
-After charging, the terminal still did not respond, so the power cord was redirected to the cradle instead of the device.
-Paused again to allow charging through the cradle.
-Even after moving the power cord to the cradle, the Maya Terminal still failed to charge.
-Attempted charging via another POS, but the issue persisted.
-Maya FE did not arrive onsite (confirmed by MOD Princess Vacante).
-MOD requested rescheduling for another joint visit with Maya.
</t>
  </si>
  <si>
    <t xml:space="preserve">Reco or replacement of Maya Terminal.
</t>
  </si>
  <si>
    <t>3:34 PM, 4:53 PM, 5:13 PM</t>
  </si>
  <si>
    <t>4:32 PM, 5:05 PM, 6:00 PM</t>
  </si>
  <si>
    <t>Princess Vacante</t>
  </si>
  <si>
    <t>FSBP00128980</t>
  </si>
  <si>
    <t>CYBN8KA25070069</t>
  </si>
  <si>
    <t>DT Pastry Labeler - Unreachable/RTO</t>
  </si>
  <si>
    <t>11/12 config ip
-install drivers to all pos
-pasi recheck labelers
-test print, mod confirmed labeler is working properly</t>
  </si>
  <si>
    <t>config IP</t>
  </si>
  <si>
    <t>FSBP00129859</t>
  </si>
  <si>
    <t>CYBN8KA25070070</t>
  </si>
  <si>
    <t>DT CBS labeler - Unreachable/RTO</t>
  </si>
  <si>
    <t>FSBP00129852</t>
  </si>
  <si>
    <t>PC0D6Z0X</t>
  </si>
  <si>
    <t xml:space="preserve"> BOS : POS A and POS B - lagging every morning from 6:20 AM - 6:30 AM, it takes 2-3 mins to complete the transaction and it also occurs during peak hours</t>
  </si>
  <si>
    <t xml:space="preserve">11/12 -Upon arrival, coordinated with MOD regarding the reported issue affecting BOS, POS A, and POS B.
-Conducted troubleshooting on all three machines.
-Identified that POS B was only running at 100 Mbps connection speed.
-Performed end-to-end LAN cable recrimping for POS B.
-Verified connection using LAN tester — confirmed 1 Gbps link established.
-Checked BOS Server and POS A — both functioning normally.
-Observed memory usage (high but within acceptable range); no abnormal disk usage noted.
-MOD witnessed and confirmed that all three machines (BOS, POS A, POS B) were working properly after the procedure.
-Issue resolved and ticket closed.
</t>
  </si>
  <si>
    <t xml:space="preserve">Conducted full troubleshooting on BOS, POS A, and POS B.
</t>
  </si>
  <si>
    <t>2:05 PM, 5:10 PM, 5:50 PM, 7:00 PM</t>
  </si>
  <si>
    <t>4:15 PM, 5:45 PM, 6:35 PM, 7:30 PM</t>
  </si>
  <si>
    <t>Shinobu Alyiz</t>
  </si>
  <si>
    <t xml:space="preserve">FSBP00129222 </t>
  </si>
  <si>
    <t>PC0D6Z3Y</t>
  </si>
  <si>
    <t>BOS: All POS - Hang and auto shutdown of NAV application</t>
  </si>
  <si>
    <t>11/12 - Coordinate with MOD
- Ask MOD about the issue encountered
- Ping test BOS to POS A and B (no RTO) encountered
- Check Memory in task manager(high utilization 90 - 96 % encountered)
- Check HDD Health (GOOD)
- Check Connection speed of BOS, POS A and POS B (1Gbps all)</t>
  </si>
  <si>
    <t>perform network, memory and HDD checking</t>
  </si>
  <si>
    <t xml:space="preserve">FSBP00128664 </t>
  </si>
  <si>
    <t>PP040128</t>
  </si>
  <si>
    <t>POS B printer - not operational and won't dispense receipt due to printer roller issue</t>
  </si>
  <si>
    <t>10/31 HD AB- asked for machine details with warranty tag
11/13 -Upon arrival, coordinated with MOD.
-Replaced the defective printer with a new POSIFLEX printer.
-Advised MOD to perform a test print on the new printer.
-Verified that the printer is now working properly and fully operational.</t>
  </si>
  <si>
    <t xml:space="preserve">Replaced defective printer with new unit.
</t>
  </si>
  <si>
    <t>PPP81971</t>
  </si>
  <si>
    <t>Mon Yuro</t>
  </si>
  <si>
    <t xml:space="preserve">FSBP00129933 </t>
  </si>
  <si>
    <t>KS7412P</t>
  </si>
  <si>
    <t>KSJA0795</t>
  </si>
  <si>
    <t>POS A Drawer 2 - won't open automatically</t>
  </si>
  <si>
    <t xml:space="preserve">11/13 -Tested the drawer using OPOS Manager — test command OK but drawer did not open.
-Checked drawer cable — found broken.
-Advised that the drawer needs replacement.
-Waited for delivery of new drawer.
-Removed defective drawer and installed the new one.
-Conducted functionality test — passed.
-Verified by MOD — drawer functioning properly.
-Endorsed defective drawer to MOD.
</t>
  </si>
  <si>
    <t xml:space="preserve">Replaced defective POS cash drawer with new unit.
</t>
  </si>
  <si>
    <t>Denzel Dela Cruz</t>
  </si>
  <si>
    <t xml:space="preserve">FSBP00130127 </t>
  </si>
  <si>
    <t>POS D — No Power</t>
  </si>
  <si>
    <t xml:space="preserve">11/13 -Upon arrival, confirmed POS D has no power.
-Attempted to power on using the power button — not working.
-Checked power cable — observed sparking and looseness.
-Unplugged power cable from outlet.
-Reconnected and secured power adapter and cable properly.
-Plugged back into outlet.
-Turned on POS D — successfully powered up.
-Tested by MOD — working properly.
</t>
  </si>
  <si>
    <t xml:space="preserve">Properly reconnected and secured POS D power cable and adapter.
</t>
  </si>
  <si>
    <t>05:32</t>
  </si>
  <si>
    <t>FSBP00129098</t>
  </si>
  <si>
    <t>HVA1N4T9</t>
  </si>
  <si>
    <t>Store Table - has been reset</t>
  </si>
  <si>
    <t xml:space="preserve">11/13 -Upon arrival, coordinated with MOD.
-Proceeded to reset the tablet.
-Set up the tablet using the provided email and scanned the QR code.
-Installed and configured all required applications: QR Scanner, RCOC Learning, Files, OneDrive, QuickSupport.
-Set up Microsoft Authenticator and tested functionality; verified by MOD.
</t>
  </si>
  <si>
    <t xml:space="preserve">Reset and fully set up the tablet, installed and configured all necessary applications.
</t>
  </si>
  <si>
    <t>FSBP00129839</t>
  </si>
  <si>
    <t>SB623</t>
  </si>
  <si>
    <t>11 SUMULONG</t>
  </si>
  <si>
    <t>PPM80780</t>
  </si>
  <si>
    <t xml:space="preserve"> POS B Printer — Won't print and cannot dispense receipt</t>
  </si>
  <si>
    <t>replaced POS B printer</t>
  </si>
  <si>
    <t>FSBP00129958</t>
  </si>
  <si>
    <t>SB361</t>
  </si>
  <si>
    <t>KEYLAND CENTRE - DELA ROSA ST. - MAKATI</t>
  </si>
  <si>
    <t>PC0QW7TA</t>
  </si>
  <si>
    <t xml:space="preserve"> BOS TeamViewer — Unable to connect to BOS TeamViewer</t>
  </si>
  <si>
    <t xml:space="preserve">11/13 -Upon arrival, coordinated with MOD.
-Proceeded to MWS.
-Performed speed test — error encountered.
-Coordinated with Sir Bry.
-Restarted Smart LTE — connection became stable.
-Sir Bry fixed Meraki configuration — status: good.
-BOS remotely checked by Sir Vernon and Pasi — status: good.
</t>
  </si>
  <si>
    <t xml:space="preserve">Adjusted system time and restarted ISP connection.
</t>
  </si>
  <si>
    <t xml:space="preserve">Aaron Mino
</t>
  </si>
  <si>
    <t>Mildred Villarao</t>
  </si>
  <si>
    <t xml:space="preserve">FSBP00130081 </t>
  </si>
  <si>
    <t>GM067EA3</t>
  </si>
  <si>
    <t>MWS — No display / Not working</t>
  </si>
  <si>
    <t xml:space="preserve">11/13 -Upon arrival, coordinated with MOD.
-Found that MWS had no display output.
-Pressed the hard power button and reseated display cables — issue persisted.
-Recommended escalation to Lenovo for further diagnostics.
</t>
  </si>
  <si>
    <t>Reseated display cables; issue persists — referred to Lenovo for further checking.</t>
  </si>
  <si>
    <t>Saldrian Murro</t>
  </si>
  <si>
    <t>FSBP00129949</t>
  </si>
  <si>
    <t>BOS — POS A &amp; B Long waiting time on printing of receipt</t>
  </si>
  <si>
    <t>11/13 - Coordinate with MOD
- Upon arrival, BOS net speed is 100mbps.
- As per MOD, they encountered slow performance of printing- took about 10-20mins before dispensing receipt.
- Resocket BOS lan cable and observed POS and tested okay.
- BOS net speed is now 1gbs.
- As per MOD, POS A&amp;B has now fast performance.
- Work Done</t>
  </si>
  <si>
    <t>resocket BOS lan cable</t>
  </si>
  <si>
    <t>Jeni Agneles</t>
  </si>
  <si>
    <t>FSBP00129916</t>
  </si>
  <si>
    <t>MWS: Time on MWS Desktop - currently running 7 minutes behind and no connection</t>
  </si>
  <si>
    <t xml:space="preserve">11/13 -Upon arrival, coordinated with MOD.
-Proceeded to MWS.
-Performed speed test — error encountered.
-Coordinated with Sir Bry.
-Restarted Smart LTE — connection restored.
-Sir Bry fixed Meraki connection — status: good.
-Restarted MWS, accessed BIOS, and corrected system time.
</t>
  </si>
  <si>
    <t xml:space="preserve">Adjusted MWS time via BIOS and restarted ISP connection.
</t>
  </si>
  <si>
    <t>casework activity</t>
  </si>
  <si>
    <t>SB569</t>
  </si>
  <si>
    <t>Unit wet in water leakage</t>
  </si>
  <si>
    <t>i7</t>
  </si>
  <si>
    <t>8SSS51E20029F1WH22FOMK</t>
  </si>
  <si>
    <t>Tech Equipment (securing, accounting  of the tech equipment and taking pictures)</t>
  </si>
  <si>
    <t xml:space="preserve">11/13 -Upon arrival, coordinated with Facilities personnel.
-Assessed the store’s current situation.
-Discussed the routing of Cat6 lines from MWS to bar area (all cables found cut).
-Verified that BOS and MWS devices were the only ones saved; other equipment was damaged or displaced by the flood.
-Discussed possible store re-opening schedule on the first week of December.
-Documentation and site inspection completed.
</t>
  </si>
  <si>
    <t xml:space="preserve">Rewiring is required due to flood-damaged network cables.
</t>
  </si>
  <si>
    <t>RCOC Sir Pow</t>
  </si>
  <si>
    <t>Stanley Robinta</t>
  </si>
  <si>
    <t>FSBP00130016</t>
  </si>
  <si>
    <t>PP040874</t>
  </si>
  <si>
    <t>POS A Printer - won't printer without POS error</t>
  </si>
  <si>
    <t xml:space="preserve">11/13 -Coordinated with MOD upon arrival.
-Checked the printer and found that the hook of the printer was broken.
-Replaced the defective printer with a new unit.
-Conducted test print and observed performance — printing properly.
-Pulled out the defective printer.
</t>
  </si>
  <si>
    <t xml:space="preserve">Replaced defective printer with a new working unit.
</t>
  </si>
  <si>
    <t>PPM80608</t>
  </si>
  <si>
    <t>Migs Mandani</t>
  </si>
  <si>
    <t>FSBP00130141</t>
  </si>
  <si>
    <t>PC0JRT9</t>
  </si>
  <si>
    <t>BOS Upgrade</t>
  </si>
  <si>
    <t xml:space="preserve">11/13 -Coordinated with the MOD upon arrival and informed them of the scheduled BOS SSD installation and memory upgrade.
-Verified current system specifications and gathered BOS machine details, including computer name, IP configuration, and host file entries.
-Properly shut down the BOS unit and disconnected it from the power source.
-Installed two (2) additional 16GB RAM modules to improve system performance and multitasking capability.
-Cleaned memory slot contacts and ensured proper seating of the RAM modules.
-Installed a new SSD with pre-loaded image.
-Powered on the BOS unit and verified successful boot. Confirmed that both the new SSD and upgraded memory were detected in BIOS and Windows.
-Checked system performance and resource utilization via Task Manager — system responded smoothly with significantly improved speed.
-Restored all backed-up configurations:
*Computer Name (matched previous setup)
*Static IPv4 Address
*Host File Entries (C:\Windows\System32\drivers\etc)
-Configured TeamViewer using the store code as the device name and set the remote access password.
-Verified BOS connectivity to MWS, POS A, and POS B. All devices were confirmed stable at 1.0 Gbps after adjustments.
-Observed BOS performance for 20 minutes — no lag, errors, or connection drops encountered.
</t>
  </si>
  <si>
    <t xml:space="preserve">Installed two (2) additional 16GB RAM and new SSD with pre-loaded image
</t>
  </si>
  <si>
    <t>11:07 PM, 12:00 AM, 1:55 AM, 5:54 AM</t>
  </si>
  <si>
    <t>11:59 PM, 1:50 AM, 2:03 AM, 6:28 AM</t>
  </si>
  <si>
    <t>Ana</t>
  </si>
  <si>
    <t xml:space="preserve">FSBP00129990 </t>
  </si>
  <si>
    <t>OptiXstar HG8145X6-10</t>
  </si>
  <si>
    <t>4857544331942DB5</t>
  </si>
  <si>
    <t xml:space="preserve"> PLDT Internet Activation Nov 13, 2025 10am onwards</t>
  </si>
  <si>
    <t xml:space="preserve">11/14-Performed standalone and ping test on the PLDT modem.
-Terminated WAN 1 (PLDT) and WAN 2 (Smart LTE).
-Verified via Meraki Dashboard — both WAN connections were UP, confirmed by Sir Bryan (RCOC).
-Pulled out the DITO 5G modem.
-Conducted speed test and ping test on MWS — internet is up and stable.
</t>
  </si>
  <si>
    <t xml:space="preserve">Terminated WAN 1 (PLDT) and WAN 2 (Smart LTE).
</t>
  </si>
  <si>
    <t>Daizy Custodio</t>
  </si>
  <si>
    <t xml:space="preserve">FSBP00130050 </t>
  </si>
  <si>
    <t>POS B Card Terminal - Not syncing on POS , Base not pairing and Touchpad not functioning</t>
  </si>
  <si>
    <t>11/14 - Upon arrival POS B Card terminal being configured by Maya FE
- Maya FE fixed error
- Test card payment in POS; good
- Test by MOD; good. work done</t>
  </si>
  <si>
    <t>Maya FE fixed error</t>
  </si>
  <si>
    <t xml:space="preserve">FSBP00129749 </t>
  </si>
  <si>
    <t>Internet connectivity issue - Delays in POS and payment terminal transactions, along with frequent disconnections of labelers from the internet</t>
  </si>
  <si>
    <t xml:space="preserve">11/14 -Upon arrival, conducted a Joint Visit (JV) with Trends, Tap, and Tangent.
-Verified BOS network: 1 Gbps link speed; continuous ping to POS A, POS B, and POS D—no packet loss.
-Trends checked ISP connection; Tangent assessed Maya terminals.
-As per Tangent, Maya terminals were experiencing slow data due to weak Smart and Globe signal. Approval from Sir Bryan received to connect Maya terminals to SB Delivery Wi-Fi.
-Trends confirmed that Starlink (WAN 1) was previously down, causing all devices to route through WAN 2 (DITO LTE).
-Trends restored Starlink (WAN 1); connectivity is now stable.
-Three (3) Maya terminals were successfully connected to SB Delivery Wi-Fi.
-MOD requested wired internet setup for WAN 2.
-Work completed.
</t>
  </si>
  <si>
    <t xml:space="preserve">Maya terminals connected to SB Delivery Wi-Fi as approved.
</t>
  </si>
  <si>
    <t xml:space="preserve">Den Villanueva
</t>
  </si>
  <si>
    <t xml:space="preserve">FSBP00130054 </t>
  </si>
  <si>
    <t>SM DAVAO EXPANSION WING</t>
  </si>
  <si>
    <t>PP7900000B001</t>
  </si>
  <si>
    <t>POS A printer - Redlight and not printing issue</t>
  </si>
  <si>
    <t xml:space="preserve">11/14-Coordinated with the MOD upon arrival.
-Waited for MOD’s go-signal before proceeding.
-Checked all printer cables; unplugged and reconnected USB and power cables.
-Verified printer status in OPOS Manager.
-Performed self-test; printer did not respond and red light persisted.
-Unable to feed paper; attempted paper alignment.
-Issue remained unresolved after multiple checks.
</t>
  </si>
  <si>
    <t xml:space="preserve">Recommended for Heritage diagnostic — printer is under warranty.
</t>
  </si>
  <si>
    <t>Arvin Guibernas</t>
  </si>
  <si>
    <t xml:space="preserve">FSBP00130098 </t>
  </si>
  <si>
    <t>POS A Printer - won't print</t>
  </si>
  <si>
    <t>PPO50289</t>
  </si>
  <si>
    <t xml:space="preserve">11/14 -Coordinated with the MOD upon arrival for POS A printer checking.
-Confirmed that the printer hook was broken.
-Proceeded with printer replacement.
-Performed test printing via:
*Self-test
*OPOS Manager
*LSNAV
-Verified by MOD — all tests passed.
</t>
  </si>
  <si>
    <t xml:space="preserve">Printer replaced.
</t>
  </si>
  <si>
    <t>PPN70762</t>
  </si>
  <si>
    <t>FSBP00129811</t>
  </si>
  <si>
    <t>SB360</t>
  </si>
  <si>
    <t>CAPITOL DRIVE BALANGA BATAAN</t>
  </si>
  <si>
    <t>POS B-printer won't print.</t>
  </si>
  <si>
    <t xml:space="preserve">11/14 -Upon arrival, coordinated with the MOD regarding the POS B printer issue.
-Performed full troubleshooting on the printer.
-Determined that the cutter assembly is not functioning.
-Recommended for warranty replacement through Heritage.
-Work completed; endorsed findings to MOD.
</t>
  </si>
  <si>
    <t xml:space="preserve">Recommended unit for Heritage warranty processing.
</t>
  </si>
  <si>
    <t xml:space="preserve">Mark Millnes
</t>
  </si>
  <si>
    <t>FSBP00130125</t>
  </si>
  <si>
    <t>PP0C0175</t>
  </si>
  <si>
    <t>POS D Printer - won't print and red light status</t>
  </si>
  <si>
    <t xml:space="preserve">11/14 -Coordinated with the MOD upon arrival.
-Checked POS D printer; observed double red-light status.
-Attempted to reseat the paper.
-Cleaned the sensor and roller.
-Powered on the printer — issue persisted (red light remains).
-Attempted self-test — still showing red-light error.
-Checked printer hook — no broken hook found.
-Tested via OPOS — device failed.
-No available spare printer onsite.
-Printer is under warranty.
-Recommended escalation/referral to Heritage.
</t>
  </si>
  <si>
    <t xml:space="preserve">Recommended for Heritage (unit under warranty).
</t>
  </si>
  <si>
    <t>Amber Jimkang</t>
  </si>
  <si>
    <t xml:space="preserve">FSBP00131830 </t>
  </si>
  <si>
    <t xml:space="preserve"> GREENBELT 3 - LEVEL 1</t>
  </si>
  <si>
    <t>PC0D6Z41</t>
  </si>
  <si>
    <t>11/15-16 - Upon arrival coordinate with MOD, waiting for MOD go signal
- PASI proceed to backup BOS files
- Proceed upgrade SSD and RAM (secondary HDD)
- Change Boot Priority
- Setup computer details, Hostfile, IP address, Mall Sending IP, Persistent routes, Teamviewer
- PASI Restoring Backup Files
- Domain BOS
- Turn off Domain firewall
- Open all device, reprint all POS before the actual transaction to initialize the nav database
- Pull out old RAM
- Transaction observation for 2 hours</t>
  </si>
  <si>
    <t>1F2505160071847 | 2530 010957470X001 - K003357,  2530 010957470X001 - K003395</t>
  </si>
  <si>
    <t>Jessa Bea</t>
  </si>
  <si>
    <t>FSBP00129414</t>
  </si>
  <si>
    <t>POS B - LSStart has stopped working error - HDD Replacement</t>
  </si>
  <si>
    <t xml:space="preserve">11/5 - Upon arrival, Coordinate to MOD
- HDD has 98% health
- Checkdisk; got bad sector
- Reco need new HDD
- Reformat
- Reimage
- Config by PASI
- Observe
- Work done.
11/15 - Upon arrival coordinate with MOD
- Wait for go signal of MOD- at 0420 MOD approve to start the activity
- Takenote all needed settings and save host file
- Replace HDD in POS B- already confirm with PASI no need files in old HDD
- After input all setting and host file call PASI for starting remote and config the POS.
- After PASI configuration- need to redomain POS B but error found in any procedure way
</t>
  </si>
  <si>
    <t>replaced HDD of POS B</t>
  </si>
  <si>
    <t>WMAYPOF2TW55</t>
  </si>
  <si>
    <t>WCC2ERFL8JJP</t>
  </si>
  <si>
    <t>Aira Dendu</t>
  </si>
  <si>
    <t xml:space="preserve"> FSBP00129609</t>
  </si>
  <si>
    <t>SB588</t>
  </si>
  <si>
    <t>ROBINSONS CYBERGATE FUENTE OSMENA</t>
  </si>
  <si>
    <t>Espresso Printer</t>
  </si>
  <si>
    <t xml:space="preserve"> TM-L90 M313A</t>
  </si>
  <si>
    <t>TPJF033582</t>
  </si>
  <si>
    <t>Espresso Labeler Printer - encountered short circuit</t>
  </si>
  <si>
    <t>11/15 - Upon arrival coordinate with MOD
- Verify the reported device
- Proceed to replaced power cord and adapter of labeler printer
- Power up device
- Endorse and tested by MOD- send to bar (ok)
- Work done</t>
  </si>
  <si>
    <t>replaced labeler printer power cord and adapter</t>
  </si>
  <si>
    <t>Epson Adapter</t>
  </si>
  <si>
    <t>D4KF314CBF</t>
  </si>
  <si>
    <t>D4KF314C48</t>
  </si>
  <si>
    <t>Bacalla, Honey Mel</t>
  </si>
  <si>
    <t xml:space="preserve">FSBP00130042 </t>
  </si>
  <si>
    <t>SB495</t>
  </si>
  <si>
    <t>TWO WEST AEROPARK</t>
  </si>
  <si>
    <t>41VZ169</t>
  </si>
  <si>
    <t>All POS - inconsistent in capturing transactions from Maya device to POS</t>
  </si>
  <si>
    <t>11/15 - Coordinate with MOD
- Check both POS and testing paymaya machine device
- PASI support conduct remote and update apps- test and update
- Test the paymaya transaction true BOD card payment- all transactions are successful. 
- MOD witness both POS is properly working and also paymaya personnel replace both Sim Card to make sure, all transactions are working as well. Ticket Close.</t>
  </si>
  <si>
    <t>Test the paymaya transaction true BOD card payment- all transactions are successful</t>
  </si>
  <si>
    <t xml:space="preserve"> Justin Basco</t>
  </si>
  <si>
    <t>FSBP00130145</t>
  </si>
  <si>
    <t>BOS only shows Blackscreen</t>
  </si>
  <si>
    <t xml:space="preserve">11/15 -Upon arrival, BOS was powered on but only displayed a black screen; issue identified as monitor being in sleep mode.
-Checked HDD health — result OK.
-Performed continuous ping test to POS — connection stable.
-Verified BOS network speed — 1 Gbps.
-HDD health check reaffirmed OK.
-Device was remotely accessed by PASI — validated as working.
-Additional remote check performed by Sir Vernon — confirmed OK.
-Advised MOD regarding recommendation for POS reimage during Sunday store closing.
-Observed POS performance as requested by MOD.
-All required work completed.
</t>
  </si>
  <si>
    <t xml:space="preserve">Verified BOS is fully up and functioning.
</t>
  </si>
  <si>
    <t>2:30 PM, 3:30PM</t>
  </si>
  <si>
    <t>FSBP00129960</t>
  </si>
  <si>
    <t>HA1QJXJE</t>
  </si>
  <si>
    <t>Store Tablet S/N:HA1QJXJE - Reformatted and all apps  like authenticator and RCOC learning academy were not available on the tablet</t>
  </si>
  <si>
    <t>11/15 - Upon arrival borrow tablet from MOD
- Tablet is deadbatt
- Charge tablet
- tablet has been reset
- Login looping with rcoc email
- bypass gmail
- factory reset tablet in settings
- setup tablet and apps
- restart tablet and exit kiosk
- Test by MOD; good. Work done</t>
  </si>
  <si>
    <t>Carlo Santos</t>
  </si>
  <si>
    <t xml:space="preserve">FSBP00130178 </t>
  </si>
  <si>
    <t>HVA4JSVL</t>
  </si>
  <si>
    <t>Store Tablet S/N:HVA4JSVL - Reformatted and all apps  like authenticator and RCOC learning academy were not available on the tablet</t>
  </si>
  <si>
    <t>11/15 - Upon arrival borrow tablet from MOD
- tablet is not yet setup
- factory reset tablet in settings
- setup tablet and apps
- restart tablet and exit kiosk
- Test by MOD; good. Work done</t>
  </si>
  <si>
    <t>FSBP00130164</t>
  </si>
  <si>
    <t>SB262</t>
  </si>
  <si>
    <t>ORTIGAS TECHNOPOINT 1</t>
  </si>
  <si>
    <t>4392-FBC</t>
  </si>
  <si>
    <t>711088349653YK11AR60663</t>
  </si>
  <si>
    <t>POS A MSR - Unable to read IDs</t>
  </si>
  <si>
    <t xml:space="preserve">11/15 -Coordinated with the MOD upon arrival regarding the MSR issue on POS A.
-Conducted physical inspection and tested the MSR using multiple valid store IDs; device still unable to read.
-Checked MSR connections, tested alternate USB ports, and restarted POS A—issue persisted.
-Installed and configured a new MSR device.
-Tested the replacement MSR; POS A successfully read IDs after installation.
-Observed operation for 20 minutes; no recurring issues.
-Confirmed with MOD that the issue was fully resolved.
</t>
  </si>
  <si>
    <t xml:space="preserve">Installed and configured a new MSR device.
</t>
  </si>
  <si>
    <t>Patrick</t>
  </si>
  <si>
    <t xml:space="preserve">FSBP00129983 </t>
  </si>
  <si>
    <t xml:space="preserve"> HARBOUR POINT SUBIC</t>
  </si>
  <si>
    <t xml:space="preserve"> H155-381
</t>
  </si>
  <si>
    <t xml:space="preserve">11/16 -Coordinated with the MOD and addressed the BOS issue first.
-Performed standalone testing on the DITO LTE device.
-Standalone test results were good: stable ping to 8.8.8.8 and download speed reaching 100+ Mbps.
-Coordinated with the RCOC team for DITO LTE installation.
-Provided standalone test results and waited for confirmation to proceed with connecting LTE to Meraki.
-Connected LTE to Meraki Port 1.
-Dismantled old Meraki and Aruba devices for pullout.
-Performed ping and speed tests to confirm connectivity.
-Observed and monitored connectivity status, especially cashless transactions.
-As requested by RCOC, checked and confirmed that the store was playing Christmas music and that the curio was updated.
-DITO LTE deployment completed successfully.
-Pulled out old Meraki, Aruba device, and adaptor.
</t>
  </si>
  <si>
    <t xml:space="preserve">Successfully deployed DITO LTE.
</t>
  </si>
  <si>
    <t>Paulin Gonzales</t>
  </si>
  <si>
    <t>FSBP00129887</t>
  </si>
  <si>
    <t xml:space="preserve"> VILLA MANUELA FRIENDSHIP ROAD ANGELES CITY</t>
  </si>
  <si>
    <t>7600X</t>
  </si>
  <si>
    <t>PP050159</t>
  </si>
  <si>
    <t>DTE DT POS printer - not working properly as printer is busted/faulty</t>
  </si>
  <si>
    <t xml:space="preserve">11/16 -Upon arrival, coordinated with the MOD regarding the issue.
-Confirmed that the DTE DT POS printer was busted/faulty.
-Replaced the DT POS printer with a new Posiflex printer.
-Installed the new printer and had the MOD test and print a new receipt to confirm proper functionality.
-Reinstalled the original printer previously used on the DT POS and performed additional print tests.
-Both POS B and POS DT printers were successfully installed and tested.
-Pulled out the defective printer.
-Ticket closed.
</t>
  </si>
  <si>
    <t xml:space="preserve">Replaced the DT POS printer with a new Posiflex unit.
</t>
  </si>
  <si>
    <t>PP-81965</t>
  </si>
  <si>
    <t>JC Tapang</t>
  </si>
  <si>
    <t>FSBP00130170</t>
  </si>
  <si>
    <t>PC0D6Z27</t>
  </si>
  <si>
    <t xml:space="preserve"> BOS - Both POS A and B - Slow processing of transactions</t>
  </si>
  <si>
    <t xml:space="preserve">11/16 -Upon arrival, coordinated with the MOD and waited for permission to begin.
-Requested support from RCOC due to BOS LSR Admin user being locked out.
-After gaining access, checked the BOS connection speed.
-Reseated and secured the LAN end-to-end connection.
-Checked connection speed of all POS units.
-Conducted ping tests and verified connectivity for BOS, POS A, and POS B.
-Checked BOS performance (CPU, Memory, Ethernet, HDD).
-BOS connection speed returned to 1 Gbps; BOS status confirmed OK.
-Requested dashboard checking and observed transactions.
</t>
  </si>
  <si>
    <t xml:space="preserve">Reseated and secured the LAN end-to-end connection and performed full connectivity checks.
</t>
  </si>
  <si>
    <t>10:00 AM, 11:30 AM</t>
  </si>
  <si>
    <t>10:50 AM, 11:50 AM</t>
  </si>
  <si>
    <t>FSBP00130183</t>
  </si>
  <si>
    <t>PC0D6Z1G</t>
  </si>
  <si>
    <t xml:space="preserve"> BOS- All POS slow in printing receipt and it takes 3 minutes to print the receipt</t>
  </si>
  <si>
    <t>11/16 - Upon arrival coordinate with MOD
- Check BOS LAN cable; found loose LAN cable
- Test LAN cable of BOS; good
- Tighten LAN cable
- Observe for transactions
- The receipt printing is good, and it's fast according to the MOD</t>
  </si>
  <si>
    <t>Tighten LAN cable and restart both POS</t>
  </si>
  <si>
    <t xml:space="preserve"> Rodrigo Saclolo</t>
  </si>
  <si>
    <t>FSBP00130181</t>
  </si>
  <si>
    <t>POS D Scanner- Cannot scan due to loose UTP cable</t>
  </si>
  <si>
    <t xml:space="preserve">11/16 - Upon arrival, Coordinate to MOD
- Found scanner cable broken but still working with  tape
- Waiting for parts
- Install new scanner
- Test multiple times
- MOD approved
- Pull out defective scanner
- Work done.
</t>
  </si>
  <si>
    <t>replaced scanner</t>
  </si>
  <si>
    <t>CDM6I341</t>
  </si>
  <si>
    <t>Alison Ballon</t>
  </si>
  <si>
    <t>FSBP00130277</t>
  </si>
  <si>
    <t>KS -7412P</t>
  </si>
  <si>
    <t>KSM60525</t>
  </si>
  <si>
    <t>REIMAGE POS A</t>
  </si>
  <si>
    <t>11/16 - Upon arrival coordinate to MOD for POS A and B reimaging
- Back up etc file
- Check computer name
- Undomain POS
- Save IP Address
- Clear disk on hirens
- Proceed re-imaging
- Setup computer details
- Install maya driver
- Coordinate to PASI
- Domain; unable to domain
- Test
- Verify to MOD
- Work done</t>
  </si>
  <si>
    <t>Reimage POS A (Posiflex)</t>
  </si>
  <si>
    <t xml:space="preserve">Millard Monzon
</t>
  </si>
  <si>
    <t>Jeni Arguelles</t>
  </si>
  <si>
    <t>FSBP00130278</t>
  </si>
  <si>
    <t>KS - 7412P</t>
  </si>
  <si>
    <t>KSM60513</t>
  </si>
  <si>
    <t>REIMAGE POS B</t>
  </si>
  <si>
    <t>11/16- Upon arrival coordinate to MOD for POS A and B reimaging
- Back up etc file
- Check computer name
- Undomain POS
- Save IP Address
- Clear disk on hirens
- Proceed re-imaging
- Setup computer details
- Install maya driver
- Coordinate to PASI
- Domain; unable to domain
- Test
- Verify to MOD
- Work done</t>
  </si>
  <si>
    <t>Reimage POS B (Posiflex)</t>
  </si>
  <si>
    <t>FSBP00129522</t>
  </si>
  <si>
    <t>Harmony unable to access, preventing updates to the holiday season playlist</t>
  </si>
  <si>
    <t xml:space="preserve">11/17 -Coordinated with the MOD upon arrival.
-Waited for the MOD's call before proceeding.
-Checked all LAN cables and LAN ports; Curio was connected to Switch Port 10.
-Transferred the Curio connection from Switch Port 10 to the Meraki router.
-Checked the device status in the Meraki dashboard.
-Bound the Curio MAC address in the dashboard.
-Restarted the Curio device.
-Curio successfully appeared in the dashboard device list.
-Verified that holiday songs were playing.
-Curio player is now fully working.
</t>
  </si>
  <si>
    <t xml:space="preserve">Curio connectivity restored and playlist updates functioning properly.
</t>
  </si>
  <si>
    <t>Roselyn Panuda</t>
  </si>
  <si>
    <t>FSBP00130256</t>
  </si>
  <si>
    <t>SB368</t>
  </si>
  <si>
    <t>SUPER METRO COLON CEBU</t>
  </si>
  <si>
    <t>PP040118</t>
  </si>
  <si>
    <t xml:space="preserve">POS Printer - Not functioning (Will print but the parts of the printer won't function) </t>
  </si>
  <si>
    <t>11/17 - Coordinated with the MOD. Waited for permission to proceed.
- Checked the warranty tag. T.Printer OOW, 9/30/24.
- Checked the printer, broken hook.
- Tested feed and print. Printer is not dispensing paper.
- Proceeded with the replacement and setup of printer.
- Tested the replacement printer and observed transactions.
- Pulled out defective printer.
11/18 Upon arrival coordinate mod
Proceed checking ,printer is working and operational
Checking of posB lan connections ( 1gbps)
Ping on mws (pingable)
Observe 1hr for possible error (no error)
Work done
Call Closed</t>
  </si>
  <si>
    <t xml:space="preserve">Broken hook, replaced Posiflex printer.
</t>
  </si>
  <si>
    <t xml:space="preserve"> Joyces Embalsado</t>
  </si>
  <si>
    <t>FSBP00130286</t>
  </si>
  <si>
    <t>HVA1N4R3</t>
  </si>
  <si>
    <t>Store tablet - reset to default settings</t>
  </si>
  <si>
    <t xml:space="preserve">11/17-Coordinated with the MOD upon arrival.
-Proceeded to reset the store tablet.
-Set up the tablet: logged in using the provided email and scanned the QR code.
-Installed and configured all required applications: QR Scanner, RCOC Learning, Files, OneDrive, and QuickSupport.
-Set up the authenticator and had the MOD verify that it was working properly.
</t>
  </si>
  <si>
    <t xml:space="preserve">Installed and configured all required applications: QR Scanner, RCOC Learning, Files, OneDrive, and QuickSupport.
</t>
  </si>
  <si>
    <t>Jian Lambuson</t>
  </si>
  <si>
    <t>FSBP00130175</t>
  </si>
  <si>
    <t>PP040160</t>
  </si>
  <si>
    <t>POS A Printer - wont print/wont dispense receipt</t>
  </si>
  <si>
    <t>11/17 - Coordinate with MOD
- As per MOD a work permit is needed- waited for WP.
- Checked POS A printer- found broken hook inside.
- POS A printer is working and operational due to a temporary fix- secured with a rubber band on the printer cover.
- As of the moment, no available printer for replacement</t>
  </si>
  <si>
    <t>Reco for printer replacement - transfer to Heritage - resolved and fixed</t>
  </si>
  <si>
    <t xml:space="preserve"> Argel Guererro</t>
  </si>
  <si>
    <t>FSBP00130362</t>
  </si>
  <si>
    <t>SB409</t>
  </si>
  <si>
    <t>CIRCUIT LANE - MAKATI</t>
  </si>
  <si>
    <t>GLOBE FIBER INTERNET ACTIVATION</t>
  </si>
  <si>
    <t xml:space="preserve">11/17 -MOD advised to wait due to high customer volume.
-Upon arrival, checked Globe connection — status good.
-Performed standalone testing — fast and stable connection.
-Terminated Globe line to Meraki Port 1 and PLDT line to Port 2.
-Informed Sir Bryan, who acknowledged the update.
-Pulled out Smart LTE device.
-Unable to retrieve power adaptor.
-Work completed.
</t>
  </si>
  <si>
    <t xml:space="preserve">Terminated Globe line to Meraki Port 1 and PLDT line to Port 2.
</t>
  </si>
  <si>
    <t>RCOC TEAM</t>
  </si>
  <si>
    <t>Mark Beltran</t>
  </si>
  <si>
    <t>FSBP00130297</t>
  </si>
  <si>
    <t>Dell</t>
  </si>
  <si>
    <t>Optiplex 3000</t>
  </si>
  <si>
    <t>4S58CR3</t>
  </si>
  <si>
    <t>POS C- Hang and Lagging</t>
  </si>
  <si>
    <t>11/17- Coordinate with MOD
- Check POS C network- 100mbps
- Proceed to recrimp and test cat6
- 1gbps show
- Work done</t>
  </si>
  <si>
    <t>recrimp and test cat6</t>
  </si>
  <si>
    <t>FSBP00130330</t>
  </si>
  <si>
    <t xml:space="preserve">ONE GRIFFINSTINE BLDG </t>
  </si>
  <si>
    <t xml:space="preserve">POS B printer wont print </t>
  </si>
  <si>
    <t>11/17 - Coordinate with MOD
- Upon arrival, POS B printer is working &amp; operational.
- As per MOD, printer went okay earlier.
- Work done.</t>
  </si>
  <si>
    <t>Charlene Bactol</t>
  </si>
  <si>
    <t>FSBP00130342</t>
  </si>
  <si>
    <t xml:space="preserve">POS A - Touchscreen unresponsive
</t>
  </si>
  <si>
    <t xml:space="preserve">11/17 -Upon arrival, POS A touchscreen was not responding.
-Connected a mouse and keyboard — both were responsive.
-Restarted the POS and scanned hardware devices in Device Manager, but the touchscreen remained unresponsive.
-Unable to continue full isolation due to no available mouse (unit in use by MOD at MWS).
-Coordinated with TSG (Aaron &amp; Brent).
-After multiple restarts, POS A touchscreen became responsive.
-Performed additional restarts to verify — touchscreen remained functional.
-POS A confirmed operational and observed.
-Work completed.
</t>
  </si>
  <si>
    <t xml:space="preserve">POS A touchscreen became responsive after multiple restarts.
</t>
  </si>
  <si>
    <t>FSBP00130353</t>
  </si>
  <si>
    <t xml:space="preserve"> CRESCENT PARK RESIDENCES - BONIFACIO GLOBAL CITY</t>
  </si>
  <si>
    <t>41MD372</t>
  </si>
  <si>
    <t>POS A - unable to power on due to power button was stuck inside</t>
  </si>
  <si>
    <t xml:space="preserve">11/17 -Approached the MOD and checked POS A; power button was stuck inside the bezel.
-Applied a temporary fix while waiting for the replacement bezel.
-Replaced the bezel once available.
-Tested the unit — POS A powered on successfully.
-MOD confirmed that the power button is now working properly.
-Work completed.
</t>
  </si>
  <si>
    <t xml:space="preserve">Bezel replaced; POS A now fully operational.
</t>
  </si>
  <si>
    <t>BEZEL</t>
  </si>
  <si>
    <t>11S7429990YK11RL557061</t>
  </si>
  <si>
    <t>11S7429990YK12RL53D048</t>
  </si>
  <si>
    <t xml:space="preserve"> Cy Dasmarinas</t>
  </si>
  <si>
    <t>FSBP00130240</t>
  </si>
  <si>
    <t>Eugenio Lopez Dr Cor Sct Tuazon St.</t>
  </si>
  <si>
    <t>TML - 90</t>
  </si>
  <si>
    <t xml:space="preserve"> CBS - Labeler adapter got wet during closing procedured</t>
  </si>
  <si>
    <t xml:space="preserve">11/17 -Coordinated with the MOD upon arrival.
-Checked the CBS power adapter and found the sides opened with visible stains.
-Coordinated with Asset Team for a replacement adapter.
-Waited for the replacement unit to arrive.
-Received the replacement adapter.
-Isolated and removed the defective power adapter.
-Installed and set up the new power adapter for the CBS — working properly.
-Performed a test print — result good.
-Work completed.
</t>
  </si>
  <si>
    <t xml:space="preserve">replaced adapter
</t>
  </si>
  <si>
    <t>D4KF30Y5C5</t>
  </si>
  <si>
    <t>2:16PM, 3:12 PM</t>
  </si>
  <si>
    <t xml:space="preserve">3:05 PM, 3:35 PM
</t>
  </si>
  <si>
    <t>Raven Caburnay</t>
  </si>
  <si>
    <t xml:space="preserve">FSBP00130423 </t>
  </si>
  <si>
    <t>EUGENIO LOPEZ DR COR SCT TUAZON ST.</t>
  </si>
  <si>
    <t>Pastry Labeller not printing</t>
  </si>
  <si>
    <t xml:space="preserve">11/17 -Coordinated with the MOD upon arrival.
-Checked the labeler — device powered on with indicator lights.
-Inspected the LAN cable — found taped.
-Removed the tape and discovered the LAN connector had no clip.
-Re-crimped the pastry labeler LAN cable — working properly.
-Performed a test print — successful.
-Work completed.
</t>
  </si>
  <si>
    <t xml:space="preserve">Re-crimped the pastry labeler LAN cable — working properly.
</t>
  </si>
  <si>
    <t>Herb Tan</t>
  </si>
  <si>
    <t>FSBP00130456</t>
  </si>
  <si>
    <t>SB298</t>
  </si>
  <si>
    <t>SM CITY FAIRVIEW - LEVEL 2</t>
  </si>
  <si>
    <t>Deploy Smart LTE</t>
  </si>
  <si>
    <t xml:space="preserve">11/17 -Coordinated with the MOD upon arrival.
-Checked the Meraki; WAN 2 was down.
-Performed standalone testing on WAN 1 — good, stable, and pingable.
-Waited for Smart LTE delivery
-Received the Smart LTE unit.
-Set up Smart LTE on WAN 2.
-Performed standalone testing on Smart LTE — good, stable, and pingable.
-Smart LTE (WAN 2) successfully came online and was confirmed by Sir Bryan.
-Work completed.
</t>
  </si>
  <si>
    <t>Set up Smart LTE on WAN 2.</t>
  </si>
  <si>
    <t>Ruu Pacava</t>
  </si>
  <si>
    <t>FSBP00130467</t>
  </si>
  <si>
    <t xml:space="preserve"> BOS TeamViewer | Offline</t>
  </si>
  <si>
    <t>11/18 -upon arrival, Pos A&amp;B are continously pingable to bos. Net speed are 1gbps.
-checked bos is hang, has display but unable to click using mouse.
-properly restart BOS, checked net speed 1gbps, Set Screensaver to NEVER.
-observed pos A&amp;B operation.
-pos A&amp;B are now operational but has concern of slow printing receipt some time.
-coor with sir Vernon.
-remote by pasi.
-as of observation, pos A&amp;B are okay. 
-Work Done</t>
  </si>
  <si>
    <t>restart BOS, POS A &amp; B</t>
  </si>
  <si>
    <t>Aya Timbreza</t>
  </si>
  <si>
    <t>FSBP00130323</t>
  </si>
  <si>
    <t>I TOWER - P NOVAL ST.</t>
  </si>
  <si>
    <t>41NY939</t>
  </si>
  <si>
    <t>POS A MSR - unable to scan</t>
  </si>
  <si>
    <t>11/18 - Coordinate issue to MOD
- Upon arrival MSR is working
- Advice for observation</t>
  </si>
  <si>
    <t>Mj Inocencio</t>
  </si>
  <si>
    <t>FSBP00130493</t>
  </si>
  <si>
    <t>0KHUHNQXA00040L</t>
  </si>
  <si>
    <t>Disconnected LFD Panel - Menu C</t>
  </si>
  <si>
    <t>11/18 Upon arrival coordinated with MOD
- Check Menu C; found disconnected
- Ping Menu C from MWS; not pingable
- Check Meraki MS port 17; no light
- Recrimp Menu C LAN cable on panel side; good
- Check ping from MWS; still unreachable
- Check Meraki MS port 17; still has no light indicator
- Recrimp Menu C LAN cable on Meraki MS side; good
- Check ping on MWS; good, stable and pingable
- Meraki MS Port 17 has light indicator; good
- Work done</t>
  </si>
  <si>
    <t>Recrimp Menu C LAN cable</t>
  </si>
  <si>
    <t>Gabriel Gaguador</t>
  </si>
  <si>
    <t>FSBP00130491</t>
  </si>
  <si>
    <t>HOTEL 8 - TAGAYTAY</t>
  </si>
  <si>
    <t>41VA537</t>
  </si>
  <si>
    <t>POS B - Boot issue (Won't on)</t>
  </si>
  <si>
    <t>11/18 - Upon arrival coordinate to MOD for POS B checking
- Confirmed POS B unable to boot
- Proceed reseat of all cables and components
- Clean RAM and HDD sata cables
- Reseat power cable
- Check power source voltage; 241 V
- Tried to boot; ok proceeds to windows
- Check health HDD; 100% health status
- Run memory diagnostics; no issue found
- Chkdsk; no bad sector found
- Restart several times; no error occurred
- Test transaction; ok
- Verify to MOD
- Work done</t>
  </si>
  <si>
    <t>Reseat all components, clean RAM and HDD sata cables</t>
  </si>
  <si>
    <t>Jerome Tabuena</t>
  </si>
  <si>
    <t>FSBP00130494</t>
  </si>
  <si>
    <t>PC0D6Z47</t>
  </si>
  <si>
    <t>BOS - LAN CONNECTION 100 MBPS ONLY</t>
  </si>
  <si>
    <t>11/18 - Upon arrival, checked BOS is turned off
- MOD advised that Sir Marvin advised them to sleep mode the BOS
- Turn on the BOS and notice that connection is disabled.
- Enable the connection BOS is now up
- Replaced lan cable
- Coordinate PASI for memory allocation
- Checked POS A and B is now fast transaction
- Standby for 30 mins
- Work done</t>
  </si>
  <si>
    <t>Enable the connection BOS  and replaced lan cable</t>
  </si>
  <si>
    <t>FSBP00130496</t>
  </si>
  <si>
    <t>MERAKI AP - LAN CONNECTION 100 MBPS ONLY</t>
  </si>
  <si>
    <t xml:space="preserve">FSBP00130282 </t>
  </si>
  <si>
    <t xml:space="preserve">SB432 </t>
  </si>
  <si>
    <t>SurePOS E70</t>
  </si>
  <si>
    <t>41PV847</t>
  </si>
  <si>
    <t>POS A- Barcode Scanners not automatically reading barcodes</t>
  </si>
  <si>
    <t>11/19 upon arrival, Pos B Scanner not automatically scan. Need to push top button to scan.
-Replace mew barcode scanner.
-tested scan okay.
-pullout defective.
-work done.</t>
  </si>
  <si>
    <t>Barcode scanner replacement.</t>
  </si>
  <si>
    <t>HONEYWELL SCANNER</t>
  </si>
  <si>
    <t xml:space="preserve"> 15153B1E4A</t>
  </si>
  <si>
    <t>15264B1D27</t>
  </si>
  <si>
    <t>Kaye Penalba</t>
  </si>
  <si>
    <t>FSBP00130288</t>
  </si>
  <si>
    <t>41PW041</t>
  </si>
  <si>
    <t>POS B- Barcode Scanners not automatically reading barcodes</t>
  </si>
  <si>
    <t>11/19 upon arrival, Pos B Scanner not automatically scan. Need to push top button to scan.
-Replace mew barcode scanner.
-tested scan okay.
-work done.</t>
  </si>
  <si>
    <t>15153B0850</t>
  </si>
  <si>
    <t>15325B225F</t>
  </si>
  <si>
    <t>FSBP00130501</t>
  </si>
  <si>
    <t>HA1PS1PA</t>
  </si>
  <si>
    <t>Store Tablet went to its default setting</t>
  </si>
  <si>
    <t xml:space="preserve">11/19 Upon arrival borrow tablet from MOD 
- Tablet is deadbatt
- Charge tablet 
- tablet has been reset
- bypass frp
- factory reset tablet in settings
- setup tablet and apps
- restart tablet and exit kiosk
- Test by MOD; good. Work done
</t>
  </si>
  <si>
    <t>restart tablet and exit kiosk</t>
  </si>
  <si>
    <t xml:space="preserve">  Izah Arcangel</t>
  </si>
  <si>
    <t xml:space="preserve"> FSBP00130406</t>
  </si>
  <si>
    <t xml:space="preserve"> III PASEO CORNER LEGASPI</t>
  </si>
  <si>
    <t>PC0D6Z3T</t>
  </si>
  <si>
    <t xml:space="preserve">MWS- Performance is slow and cannot open 2 excel files due to excel force closes
</t>
  </si>
  <si>
    <t>11/19 Upon arrival, Coordinate to MOD
-pause time
-the mod has something to do in mws
-chkdsk cmd
-hdd sentinel;good
-delete temp files;good
-open multiple exel;good improved
-observe for a while
-Work done.</t>
  </si>
  <si>
    <t>delete temp files</t>
  </si>
  <si>
    <t>10:45 AM, 12:30 PM</t>
  </si>
  <si>
    <t>11:00 AM, 1:00 PM</t>
  </si>
  <si>
    <t>John Escalada</t>
  </si>
  <si>
    <t xml:space="preserve"> FSBP00130700</t>
  </si>
  <si>
    <t>SB204</t>
  </si>
  <si>
    <t xml:space="preserve"> CORINTHIAN HILLS</t>
  </si>
  <si>
    <t xml:space="preserve">wa120l </t>
  </si>
  <si>
    <t>Source Tel Fiber Activation Nov 19, 2025 10am-5pm</t>
  </si>
  <si>
    <t>11/19 Upon arrival standalone test source tel; stable and good
- Connect source tel to port 1 of meraki
- transfer pldt to port 2 of meraki
- Wait for confirmation of RCOC
- pull out smart LTE. Work done</t>
  </si>
  <si>
    <t>Activate source telecoms fiber to wan 1</t>
  </si>
  <si>
    <t xml:space="preserve"> Ian Garcia</t>
  </si>
  <si>
    <t>FSBP00128827</t>
  </si>
  <si>
    <t>VERMOSA</t>
  </si>
  <si>
    <t>CYBBHMKA24030397</t>
  </si>
  <si>
    <t>CBS Labeler (cafe) is not working- All CBS orders are printing out at Cafe labeler when they turn on both CBS Labler (Cafe and DT) CBS are not printing out from its</t>
  </si>
  <si>
    <t>11/6 HD Jave: under new additional DT pastry and DT CBS c/o RCOC Tech Team
11/7 ON HOLD WAITING FOR SIR CLENCE ANNOUNCEMENT REGARDING ACTIVATION OF NEW DT PRINTERS
11/19 HD jave: TS Marvin reported to core for onsite by Cerv Team
11/19 - Upon arrival coordinate to MOD
- Proceed to check cafe CBS labeler
- Check physical status and condition Cafe cbs printer; done
- Cafe cbs labeler sticky; due to sometimes splash of milk and etc
- Found red light sensor indicator; error on printer
- Off and On and test Ping cafe cbs labeler ;ok pingable but after awhile RTO appears
- Tried restarting the cafe cbs labeler ; still issue persist
- Tried testing via default wireless connection ; not printing
- Check end of Infra; found high latency for .214 printer
- Ping and speed test internet connection; good
- remove Epson TML90 unused driver; done
- Retain all 6 Bixolon printer drivers; done
- Test again but still intermittent encounters RTO</t>
  </si>
  <si>
    <t>found and confirmed hardware related problem, request checking of proper vendor</t>
  </si>
  <si>
    <t>France Tabing</t>
  </si>
  <si>
    <t xml:space="preserve">FSBP00130193 </t>
  </si>
  <si>
    <t>PPM80593</t>
  </si>
  <si>
    <t xml:space="preserve"> POS B Printer - Won't Print</t>
  </si>
  <si>
    <t>11/16 VEI: broken hook (CID) for replacement - part of store refresh - replacement under Lenovo
11/19 Hd jave: Sir Pow advise in Core to cater temporary replacement from pull out parts
11/19 - Upon arrival coordinate to MOD for POS B printer checking
- Confirmed broken hook
- Proceed replacement
- Test new printer self print, OPOS, and LSNAV; ok
- Verify to MOD
- Defective printer already endorsed to MOD Jhanine Celerio
- Work done</t>
  </si>
  <si>
    <t>deployed SU printer - for Lenovo to check and replace the defective printer (part of store refresh)</t>
  </si>
  <si>
    <t>SU Printer</t>
  </si>
  <si>
    <t xml:space="preserve">FSBP00128982 </t>
  </si>
  <si>
    <t xml:space="preserve"> LA CONSOLACION COLLEGE MANILA</t>
  </si>
  <si>
    <t>Pirnter installation</t>
  </si>
  <si>
    <t>Laser Jet P1102</t>
  </si>
  <si>
    <t>VNF8Q03835</t>
  </si>
  <si>
    <t>MWS printer: HP LaserJet P1102 - No power</t>
  </si>
  <si>
    <t>11/19 - Upon arrival coordinate to MOD about the concern
- isolate printer found no power
- already replaced by other vendor
- get details of defective and new replace unit
- install driver using admin rights and test unit print out
- tested by MOD  
(NEW)
Brand: CANNON
Model: lF166400
S/N: FCA858221
(DEFECTIVE)
Brand: HP
Model: laser jet P1102
S/N: VNF8Q03835</t>
  </si>
  <si>
    <t>MWS printer by another vendor- install driver using admin rights and test unit print out</t>
  </si>
  <si>
    <t>Syra Jambaloz</t>
  </si>
  <si>
    <t>FSBP00130577</t>
  </si>
  <si>
    <t>SB176</t>
  </si>
  <si>
    <t>CALTEX SLEX - SAN PEDRO</t>
  </si>
  <si>
    <t>PP0C0240</t>
  </si>
  <si>
    <t>POS B Printer - wont print/unresponsive</t>
  </si>
  <si>
    <t>11/19 - Upon arrival coordinate to MOD for POS B printer checking
- Upon checking, the reported printer is not existing
- POS B is using a PP7900 printer
- Upon testing, printer unable to self test
- As per partner when the printer is positioned horizontally they are able to proceed transaction
- Check printer physically; no issue found
- Self test printer vertically; unable to proceed
- Self test horizontally; proceed printing
- Printer warranty 6/09/25
- Reco for heritage checking
- Verify to MOD
- Work done</t>
  </si>
  <si>
    <t>Check printer physically</t>
  </si>
  <si>
    <t>Rafael Refuerzo</t>
  </si>
  <si>
    <t>HA1LJEFK</t>
  </si>
  <si>
    <t>11/19 - Upon arrival tablet is deadbatt
- Charge tablet 
- Pin of tablet forgotten by partners 
- Try default pins; tablet reset itself
- bypass frp
- factory reset tablet in settings
- setup tablet and apps
- restart tablet and exit kiosk
- Test by MOD; good. Work done</t>
  </si>
  <si>
    <t>MOD Izah</t>
  </si>
  <si>
    <t>FSBP00130586</t>
  </si>
  <si>
    <t>41 - MD257</t>
  </si>
  <si>
    <t>[JV] POS B Maya Terminal - Not connecting to POS</t>
  </si>
  <si>
    <t>11/19 - Coordinate with MOD  
- Upon arrival, checked POS B maya is not working
- Coordinate with PASI if it’s configured to COM7; PASI confirmed
- Tested and still not working
- Plugged to another USB port
- Advised PASI to configure it to COM15
- Tested and it’s working now
- Advised MOD to transact while we standby
- Standby for 30 mins
- Maya is now working stable
- Work done</t>
  </si>
  <si>
    <t>Plugged to another USB port</t>
  </si>
  <si>
    <t>Lydel Gaad</t>
  </si>
  <si>
    <t>FSBP00130595</t>
  </si>
  <si>
    <t>41MD014</t>
  </si>
  <si>
    <t>11/19 - Coordinate with MOD
- Upon arrival POS A is working
- Proceeded to check the POS
- Upon checking the power cord is loose; reseat the power cord
- POS A is working properly
- Advised partners to be careful when using the POS to prevent the power cord from becoming loose or getting pulled out.</t>
  </si>
  <si>
    <t>reseat power cord</t>
  </si>
  <si>
    <t>Shara Mae Budayao</t>
  </si>
  <si>
    <t>FSBP00130478</t>
  </si>
  <si>
    <t>SB420</t>
  </si>
  <si>
    <t>THE ONE TORRE DE SANTO TOMAS</t>
  </si>
  <si>
    <t>HVA1N4QT</t>
  </si>
  <si>
    <t>Store tablet has been reset to its default settings</t>
  </si>
  <si>
    <t>11/20 Upon arrival coordinate with MOD
-Unable to login with gmail
-Bypass tablet gmail
- Set-up tablet; enter given email, Scan the qr code
- Set-up all apps; QR scanner,RCOC learning,files, one drive, quick support
- Set-up authenticator; test by MOD witness that authenticator is properly working</t>
  </si>
  <si>
    <t>Set-up tablet</t>
  </si>
  <si>
    <t>Gerald Apostol</t>
  </si>
  <si>
    <t>FSBP00130597</t>
  </si>
  <si>
    <t xml:space="preserve"> PACIFIC CENTER BINONDO</t>
  </si>
  <si>
    <t>PP-7600X- TB</t>
  </si>
  <si>
    <t xml:space="preserve">POS A Printer - Won't Print
</t>
  </si>
  <si>
    <t>11/20 upon arrival coordinate to mod the ticket
- isoalte printer found blinking and have sound of lose gear causing of device not printing
- inform to MOD for reschedule of replacing printer</t>
  </si>
  <si>
    <t>for printer replacement  - transfer to Heritage</t>
  </si>
  <si>
    <t>FSBP00130195</t>
  </si>
  <si>
    <t>41MC628</t>
  </si>
  <si>
    <t>POS A — Showed Request Timed Out (RTO) responses (Findings from PASI Support)</t>
  </si>
  <si>
    <t>11/20 Upon arrival coordinate with Mod
- Ping test pos a and bos; random rto pos a; stable bos
- Check all device connectivity; all 1gbps
- Resocket Pos A then observe; stable but sudden random rto
- Proceed to recrimp Pos A
- Observe ping test of pos a; stable ping
- Partners complaining about super slow response of both POS
- Check BOS; full disk C 9gb free out of 165gb
- check temp files 88.8gb
- delete temp files; loading of files took 5hrs; then accidentally cancelled by tech support who remoted BOS.
- Check hdd health of BOS; 100% health no bad sectors
- Can't check both pos hdd health due to peak hours, long line of customers
- MOD advised to resched the checking of POS hdd health
- TSG advised for reco of bos' hdd reimage.
- MOD advised to schedule during closing hours.</t>
  </si>
  <si>
    <t>FSBP00130618</t>
  </si>
  <si>
    <t>KSHC0028</t>
  </si>
  <si>
    <t>11/20 Upon arrival, Coordinate to MOD
-upon arrival posb is working and operational
-waiting to subside customer before to proceed
-check lan cable;good
-reseat cable good
-ping; good
-pos 1gb;good
-observe
-Work done.</t>
  </si>
  <si>
    <t>10:40 AM, 12:15 PM</t>
  </si>
  <si>
    <t>amaris dufouni</t>
  </si>
  <si>
    <t xml:space="preserve"> FSBP00130617</t>
  </si>
  <si>
    <t>SB193</t>
  </si>
  <si>
    <t>HARBOUR SQUARE</t>
  </si>
  <si>
    <t>15146B17FC</t>
  </si>
  <si>
    <t>POS A Scanner - not scanning and has no light</t>
  </si>
  <si>
    <t xml:space="preserve">11/20 -Upon arrival, coordinated with MOD regarding the ticket.
-Isolated the device and found the scanner had no power.
-Reseated the scanner connection; device powered on and is now functioning normally.
-Performed MOD testing.
</t>
  </si>
  <si>
    <t xml:space="preserve">Reseated the scanner connection; device powered on and is now functioning normally.
</t>
  </si>
  <si>
    <t>Harry Rams</t>
  </si>
  <si>
    <t xml:space="preserve"> FSBP00130620</t>
  </si>
  <si>
    <t xml:space="preserve"> 41MC943</t>
  </si>
  <si>
    <t>POS A - sunken power button</t>
  </si>
  <si>
    <t xml:space="preserve">11/20 -Upon arrival, coordinated with MOD regarding the ticket.
-Isolated the device and confirmed the power button was sunken.
-Applied necessary remedy; power button is now functioning normally.
-Conducted MOD testing.
</t>
  </si>
  <si>
    <t xml:space="preserve">Applied necessary remedy; power button is now functioning normally
</t>
  </si>
  <si>
    <t xml:space="preserve"> FSBP00130503</t>
  </si>
  <si>
    <t>SB349</t>
  </si>
  <si>
    <t>SM CLARK THE MEETING PLACE</t>
  </si>
  <si>
    <t xml:space="preserve"> M900</t>
  </si>
  <si>
    <t xml:space="preserve"> PC0D6Z3H</t>
  </si>
  <si>
    <t>BOS - POS A and B - Slow processing and printing of receipts</t>
  </si>
  <si>
    <t>11/20 upon arrival, coordinate to MOD regarding the issue. BOS - POS A and POS B processing and printing of receipt. L2 conduct troubleshooting, and after troubleshooting, found out both 3 machines are 100 Mbps only. L2 borrows a monitor from the CCTV machine, and inputs a VGA cable to the BOS machine. And replug ang unplug lan cable to BOS, after replug and unplug...now the status of BOS is 1GB...MOD test both POS and after testing, MOD witnesses that all POS is now properly working as well.
Ticket Close.</t>
  </si>
  <si>
    <t>Replug and unplug lan cable</t>
  </si>
  <si>
    <t>Annie Manalastas</t>
  </si>
  <si>
    <t>FSBP00130777</t>
  </si>
  <si>
    <t>re domain the POS B</t>
  </si>
  <si>
    <t xml:space="preserve">11/20 -Requested permission from MOD to use POS B.
-Re-domain POS B.
-Configured auto-login.
-MOD confirmed POS B is up and auto-login is working.
</t>
  </si>
  <si>
    <t xml:space="preserve">Re-domain POS B.
</t>
  </si>
  <si>
    <t>FSBP00129964</t>
  </si>
  <si>
    <t xml:space="preserve"> PASEO ARCENAS BANAWA</t>
  </si>
  <si>
    <t>POS B Printer - Red light error</t>
  </si>
  <si>
    <t>11/20 Upon arrival coordinate mod
Proceed checking printer
Cannot cut and dispense paper
Broken hook
Printer is under warranty and reco for replacement under heritage @Heritage Level 1 @Jonathan 
Work done
Call Closed</t>
  </si>
  <si>
    <t>IW- under Heritage</t>
  </si>
  <si>
    <t>FSBP00130745</t>
  </si>
  <si>
    <t xml:space="preserve">PETRON TPLEX NB
</t>
  </si>
  <si>
    <t>62HGX35</t>
  </si>
  <si>
    <t>BOS - Blackscreen</t>
  </si>
  <si>
    <t xml:space="preserve">11/21 upon arrival, coordinate to MOD regarding the issue BOS Black Screen
-Notice BOS is down and store is operating in manual
-MOD said store has experience several power interruption
-L2 perform trouble shooting for the BOS PC
-1st borrow display cable and also monitor from POS C
-Input end to end from BOS to POS C Monitor
-After the setup machine upon booting appeared the display and proceeded to login to LSRDadmin
-Sir Vernon remote and configure the display adapter driver.
-MOD witness the BOS is now fully restored.
-Observe 1 hour
-MOD confirmed all devices is operational
-Ticket Close
</t>
  </si>
  <si>
    <t>Configure Display adapter issue</t>
  </si>
  <si>
    <t>Ryan Ondivilla</t>
  </si>
  <si>
    <t>FSBP00130774</t>
  </si>
  <si>
    <t>disconnected LFD Panels</t>
  </si>
  <si>
    <t xml:space="preserve">11/21 -Coordinated with MOD upon arrival.
-Found that the Pre Menu panel had no power; identified a loose power cable.
-Checked outlet reading; result normal.
-Secured and properly terminated the power cable to the outlet.
-Conducted a 30-minute ping test.
-Confirmed that the Pre Menu panel is now online on the dashboard.
</t>
  </si>
  <si>
    <t xml:space="preserve">Re-seated and secured the power cable.
</t>
  </si>
  <si>
    <t>Queen Luangco</t>
  </si>
  <si>
    <t>FSBP00130753</t>
  </si>
  <si>
    <t>THE FINANCE CENTRE</t>
  </si>
  <si>
    <t>PPM83794</t>
  </si>
  <si>
    <t xml:space="preserve">POS C Printer- Won't Print 
</t>
  </si>
  <si>
    <t xml:space="preserve">11/21 -Verified printer functionality; performed multiple test prints with no errors or issues encountered.
-Checked all cables; confirmed they are secure and properly connected.
-MOD witnessed and confirmed successful reprinting of transactions with no errors.
</t>
  </si>
  <si>
    <t xml:space="preserve">Verified printer functionality; performed multiple test prints with no errors or issues encountered.
</t>
  </si>
  <si>
    <t xml:space="preserve"> Mecaela Corvela
</t>
  </si>
  <si>
    <t xml:space="preserve">FSBP00130644 </t>
  </si>
  <si>
    <t xml:space="preserve">TB-X306X
</t>
  </si>
  <si>
    <t>HA1QJVFD (22)</t>
  </si>
  <si>
    <t>Store Tablet has been reset to default settings (Lenovo Tablet M10 with SN: HA1QJVFD (22)</t>
  </si>
  <si>
    <t xml:space="preserve">11/22 -Coordinated with MOD
-Checked tablet status (confirmed factory default)
-Performed hard reset
-Reinstalled required applications
-Revoked and re-added email
-Bound MAC address
-Completed email setup with MOD
</t>
  </si>
  <si>
    <t xml:space="preserve">Tablet restored and applications reconfigured.
</t>
  </si>
  <si>
    <t>Jaime A. Arique</t>
  </si>
  <si>
    <t>Reyna Villanueva</t>
  </si>
  <si>
    <t>FSBP00130743</t>
  </si>
  <si>
    <t xml:space="preserve"> SM CLARK THE MEETING PLACE</t>
  </si>
  <si>
    <t xml:space="preserve">H155-381
</t>
  </si>
  <si>
    <t>DITO LTE Deployment Nov 21, 2025</t>
  </si>
  <si>
    <t xml:space="preserve">11/22 -Performed standalone setup for SmartBliz LTE and DITO LTE
-Conducted ping test (8.8.8.8)
-Tested YouTube application
-Re-crimped WAN2 LAN cable
-Re-crimped AP LAN cable to Port 24
-Tested Starbucks Delivery system
-Tested Starbucks Customer Wi-Fi
-Tested RCOC Partners Wi-Fi
-Conducted LTE speed tests
-Conducted comparison speed test using technician’s phone
</t>
  </si>
  <si>
    <t xml:space="preserve">Performed standalone setup for SmartBliz LTE and DITO LTE
</t>
  </si>
  <si>
    <t>6MQ7S24524002911</t>
  </si>
  <si>
    <t>Tine Abiso</t>
  </si>
  <si>
    <t>FSBP00130039</t>
  </si>
  <si>
    <t>HVA1P5Y4</t>
  </si>
  <si>
    <t>Store Tablet - Went back to default settings</t>
  </si>
  <si>
    <t xml:space="preserve">11/22 -Coordinated with MOD upon arrival
-Performed factory reset
-Logged into Gmail/account and tested new account
-Installed and tested required applications
-Revoked email / signed out of MWS and performed login scan
-Work completed
</t>
  </si>
  <si>
    <t xml:space="preserve">Completed step-by-step restoration, configuration, and application setup.
</t>
  </si>
  <si>
    <t xml:space="preserve">10:45 AM, 12:40 PM, 2:30 PM
</t>
  </si>
  <si>
    <t>11:30 AM, 1:40 PM, 3:30 PM</t>
  </si>
  <si>
    <t>Pauline Te Lazaro</t>
  </si>
  <si>
    <t>FSBP00130401</t>
  </si>
  <si>
    <t>SB353</t>
  </si>
  <si>
    <t>SM CITY BF PARANAQUE - GF</t>
  </si>
  <si>
    <t>HVA1N4XR</t>
  </si>
  <si>
    <t>Store tablet- Cannot use the authenticator for the email 353_partners@rustancoffee.ph due to tablet was reset to it's factory settings</t>
  </si>
  <si>
    <t>11/22 - Upon arrival coordinate to MOD
- Verified that the store tablet return to factory default
- Proceed on hard reset on the tablet
- Reinstall all apps needed
- Request on store email revoked
- Cross checking all apps with the MOD
- No other issues on the tablet
- Work done</t>
  </si>
  <si>
    <t>Mary Mara Berba</t>
  </si>
  <si>
    <t>FSBP00126521</t>
  </si>
  <si>
    <t>SB190</t>
  </si>
  <si>
    <t>BANAWE AVE.</t>
  </si>
  <si>
    <t xml:space="preserve">SIE CONNECT
</t>
  </si>
  <si>
    <t>2012HOFG09416</t>
  </si>
  <si>
    <t xml:space="preserve">11/22 -Checked Curio player; device powered on
-No light on the Curio Ethernet port and Meraki Port 10
-Performed ping test; Curio not pingable
-Replaced LAN cable; link light appeared
-Conducted ping test; stable response
-Accessed PlayNetwork; accessible
-Confirmed holiday songs not yet updated
-Advised MOD that Christmas playlist update is for recommendation to Facilities
-Work completed
</t>
  </si>
  <si>
    <t xml:space="preserve">Replaced LAN cable
</t>
  </si>
  <si>
    <t>Gaby Zaballen</t>
  </si>
  <si>
    <t>FSBP00129478</t>
  </si>
  <si>
    <t>SB200</t>
  </si>
  <si>
    <t>SM SUCAT - LEVEL 1</t>
  </si>
  <si>
    <t xml:space="preserve"> 2012H0FG03962</t>
  </si>
  <si>
    <t>Curio Player - Not updated last November 1</t>
  </si>
  <si>
    <t xml:space="preserve">11/22 -Coordinated with MOD upon arrival
-Verified Curio player status — confirmed not connected
-Attempted to access Player UI — same issue encountered
-Performed ping test — Curio unreachable
-Replaced Curio cable; issue resolved
-Performed ping test after replacement — Curio reachable
-Accessed Curio Player UI — functioning properly
-Advised MOD to observe for 24 hours as player is now updated
-Conducted 15-minute observation — no issues noted
-Work completed
</t>
  </si>
  <si>
    <t xml:space="preserve">Replaced Curio end-to-end Cat6 cable
</t>
  </si>
  <si>
    <t>Sarah Jane Sarreal</t>
  </si>
  <si>
    <t>FSBP00130815</t>
  </si>
  <si>
    <t>SB341</t>
  </si>
  <si>
    <t>CUENCA PARK - AYALA ALABANG</t>
  </si>
  <si>
    <t>1935HQKF80258</t>
  </si>
  <si>
    <t>Curio Player- Holiday song is not playing</t>
  </si>
  <si>
    <t xml:space="preserve">11/22 -Coordinated with MOD upon arrival
-Checked Curio player status
-Found that the spare Curio cable was connected instead of the main Curio cable
-Replaced the spare cable with the correct main Curio cable
-Checked connection to Meraki — good
-Performed ping test on Curio IP — pingable at 1 Gbps
-Verified with MOD
-Work completed
</t>
  </si>
  <si>
    <t xml:space="preserve">Replaced spare cable and restored connection using the main Curio LAN cable
</t>
  </si>
  <si>
    <t>Lovely Lopez</t>
  </si>
  <si>
    <t>FSBP00130823</t>
  </si>
  <si>
    <t>15162B1C2F</t>
  </si>
  <si>
    <t>POS A Barcode scanner - Unable to scan</t>
  </si>
  <si>
    <t xml:space="preserve">11/22 -Coordinated with MOD upon arrival
-Checked scanner; scanner powered on
-Performed multiple test scans — results inconsistent
-Replaced unit with a new Honeywell scanner
-Conducted stress test — scanning consistent
-Pulled out defective scanner
-MOD tested and approved functionality
-Work completed
</t>
  </si>
  <si>
    <t xml:space="preserve">Replaced defective Honeywell scanner with a new working unit
</t>
  </si>
  <si>
    <t>15153B1E5C</t>
  </si>
  <si>
    <t>SD HERSHIE</t>
  </si>
  <si>
    <t>Camille Carapatan</t>
  </si>
  <si>
    <t>FSBP00130835</t>
  </si>
  <si>
    <t>KSJA0935</t>
  </si>
  <si>
    <t xml:space="preserve"> POS A Drawer 1 and 2- Unable to open automatically</t>
  </si>
  <si>
    <t>11/22 - upon arrival coor to mod
- Proceed checking of pos a drawer 1 &amp; 2
- Upon checking drawer 2 sometimes not opening
- Reseat all cables
- Verify to mod ; approved
- Work done</t>
  </si>
  <si>
    <t>reseat all cables</t>
  </si>
  <si>
    <t xml:space="preserve">John Loyd R. Tapia
</t>
  </si>
  <si>
    <t>Jeniffer Aga</t>
  </si>
  <si>
    <t>FSBP00130840</t>
  </si>
  <si>
    <t xml:space="preserve">THE HAMPTON GARDENS ARCADE
</t>
  </si>
  <si>
    <t>PP040933</t>
  </si>
  <si>
    <t>POS A Printer- Won't Print</t>
  </si>
  <si>
    <t>11/22 - Upon arrival coordinate to MOD
- Check POS A printer
- Upon checking POS A printer is not printing due to a broken hook.
- Advise MOD that the printer will be replaced once a unit is available.</t>
  </si>
  <si>
    <t>found broken hook - printer for replacement  - transfer to Heritage</t>
  </si>
  <si>
    <t>Grace Linzo</t>
  </si>
  <si>
    <t>FSBP00130718</t>
  </si>
  <si>
    <t>SHELL NLEX MEXICO</t>
  </si>
  <si>
    <t>GO-CyberWi5</t>
  </si>
  <si>
    <t>LTE Deployment Nov 22-23, 2025 10am onwards</t>
  </si>
  <si>
    <t>11/22 - Coordinate to MOD regarding the Deployment of LTE
- Perform stand alone both LTE
- Ping POS A and POS B also BOS and MWS. 
- Remove the sim card to Smartbliz due to no sim card of GODAN LTE; Input sim card to Godan LTE.
- Conduct stand alone again, test speed test, ping all devices
- Remove AP port 11 and connect to 24 port switch.
- MOD witness the activity is now successful. Ticket Close.
Final Resolution:
- Perform Stand Alone both LTE
- Perform Ping Test 8888
- Connect to port 2 WAN 2 lan Cable
- Connect AP to port 24
- Ping POS A and POS B
- Test YouTube apps
- Sir Jade send dashboard
- Speed test Both LTE</t>
  </si>
  <si>
    <t>deployed LTE successfully</t>
  </si>
  <si>
    <t xml:space="preserve"> Erica Maulit</t>
  </si>
  <si>
    <t>FSBP00130721</t>
  </si>
  <si>
    <t>SMARTBIZ</t>
  </si>
  <si>
    <t xml:space="preserve">LTE Replacement Nov 22-23, 2025 10am onwards
</t>
  </si>
  <si>
    <t xml:space="preserve">11/23-Coordinated with MOD upon arrival regarding Smartbiz deployment.
-Performed standalone setup for both LTE networks: DITO LTE and Smartbiz LTE.
-Conducted ping test to 8.8.8.8 to verify internet connectivity.
-Tested YouTube app – Working.
-Performed speed test for both LTE networks.
-Re-crimped MWS LAN cable at the Back Office.
-Deployed menu board to FOH Menu Board.
-Conducted end-to-end testing of all processes.
-MOD witnessed and confirmed that all systems are now working properly.
-Ticket closed.
</t>
  </si>
  <si>
    <t>Successfully deployed LTE</t>
  </si>
  <si>
    <t>Bianca Bernise Caramat</t>
  </si>
  <si>
    <t>FSBP00130720</t>
  </si>
  <si>
    <t xml:space="preserve">11/24 upon arrival, coordinate to MOD regarding the issue, Deployment of Smartbiz, L2 perform stand alone both 2 LTE modem, also the PLDT DSL, but poor connection and PLDT DSL is not working. Advice RCOC sir Jade to Reschedule due to some customer inside store. Also conduct speed test thru cellphone but it is not working.
Pending Ticket and Reschedule.
-Perform Stand Alone both LTE and stand alone PLDT DSL
-Perform Ping Test 8888
-Ping POS A and POS B
-Test YouTube apps
-Speed test Both LTE
-no stable internet both LTE
-For Reschedule  
</t>
  </si>
  <si>
    <t>for continuation/sched as per SIr jade - per SD:  A new ticket will be created once finalized. 12/06</t>
  </si>
  <si>
    <t>Mitch David</t>
  </si>
  <si>
    <t>FSBP00130669</t>
  </si>
  <si>
    <t>PPN72119</t>
  </si>
  <si>
    <t>POS D Printer- Hard to close the lid</t>
  </si>
  <si>
    <t>11/23 -Coordinated with MOD upon arrival for POS D printer check.
-Performed self-print test – OK.
-Physically inspected printer – No issue found.
-Cleaned printer.
-Conducted self-test, OPOS, and LS NAV test prints – All OK.
-Verified with MOD.
-Work completed.</t>
  </si>
  <si>
    <t>Physically checked and tested the printer; issue not replicated.</t>
  </si>
  <si>
    <t xml:space="preserve">FSBP00130859 </t>
  </si>
  <si>
    <t>CORINTHIAN HILLS</t>
  </si>
  <si>
    <t>PC0ANAPT</t>
  </si>
  <si>
    <t>MWS no internet connection</t>
  </si>
  <si>
    <t xml:space="preserve">11/23-Coordinated with MOD upon arrival.
-Checked MWS – Good, has internet connection.
-Checked network adapter settings – Good, 1.0 Gbps.
-Ping test to 8.8.8.8 – Good, stable and reachable.
-Performed speed test – Good.
-Checked firewall – All off.
-Pinged MWS from BOS – Good, stable.
-Moved LAN cable of MWS – connection drops whenever the cable is touched.
-Re-crimped LAN cable on MWS side – Good.
-Rechecked network adapter – Good, 1.0 Gbps.
-Moved LAN cable again – Good, no disconnection.
-Ping test to 8.8.8.8 – Good, stable.
-Observed for stability.
-Work completed.
</t>
  </si>
  <si>
    <t>Moved LAN cable of MWS – connection drops whenever the cable is touched.</t>
  </si>
  <si>
    <t>Kevin Cacheno</t>
  </si>
  <si>
    <t>FSBP00130890</t>
  </si>
  <si>
    <t>PP-7600X - TB</t>
  </si>
  <si>
    <t>PPLL31287</t>
  </si>
  <si>
    <t xml:space="preserve">POS D Printer- Cut print out and feeder and cutter is defective
</t>
  </si>
  <si>
    <t>11/23 Coordinate concern with MOD (Sir Albert), All POS are in used
- Check printer as of the moment Printer is working
- As a work around masken tape is put around the printer
- MOD is requesting for new Printer</t>
  </si>
  <si>
    <t>Reco for Replacement of Printer   - transfer to Heritage (ack)</t>
  </si>
  <si>
    <t>Jaime Arique</t>
  </si>
  <si>
    <t>Albert Aguilar</t>
  </si>
  <si>
    <t>FSBP00131097</t>
  </si>
  <si>
    <t xml:space="preserve"> PC0D6YYU</t>
  </si>
  <si>
    <t>BOS SSD and RAM Upgrade</t>
  </si>
  <si>
    <t>11/24 Coordinated with the MOD upon arrival and informed them of the scheduled BOS SSD installation and memory upgrade activity.
- Verified current system specifications and gathered BOS machine details, including computer name, IP configuration, and host file entries.
- Properly shut down the BOS unit and disconnected it from the power source.
- Installed an additional 2 pcs 16GB RAM modules to enhance system performance and multitasking capability.
- Cleaned the memory slot contacts before installation and ensured proper seating of the RAM modules.
- Installed a new SSD with pre-loaded image ready.
- Powered on the BOS unit and verified successful system boot — confirmed that both the SSD and the new total memory were detected in BIOS and Windows.
- Checked system performance and resource utilization through Task Manager — system running smoothly with improved response time.
- Restored all backed-up configurations:
  Computer Name (matched previous setup)
  Static IPv4 Address
  Host file entries under C:  
  \Windows\System32\drivers\etc
- Checked network connectivity — initially observed BOS link speed at 100 Mbps; issue was resolved after re-crimping the LAN cable, restoring a stable 1.0 Gbps connection.
-Verified BOS to MWS, POS A,C,B and POS D communication — all connections confirmed stable at 1.0 Gbps after correction.
- Configured TeamViewer with store code as the device name and set up a secure password for remote access.
- Observed BOS operation for 20 minutes — no lag, errors, or connection drops encountered.</t>
  </si>
  <si>
    <t>successfull BOS upgrade</t>
  </si>
  <si>
    <t xml:space="preserve">1F2507300070311,K003312 &amp; K003382
</t>
  </si>
  <si>
    <t>KCP424ND8 /16</t>
  </si>
  <si>
    <t>1:00 AM, 2:43 AM, 4:17 AM</t>
  </si>
  <si>
    <t>2:40 AM, 2:57 AM, 5:10 AM</t>
  </si>
  <si>
    <t>FSBP00130748</t>
  </si>
  <si>
    <t>PHILPLANS CORP CENTER-G/F-BONIFACIO GLOBAL CITY</t>
  </si>
  <si>
    <t>41-MD337</t>
  </si>
  <si>
    <t>POS A- Shows "The network is currently not available" and "No Service tier available"</t>
  </si>
  <si>
    <t>11/24 Upon arrival coordinate to MOD for POS A checking
- Found network speed is set to 100mbps only
- Recrimp rj45; network speed is now 1GBPS
- Ping test bos and 8.8.8.8; reachable
- Test transaction
- Observe 20 mins
- Verify to MOD
- Work Done</t>
  </si>
  <si>
    <t>recrimped LAn cable</t>
  </si>
  <si>
    <t xml:space="preserve"> Jeri Rubio</t>
  </si>
  <si>
    <t>FSBP00130581</t>
  </si>
  <si>
    <t>EB-90621Q5U6H-2</t>
  </si>
  <si>
    <t>POS A Drawer 1 - not opening every transaction</t>
  </si>
  <si>
    <t>11/24 -upon arrival , Waiting for parts.
-replace new Y Cable for Pos A drawer.
-checked opos manager cash drawer 1 and tested okay.
-tested open cash drawer 1 automatically open okay.
-pullout defective Y cable.
-work done.</t>
  </si>
  <si>
    <t>YCable</t>
  </si>
  <si>
    <t>Harvey Cua</t>
  </si>
  <si>
    <t>FSBP00129525</t>
  </si>
  <si>
    <t>SB248</t>
  </si>
  <si>
    <t>YUPANGCO BLDG - JUPITER ST.</t>
  </si>
  <si>
    <t>HVA1N4PN</t>
  </si>
  <si>
    <t xml:space="preserve"> Store tablet is inaccessible</t>
  </si>
  <si>
    <t>11/24 Upon arrival found MOD coordinate the ticket concern
- recieve tablet but low battery charge unit and pause time started
-isolate tablet found need gmail account to use the tablet
- conduct hard reset to unit
- bypass gmail account success done
- hard reset after bypass gmail account
- conduct standard process of setup tablet device using scan code after hard reset
- waiting for all application successfully installed
- open authenticator
-request RCOC to revoke for partners email
- after successfully sign in partners email in tablet test by MOD
- tested by MOD. DOne</t>
  </si>
  <si>
    <t>hard reset unit, -conduct gmail bypass</t>
  </si>
  <si>
    <t>Adele Delgado</t>
  </si>
  <si>
    <t>FSBP00130705</t>
  </si>
  <si>
    <t>41167GP</t>
  </si>
  <si>
    <t>POS B Printer — POS thermal print head is damage</t>
  </si>
  <si>
    <t>11/22: SD email back details
11/24: Endorse for onsite support
11/24 Upon Arrival coordinate to mod
- check printer pos b
-serial found not the reported, wrong serial report
-proceed to pos b printer
-clean thermal print head
-try to reprint,good
- print upon transaction, good
-observed
-work done</t>
  </si>
  <si>
    <t>clean thermal print head</t>
  </si>
  <si>
    <t>Shin Jiandani</t>
  </si>
  <si>
    <t>FSBP00130948</t>
  </si>
  <si>
    <t>PP050146</t>
  </si>
  <si>
    <t>POS A Printer - faded print outs.</t>
  </si>
  <si>
    <t xml:space="preserve">11/24 - Arrived onsite as scheduled and coordinated with MOD regarding the reported issue of faded printouts on the Posiflex PP-7600X thermal printer.
- Verified printer details including model, serial number, and current physical condition
- Checked the thermal paper roll to ensure correct type and compatibility with the Posiflex PP-7600X printer.
- Inspected paper orientation and confirmed that the thermal-reactive side was correctly facing the print head.
- Replaced the thermal paper with a new roll to rule out paper quality issues causing faded printing.
- Opened the printer cover (without disassembling any internal components) and cleaned the thermal print head using a dry, lint-free cloth to remove accumulated dust and residue.
- Cleaned the paper path and removed any debris that may affect print quality.
- Performed a printer self-test print to check hardware print density and verify whether the issue persisted independent of the POS system.
- Issue was not still fixed still printing faded, requesting for POS Printer replacement
</t>
  </si>
  <si>
    <t>Printer for replacement - under Heritage warranty</t>
  </si>
  <si>
    <t>Kathy</t>
  </si>
  <si>
    <t>FSBP00130962</t>
  </si>
  <si>
    <t>SB418</t>
  </si>
  <si>
    <t>ROBINSONS PLACE GEN TRIAS</t>
  </si>
  <si>
    <t>41NY914</t>
  </si>
  <si>
    <t xml:space="preserve"> POS B No Power</t>
  </si>
  <si>
    <t>11/24 - Upon arrival coordinate to MOD
- Proceed to check POS B; confirmed no power  
- Check UPS outlet no power
- As per MOD, UPS is already defective and for replacement
- Change connection to normal power and add extension
- POS B now working
- Verify to MOD; approved
- Work done</t>
  </si>
  <si>
    <t xml:space="preserve"> change connection to normal power and add extension - UPS reco to Facilities</t>
  </si>
  <si>
    <t>SD King</t>
  </si>
  <si>
    <t>James</t>
  </si>
  <si>
    <t xml:space="preserve">FSBP00130967 </t>
  </si>
  <si>
    <t>UP TOWN PLACE - BONIFACIO GLOBAL CITY</t>
  </si>
  <si>
    <t>Sunken Power Button</t>
  </si>
  <si>
    <t xml:space="preserve">4852-E70	</t>
  </si>
  <si>
    <t>41 - PP408</t>
  </si>
  <si>
    <t xml:space="preserve">POS B - power button and brightness not clickable or button got stuck.
</t>
  </si>
  <si>
    <t>11/24 Upon arrival coordinate to MOD for POS B checking
- Confirmed defective power button
- Disassembled monitor
- Found detached screw causing the button to misalign 
- Attached both screw
- Invert power button; stress test buttons; no misalignment occur
- Test brightness and power button; ok
- Verify to MOD
- Workdone</t>
  </si>
  <si>
    <t>Attached screw and invert power button</t>
  </si>
  <si>
    <t xml:space="preserve">FSBP00130971 </t>
  </si>
  <si>
    <t>SB268</t>
  </si>
  <si>
    <t xml:space="preserve"> SUMMIT RIDGE TAGAYTAY - LEVEL 1</t>
  </si>
  <si>
    <t>PC0D6YZF</t>
  </si>
  <si>
    <t>BOS - Both POS hanging</t>
  </si>
  <si>
    <t>11/24  Upon arrival coordinate with MOD
- Advise MOD to cater the ticket within store hours, MOD approved
- Proceed BOS checking
- BOS has 100mbps Ethernet speed
- Check HDD health, 100% health
- Proceed LAN cable replacement
- Check Ethernet speed 1Gbps
- Check RAM usage, 70% RAM usage
- Check both POS Ethernet speed, both 1Gbps
- Observe for 10 mins, No problem encountered</t>
  </si>
  <si>
    <t xml:space="preserve">replacement LAN cable
</t>
  </si>
  <si>
    <t>Ianne Dogelio</t>
  </si>
  <si>
    <t xml:space="preserve">FSBP00130968 </t>
  </si>
  <si>
    <t>PC0D6YX6</t>
  </si>
  <si>
    <t>BOS: Both POS - Slow processing and receipt printing</t>
  </si>
  <si>
    <t>11/24 RECRIMP LAN CABLE OF BOS
-CHECK SPEED, 1GBS
-PING TEST GOOD
-CONFIRMED BY MOD 1GBS CONNECTION OF BOS</t>
  </si>
  <si>
    <t>recrimped Lan cable of BOS</t>
  </si>
  <si>
    <t>Jap Andres</t>
  </si>
  <si>
    <t>FSBP00130986</t>
  </si>
  <si>
    <t>KS7212X</t>
  </si>
  <si>
    <t>KSE33376</t>
  </si>
  <si>
    <t>POS D Drawer / Drawer 1 Not Opening - No clicking sound &amp; Drawer 2 - Opening</t>
  </si>
  <si>
    <t>11/25 -upon arrival, Pos D drawer 1 is not opening, drawer 2 is opening.
-upon checking, loose Y cable on drawer 1.
-secured y cable.
-tested drawer 1 automatically open, okay.
-tested also drawer 2, okay.
-work done.</t>
  </si>
  <si>
    <t>Secured POS D Drawer Y Cable.</t>
  </si>
  <si>
    <t>Jochelle Sabida</t>
  </si>
  <si>
    <t>FSBP00128943</t>
  </si>
  <si>
    <t>Curio PlayNetwork — Curio device is open without any music</t>
  </si>
  <si>
    <t>11/25 Coordinate with MOD
- Check status of the device
- Replaced new lan cable; tested ok
- Ping multiples IP's; RTO
- Ask help to check binded IP and mac address; done
- Ping IP Address 192.168.117.100, ok
- Curio is not visible at RCOC Dashboard
- Check Audio jack working on CP but not in Curio
- Amplifier is not providing sound when audio jack is connected buzzing sound is created
- Advise partners to coordinate with facilities regarding with Curio Player</t>
  </si>
  <si>
    <t>reco to facilities</t>
  </si>
  <si>
    <t>Robert Soriano</t>
  </si>
  <si>
    <t>FSBP00130640</t>
  </si>
  <si>
    <t>POS B Printer — There are times when the LSNAV of POS B does not open immediately because the printer is malfunctioning ( According to MOD )</t>
  </si>
  <si>
    <t>11/25 - Upon arrival coordinate to MOD
- Proceeded to check the reported device
- POS B printer is working.
- Confirmed that the problematic printer is the POS A printer, which was also visited last 11/20/25 and was reco for replacement.
- MOD concerned in same device unit encountered slow performance every morning while performing transaction
- Conduct chkdsk
- Check event viewer
- All checking working normally</t>
  </si>
  <si>
    <t>POS B printer is working</t>
  </si>
  <si>
    <t xml:space="preserve"> Jasper Tamondong</t>
  </si>
  <si>
    <t>FSBP00130698</t>
  </si>
  <si>
    <t xml:space="preserve"> POS A — Suddenly shut down in the middle of a transaction and has a noticeably loose power cord
</t>
  </si>
  <si>
    <t>11/25 upon arrival, coordinate to MOD regarding the issue.
-  POS A  suddenly shuts down in the middle of a transaction and has a noticeably loose power cord.
- L2 checked the POS A, performed troubleshooting and after troubleshooting, found out POS A, both fan PSU and processor fan is not working.
-  L2 clean whole POS, also PSU due to very dirty, and assemble again , test the POS A. 
- MOD witness the POS A is now properly working. Ticket Close.</t>
  </si>
  <si>
    <t>Clean PSU for POS A</t>
  </si>
  <si>
    <t>Paulo Hipolito</t>
  </si>
  <si>
    <t>FSBP00131039</t>
  </si>
  <si>
    <t>RTO51817</t>
  </si>
  <si>
    <t xml:space="preserve"> DT POS D auto shutdown (due to loose power cable)</t>
  </si>
  <si>
    <t>11/25 - Coordinate with MOD, check power adapter - cable not inserted properly
- Check power source, connected to normal power - transfer to UPS power source
- Reboot machine, check event viewer, machine have encounter multiple shutdown
- Coordinate with PASI for checking of LSNav, PASI allocated 8200 to 9200 SQL Memory
- Advise partners to use the machine for observation, machine is now ok</t>
  </si>
  <si>
    <t>Check power source, connected to normal power - transfer to UPS power source</t>
  </si>
  <si>
    <t>SD Kylnt</t>
  </si>
  <si>
    <t>FSBP00131110</t>
  </si>
  <si>
    <t xml:space="preserve"> HATLEDWM</t>
  </si>
  <si>
    <t>Store tablet - Auto Reset</t>
  </si>
  <si>
    <t xml:space="preserve">11/25 Upon arrival coordinate with MOD 
-Unable to login with gmail
-Bypass tablet gmail
- Set-up tablet; enter given email, Scan the qr code
- Set-up all apps; QR scanner,RCOC learning,files, one drive, quick support 
- Set-up authenticator; test by MOD witness that authenticator is properly working </t>
  </si>
  <si>
    <t>MOD Chesca</t>
  </si>
  <si>
    <t>Chesca D</t>
  </si>
  <si>
    <t xml:space="preserve">FSBP00131112 </t>
  </si>
  <si>
    <t>POS D MSR</t>
  </si>
  <si>
    <t xml:space="preserve">3 isolated Ids for manager not working on msr Pos D.
</t>
  </si>
  <si>
    <t>11/25 -remote pos D by pasi and sir vernon.
-tested working &amp; not working ids upon remoting.
-advised mod for checking of isolated physical ids to admin rcoc.
-work done.</t>
  </si>
  <si>
    <t xml:space="preserve"> for checking of isolated ids to admin rcoc</t>
  </si>
  <si>
    <t>MOD Jochelle</t>
  </si>
  <si>
    <t>FSBP00131098</t>
  </si>
  <si>
    <t>41-385AH</t>
  </si>
  <si>
    <t xml:space="preserve">11/25 - Upon arrival, Coordinate to MOD
- Waiting to subside customer
- As per MOD POS A printer printing blurry
- Check the unit
- Clean thermal head, adjust spring; issue still persist
- Reco for replacement; currently no spare/buffer units available
</t>
  </si>
  <si>
    <t>12/7 Pull out SU , install perma printer</t>
  </si>
  <si>
    <t>Japs Andress</t>
  </si>
  <si>
    <t xml:space="preserve">FSBP00130945 </t>
  </si>
  <si>
    <t>SB550</t>
  </si>
  <si>
    <t>CYBER PARK TOWER 2</t>
  </si>
  <si>
    <t>8350FBLH62808</t>
  </si>
  <si>
    <t>Curio Player - songs that are being played are from the old promotion</t>
  </si>
  <si>
    <t>11/25 - Upon arrival coordinated with MOD
- Music is playing upon arrival
- Check Curio device; device is on
- Check Meraki MX; found port 10 Curio has no light
- Reseat end to end; still no light
- Check Curio device again; found LAN cable connected to Curio is spare LAN cable
- Search for the main curio LAN cable; found broke RJ45 hook
- Recrimp the main curio LAN cable; good
- Coordinated with the team for binding MAC address; good
- Restarted Curio device
- Curio dashboard connected to 1.0Gbps
- Check ping 192.168.117.100; good, stable and pingable
- Advised MOD within 24 hours Curio should be updated to updated songs
- Work done</t>
  </si>
  <si>
    <t>found LAN cable connected to Curio is spare LAN cable - Recrimp the main curio LAN cable</t>
  </si>
  <si>
    <t>SD Klynt</t>
  </si>
  <si>
    <t>Kiana Villamor</t>
  </si>
  <si>
    <t>FSBP00131101</t>
  </si>
  <si>
    <t>SB643</t>
  </si>
  <si>
    <t>CLARK CITY FRONT</t>
  </si>
  <si>
    <t>Globe Fiber Internet Activation</t>
  </si>
  <si>
    <t xml:space="preserve">11/26 upon arrival, coordinate to MOD regarding the issue.
-Globe Fiber Activated.
-L2 perform stand alone, and input ip address, conduct speed test and coordinate to sir Bryan Baniqued of RCOC.
-Check all SSID connectiom
-Coordinate to Sir Bryan Baniqued
-Sending Dashboard connection
-Perform Speed Test
-MOD witness the activation of globe fiber
-Confirm to sir Bryan Baniqued status wan connection dashboard
-Assist all given task required to perform
-Pullout Dito LTE and all record details needed.
-Work Done
</t>
  </si>
  <si>
    <t>Terminate globe fiber to MX</t>
  </si>
  <si>
    <t>JM Cruz</t>
  </si>
  <si>
    <t xml:space="preserve">FSBP00130462 </t>
  </si>
  <si>
    <t>Wont Charge</t>
  </si>
  <si>
    <t xml:space="preserve"> SUNMI V2</t>
  </si>
  <si>
    <t>vb02207f00462</t>
  </si>
  <si>
    <t>MO&amp;P is not charging</t>
  </si>
  <si>
    <t>11/26 Upon arrival coordinate mod proceed checking
I tried charging the mop using my cellphone charger (ok)
checking mop charger in outlet and found-out  unplug 
reconnect to outlet and mop is charging normally
Work done
Call Closed</t>
  </si>
  <si>
    <t>reconnect mop charger to outlet</t>
  </si>
  <si>
    <t>Donna Sanibra</t>
  </si>
  <si>
    <t>FSBP00130071</t>
  </si>
  <si>
    <t xml:space="preserve">HA1QJ6T7 </t>
  </si>
  <si>
    <t>Store Tablet - Reset / SN: HA1QJ6T7 ( 22 )</t>
  </si>
  <si>
    <t xml:space="preserve">11/26 -Arrived onsite and waited for store escort.
-Checked the store tablet (SN: HA1QJ6T7).
-Proceeded with the setup process.
-Multiple attempts to enter the 8-digit code failed; setup could not continue.
-Performed a hard reset but encountered the same issue.
-Coordinated with Sir Vince for assistance.
-Performed bypass procedure.
-Completed a full factory reset.
-Scanned the QR code and connected to the SB Delivery Wi-Fi network.
-Set up the tablet and installed required applications.
-Tested all installed apps to ensure proper functionality.
-Revoked email access as part of the setup completion.
-MOD tested the authenticator successfully.
-Work completed.
</t>
  </si>
  <si>
    <t>Store Tablet (SN: HA1QJ6T7) successfully reset, reconfigured, and fully set up.</t>
  </si>
  <si>
    <t>Yannah Cornejo</t>
  </si>
  <si>
    <t xml:space="preserve"> FSBP00129702</t>
  </si>
  <si>
    <t>Request Wire Organization</t>
  </si>
  <si>
    <t>11/26-27 - Upon arrival, coordinate to MOD regarding the Activity of Grooming ( back office area )
- Trends personnel check network devices
- Start grooming at 11:50  after trends personnel checking
- Trace cable to relocate Ap from BOH to FOH
- Remove all unwanted cable and device
- Recrimp, tag and reterminate defective RJ45
- Test all device network connections end to end after recabling
- Ping test all connections, speed test, check network; 1gb
- Grooming work done.
- All cable is properly arranged.</t>
  </si>
  <si>
    <t>grooming work done for AP at BOH and tested all device network connections; 1gb</t>
  </si>
  <si>
    <t>RCOC Pow</t>
  </si>
  <si>
    <t xml:space="preserve"> Irish bertrin</t>
  </si>
  <si>
    <t>FSBP00131151</t>
  </si>
  <si>
    <t>PC0D6YWW</t>
  </si>
  <si>
    <t>BOS: Both POS - No service tier available</t>
  </si>
  <si>
    <t>11/26 upon arrival found mod &amp; coordinate ticket
- isolate problem found already restart meraki router, BOS, both POS A &amp; B but same problem
- restart cisco switch hub and test all connections found ok.
- Test by MOD and observe in 30min
- test and observe Done. devices working normally</t>
  </si>
  <si>
    <t>restart cisco switch hub</t>
  </si>
  <si>
    <t xml:space="preserve"> Cyrel Generoso</t>
  </si>
  <si>
    <t xml:space="preserve">FSBP00127732 </t>
  </si>
  <si>
    <t>M90P</t>
  </si>
  <si>
    <t>PC0D6Z21</t>
  </si>
  <si>
    <t>All POS Hanging</t>
  </si>
  <si>
    <t xml:space="preserve">11/26 -Coordinated with MOD regarding the reported issue.
-Re-crimped the LAN cable of the BOS on both ends.
-Checked Ethernet speed; BOS showed 1 Gbps connection.
-Performed memory allocation (c/o PASI).
-Checked HDD health using Hard Disk Sentinel; result: 100% health.
-Conducted observation to validate if POS transactions would slow down.
-MOD confirmed that no slowdown or POS hanging occurred after LAN cable re-crimping.
</t>
  </si>
  <si>
    <t xml:space="preserve">Re-crimped LAN cable of BOS (both ends).
</t>
  </si>
  <si>
    <t xml:space="preserve">Robert Odronia
</t>
  </si>
  <si>
    <t xml:space="preserve"> Adam Ali</t>
  </si>
  <si>
    <t xml:space="preserve"> FSBP00130252</t>
  </si>
  <si>
    <t>QUEZON AVE AND WEST 5TH</t>
  </si>
  <si>
    <t>PP050232</t>
  </si>
  <si>
    <t>POSA printer - not working properly - cut print out</t>
  </si>
  <si>
    <t xml:space="preserve">11/27 -Upon arrival, coordinated with MOD.
-Checked POS A printer — cutter not functioning normally.
-Examined printer paper — found misaligned.
-Corrected paper alignment — good.
-Restarted POS A.
-Checked printer health — good.
-Performed multiple test prints — all successful and printing normally.
-MOD confirmed printer is functioning properly.
-Work completed.
</t>
  </si>
  <si>
    <t xml:space="preserve">Corrected paper alignment
</t>
  </si>
  <si>
    <t xml:space="preserve"> Karla Villanueva</t>
  </si>
  <si>
    <t>FSBP00131214</t>
  </si>
  <si>
    <t xml:space="preserve"> 41-LH224</t>
  </si>
  <si>
    <t>POS A - Blue screen</t>
  </si>
  <si>
    <t xml:space="preserve">11/27 -Upon checking, POS A was operational.
-Ran HDD Sentinel and CHKDSK — results good.
-Re-seated SATA data cable — good.
-MOD raised a concern regarding POS B: system loading when entering size and tender.
-Awaited PASI’s reply.
-Work completed.
</t>
  </si>
  <si>
    <t xml:space="preserve">Re-seated SATA data cable on POS A.
</t>
  </si>
  <si>
    <t>12:00 PM, 3:00 PM</t>
  </si>
  <si>
    <t>2:20 PM, 3:21 PM</t>
  </si>
  <si>
    <t>FSBP00131215</t>
  </si>
  <si>
    <t xml:space="preserve">11/27-Upon arrival, coordinated with MOD.
-Ran HDD Sentinel — good.
-Performed CHKDSK — good.
-Checked Ethernet connection — good.
-Re-seated SATA data cable and RAM — good.
-POS B is now operational.
</t>
  </si>
  <si>
    <t xml:space="preserve">Re-seated SATA data cable and RAM on POS B.
</t>
  </si>
  <si>
    <t>FSBP00131192</t>
  </si>
  <si>
    <t>6MQ7524524004095</t>
  </si>
  <si>
    <t>LTE Deployment (Network Down)</t>
  </si>
  <si>
    <t xml:space="preserve">11/27 -Upon arrival, awaited delivery of replacement parts.
-Performed standalone test on DITO LTE for BOH and FOH — no signal detected; modem showing red status with no 4G/5G indicator.
-While checking DITO LTE, Globe Telecom arrived and restored Globe ISP.
-Globe WAN 1 came online.
-Conducted speed test, ping, and tracert — all results normal.
-All devices successfully connected to Globe WAN 1.
-POS confirmed operational.
-Awaited further instruction from Sir Jade regarding DITO LTE.
-Pulled out DITO LTE unit.
</t>
  </si>
  <si>
    <t xml:space="preserve">Globe WAN 1 is up and fully operational.
</t>
  </si>
  <si>
    <t>10:57 AM, 1:00 PM</t>
  </si>
  <si>
    <t>11:45 AM, 2:35 PM</t>
  </si>
  <si>
    <t xml:space="preserve"> Kim Colandog</t>
  </si>
  <si>
    <t xml:space="preserve">FSBP00130524 </t>
  </si>
  <si>
    <t xml:space="preserve">BIXOLON </t>
  </si>
  <si>
    <t>SRP-S300 MASTRENA 2</t>
  </si>
  <si>
    <t>Mastrena 2 connectivity</t>
  </si>
  <si>
    <t xml:space="preserve">11/27 -Checked labeler for Mastrena 2 — found powered off.
-Turned on labeler — device operational.
-Performed test print — good.
-Conducted ping test — good.
-MOD reported that POS A cannot send orders to bar, but POS B is working.
-Escalated POS A “send to bar” issue to PASI.
-Advised store to always check labeler power status (ON/OFF).
-Work completed.
</t>
  </si>
  <si>
    <t xml:space="preserve">Turned on Mastrena 2 labeler.
</t>
  </si>
  <si>
    <t xml:space="preserve">Jerome Ferber
</t>
  </si>
  <si>
    <t>Aldwin</t>
  </si>
  <si>
    <t>FSBP00131255</t>
  </si>
  <si>
    <t>SB332</t>
  </si>
  <si>
    <t>BERTHAPHIL III - CLARK CENTER</t>
  </si>
  <si>
    <t>PP040084</t>
  </si>
  <si>
    <t>POS D Printer - won't printer with POS error: OPOS_E_OFFLINE</t>
  </si>
  <si>
    <t xml:space="preserve">11/27 -Upon arrival, coordinated with MOD regarding the POS D printer issue.
-POS D printer was unable to print and displayed OPOS_E_OFFLINE error.
-Performed troubleshooting and identified a broken hook on the printer.
-Checked the printer’s connection to the control panel — connected properly.
-Cleaned the thermal head — issue persisted.
-Attempted to:
*Install rubber band workaround (temporary fix)
*Update printer drivers
*Test printing via OPOS Manager
*Clean thermal head using alcohol
-Issue remained unresolved due to hardware damage.
-Advised MOD that the unit requires RECO Parts: Thermal Head or Full Printer Replacement.
-Ticket placed on pending status due to RECO requirement.
</t>
  </si>
  <si>
    <t>Recommended replacement of Thermal Head or entire printer. - transfer to Heritage</t>
  </si>
  <si>
    <t>Kitten Ong</t>
  </si>
  <si>
    <t>FSBP00128207</t>
  </si>
  <si>
    <t>MWS- Request for wire grooming</t>
  </si>
  <si>
    <t xml:space="preserve">11/28 -Upon arrival, coordinated with MOD regarding the MWS wire grooming activity.
-Trends personnel inspected network devices.
-As per Trends personnel, the secondary internet connection was not working due to a defective SIM card.
-Started wire grooming at 11:30 AM after Trends completed their checks.
-Removed all unwanted cables and unused devices.
-Re-crimped, tagged, and re-terminated defective RJ45 connectors.
-Tested all device network connections end-to-end after recabling.
-Completed grooming activity — all cables properly arranged and labeled.
-MOD acknowledged completion; ticket closed.
</t>
  </si>
  <si>
    <t xml:space="preserve">Completed wire grooming activity with Trends team.
</t>
  </si>
  <si>
    <t>Mac Gregor de Guzman</t>
  </si>
  <si>
    <t>FSBP00130647</t>
  </si>
  <si>
    <t>SB527</t>
  </si>
  <si>
    <t>SM CITY OLONGAPO</t>
  </si>
  <si>
    <t>POS B Drawer 1 Unable to open automatically</t>
  </si>
  <si>
    <t xml:space="preserve">11/28-Upon arrival, coordinated with MOD regarding the issue on POS B Cash Drawer 1.
-Checked both cash drawers connected to POS B.
-Updated drivers through OPOS Manager and performed testing.
-PASI remotely accessed POS B for verification and support.
-Provided MOD with a tutorial on how to test and open both cash drawers (1 &amp; 2).
-MOD witnessed that both cash drawers were working properly after testing.
-Issue resolved; ticket closed.
</t>
  </si>
  <si>
    <t xml:space="preserve">Updated drivers through OPOS Manager and performed testing.
</t>
  </si>
  <si>
    <t>Jany Dolorica</t>
  </si>
  <si>
    <t>FSBP00131278</t>
  </si>
  <si>
    <t>PPO40167</t>
  </si>
  <si>
    <t>POS B Printer not printing due to broken part inside the printer</t>
  </si>
  <si>
    <t xml:space="preserve">11/27 - HD Action AB - placed on hold no buffer units available
11/28 -Upon arrival, checked POS B printer.
-Found a broken hook inside the printer.
-Attempted a temporary fix using a rubber band around the printer cover — unsuccessful.
-Coordinated with Sir Neil for printer replacement.
-Replaced POS B printer with a new unit.
-Installed new OPOS driver and performed print tests — all successful.
-Pulled out defective printer.
-Work completed; issue resolved.
</t>
  </si>
  <si>
    <t>PP0C0312</t>
  </si>
  <si>
    <t>PP040167</t>
  </si>
  <si>
    <t>Bryan Ramirez</t>
  </si>
  <si>
    <t xml:space="preserve">FSBP00131304 </t>
  </si>
  <si>
    <t xml:space="preserve">EliteDesk 800 G4 SFF </t>
  </si>
  <si>
    <t>4CE9241XXP</t>
  </si>
  <si>
    <t>MWS- has slow internet connection and it shows 100mbps only</t>
  </si>
  <si>
    <t xml:space="preserve">11/28 -Upon arrival, coordinated with MOD.
-Checked the MWS Ethernet speed — showing 100 Mbps only.
-Performed continuous ping tests on POS, MWS, and BOS — all pingable.
-Recrimped the MWS LAN cable.
-After recrimping, MWS Ethernet speed improved to 1 Gbps.
-Observed device connection for 1 hour — connection remained stable.
-MOD witnessed and confirmed normal operation.
</t>
  </si>
  <si>
    <t xml:space="preserve">Recrimped MWS LAN cable.
</t>
  </si>
  <si>
    <t xml:space="preserve">Arline Joy Zamora
</t>
  </si>
  <si>
    <t>FSBP00131287</t>
  </si>
  <si>
    <t xml:space="preserve">BOS - Both POS A and B - Slow processing of transactions and dispensing of receipts
</t>
  </si>
  <si>
    <t>11/28 - Upon arrival, coordinate to MOD regarding the issue. 
- Check the 3 machine and perform replace new lan cable for BOS Server
- Ping BOS,POS A and POS B if the connection is up and 1GB status all machine. 
- PASI remote the BOS Server and both POS A and POS B. 
- MOD witness the dispensing of receipt is fast as of now. Ticket Close</t>
  </si>
  <si>
    <t xml:space="preserve"> Replace new lan cable</t>
  </si>
  <si>
    <t>FSBP00131355</t>
  </si>
  <si>
    <t>SB101</t>
  </si>
  <si>
    <t xml:space="preserve"> 6750 AYALA AVE.</t>
  </si>
  <si>
    <t>PPP81934</t>
  </si>
  <si>
    <t>POS B Printer - needs to be restarted for it to print</t>
  </si>
  <si>
    <t>11/28 - Upon arrival, Coordinate to MOD
- As per MOD they got the report wrong posA printer has a problem
- Check printer unit and test, sensor problem
- The printer needs to be restarted to print but sometimes it still shows an error
- Wwitch printer posa to posb; good cable is working
- Test drivers;good
- Change paper from big to small; issue still persist
- Printer in warranty; reco to Heritage checking
- Work done.</t>
  </si>
  <si>
    <t xml:space="preserve"> Printer in warranty; reco to Heritage checking</t>
  </si>
  <si>
    <t>RCOC CK</t>
  </si>
  <si>
    <t>Francis Ebol</t>
  </si>
  <si>
    <t>FSBP00131301</t>
  </si>
  <si>
    <t>41NZ327</t>
  </si>
  <si>
    <t>POS A MSR not working 2025-11-30 18:00</t>
  </si>
  <si>
    <t xml:space="preserve">11/28 -Upon arrival, coordinated with MOD regarding the issue.
-Performed isolation and confirmed that the MSR on POS A was not working properly.
-Swapped MSRs between POS A and POS B:
*POS B MSR worked fine on POS A.
*POS A MSR showed the same problem when tested on POS B.
-Requested MSR replacement.
-Received replacement MSR unit and tested on POS B first — working properly.
-Installed replacement MSR on POS A.
-Tested and observed operation — device working normally.
-MOD validated and confirmed successful operation.
</t>
  </si>
  <si>
    <t xml:space="preserve">Replaced defective MSR with a working unit.
</t>
  </si>
  <si>
    <t>11S9634953YK11AR67B405</t>
  </si>
  <si>
    <t>11S9634953YK11AR661244</t>
  </si>
  <si>
    <t>SD ARON</t>
  </si>
  <si>
    <t>Kyle Perez</t>
  </si>
  <si>
    <t>FSBP00130151</t>
  </si>
  <si>
    <t>SB646</t>
  </si>
  <si>
    <t>MANILA NORTH ROAD TARLAC</t>
  </si>
  <si>
    <t>VB53236Q21869</t>
  </si>
  <si>
    <t>MO&amp;P- Device - Issue with the settings and menu section. The screen continues to load indefinitely</t>
  </si>
  <si>
    <t xml:space="preserve">11/28 -Coordinated with MOD and verified device serial number and store code — correct.
-Checked the MO&amp;P device; found it stuck on the menu loading screen.
-Performed a hard reset; issue remained the same.
-Advised MOD to coordinate with Ms. Estee Go (Marketing) to escalate the issue to the MO&amp;P Vendor for further diagnosis and resolution.
-No further onsite action possible.
</t>
  </si>
  <si>
    <t xml:space="preserve">Device remains stuck on loading; requires vendor intervention.
</t>
  </si>
  <si>
    <t>Franz Madla</t>
  </si>
  <si>
    <t xml:space="preserve">FSBP00131257 </t>
  </si>
  <si>
    <t>PP040120</t>
  </si>
  <si>
    <t>POS A - Thermal Printer won't print</t>
  </si>
  <si>
    <t xml:space="preserve">11/27 - Coordinated with MOD  
- Paused time due to many customers  
- Upon confirmation, proceeded to check the printer and found broken hook  
- Recommended replacement; no spare or buffer unit available.  
11/28 -Upon arrival, coordinated with MOD regarding the installation of the BIXOLON service unit printer.
-Waited for parts to arrive.
-Proceeded with replacement and installation of the BIXOLON SU printer.
-Installed the required drivers and performed health checks via OPOS Manager — results good.
-PASI performed remote testing and confirmed successful test print via NAV.
-MOD approved the test print results (via LS NAV) — working properly.
-Observed operations — no errors encountered.
-Informed MOD that the BIXOLON printer is for service unit use only.
-Endorsed and turned over the original Posiflex printer to MOD for safekeeping pending Heritage onsite.
-Work completed.
</t>
  </si>
  <si>
    <t>Installed BIXOLON service unit printer. - confirming if fixed by Heritage to pull out SU</t>
  </si>
  <si>
    <t>CYBN8KA25070046</t>
  </si>
  <si>
    <t>Karl Joseph Almonte, Jhay Alphonsus B. Chu</t>
  </si>
  <si>
    <t>FSBP00131381</t>
  </si>
  <si>
    <t>FISHER MALL</t>
  </si>
  <si>
    <t>15325B233A</t>
  </si>
  <si>
    <t xml:space="preserve"> POS B Barcode scanner - No power
</t>
  </si>
  <si>
    <t xml:space="preserve">11/28 -Upon arrival, coordinated with MOD regarding the reported issue.
-Checked the barcode scanner; confirmed it was not working properly and would intermittently turn off.
-Tested scanner on multiple USB ports; still no power, only a brief red light flash when plugged in.
-Coordinated with Asset Team for scanner replacement.
-Waited for the replacement unit to arrive onsite.
-Received the replacement Honeywell scanner.
-Installed and configured the new scanner on POS B — working properly.
-Performed test scans; successful and consistent.
-Work completed and validated by MOD.
</t>
  </si>
  <si>
    <t xml:space="preserve">Replaced defective barcode scanner with working unit.
</t>
  </si>
  <si>
    <t>15156B0A04</t>
  </si>
  <si>
    <t>Chrizza Tumbaga</t>
  </si>
  <si>
    <t>FSBP00131402</t>
  </si>
  <si>
    <t>SB399</t>
  </si>
  <si>
    <t>118 TIMOG AVE.</t>
  </si>
  <si>
    <t>41MD330</t>
  </si>
  <si>
    <t>POS A - Unreachable</t>
  </si>
  <si>
    <t xml:space="preserve">11/28 -Upon arrival, coordinated with MOD regarding the POS A connectivity issue.
-Verified onsite and confirmed that POS A had no network connection.
-Performed initial physical inspection; unplugged and reseated the LAN cable connected to POS A.
-Checked the POS LAN port indicator — no link/activity light detected.
-Inspected the tagged LAN cable and identified possible loose contact/pin alignment issue.
-Performed proper re-crimping of the LAN cable connected to the assigned PoE switch port.
-After re-crimping, the link/activity lights restored on both the POS NIC and the PoE switch port.
-Confirmed POS obtained the correct IP and successfully communicated with the BOS.
-Executed ping tests to BOS and other terminals — all successful.
-Launched POS application and conducted transaction testing — POS A fully operational.
-Informed MOD; issue resolved and confirmed.
</t>
  </si>
  <si>
    <t xml:space="preserve">Re-crimped POS A Ethernet cable end-to-end.
</t>
  </si>
  <si>
    <t>Bernz Geremillio</t>
  </si>
  <si>
    <t xml:space="preserve">FSBP00130252 </t>
  </si>
  <si>
    <t xml:space="preserve"> B104U11220</t>
  </si>
  <si>
    <t>POS A Printer Cutter Issue</t>
  </si>
  <si>
    <t xml:space="preserve">11/28 -MOD also requested to check the POS A printer due to cutter issues.
-Verified onsite and confirmed that the printer was not printing.
-Checked the printer LED indicator and observed a cover-open warning.
-Inspected the Posiflex PP-7600X-TB printer cover and latch mechanism — no broken hook found, but the cover was not securing tightly, causing inconsistent thermal head contact.
-Cleaned printer internals; no paper jam detected.
-Re-seated thermal paper and ensured proper alignment of the printer head and roller.
-Identified the root cause: printer cover has loosened over time, intermittently lifting and triggering the cover-open sensor.
-Applied a temporary fix using a rubber band to secure the printer cover and maintain correct thermal head pressure.
-Performed test print — output restored successfully.
-Conducted transaction print test via POS A — printing normally.
-Updated MOD regarding the applied temporary workaround.
</t>
  </si>
  <si>
    <t xml:space="preserve">Issue resolved onsite with temporary cover-securement fix.
</t>
  </si>
  <si>
    <t>Marlon T. Lee</t>
  </si>
  <si>
    <t>Xenon Verganio</t>
  </si>
  <si>
    <t>FSBP00131292</t>
  </si>
  <si>
    <t xml:space="preserve"> PP-7900X-TB</t>
  </si>
  <si>
    <t xml:space="preserve"> POS B Printer not printing with error "OPOS Not Claimed"</t>
  </si>
  <si>
    <t xml:space="preserve">11/29 -Coordinated with MOD upon arrival.
-Checked POS B printer; red light indicator observed.
-Cleaned printer using a brush.
-Reseated printer cables.
-Advised MOD to perform a test print; printer failed to print (“OPOS Not Claimed”).
-Attempted test print via OPOS Manager; also failed (“Claim device failed”).
</t>
  </si>
  <si>
    <t xml:space="preserve">Forward to Heritage for further inspection, as the printer is under warranty.
</t>
  </si>
  <si>
    <t>Billy Lumogdang</t>
  </si>
  <si>
    <t>FSBP00131264</t>
  </si>
  <si>
    <t>SB377</t>
  </si>
  <si>
    <t>TWIN LAKE - TAGAYTAY - NASUGBU HWY</t>
  </si>
  <si>
    <t xml:space="preserve">PPN70770 </t>
  </si>
  <si>
    <t>POS A Thermal Printer Ink Already Faded</t>
  </si>
  <si>
    <t xml:space="preserve">11/29 -Coordinated with MOD upon arrival.
-Cleaned the thermal head of the printer.
-After cleaning, the left side printed clearly but the right side remained faded.
-Checked the physical condition of the printer — no issues found.
-Double-checked all sockets — no findings.
-Adjusted the roller in case pressure was insufficient — issue persisted.
-Tightened the roller to ensure secure attachment — same result.
-Pressed/secured the printer door to improve roller contact — issue still present.
-Advised MOD that printer replacement is recommended.
-Currently waiting for an available replacement printer.
</t>
  </si>
  <si>
    <t>Printer reco for replacement - roller issue - transfer to Heritage - resolved by Heritage 12/04</t>
  </si>
  <si>
    <t>12:22 PM,  12:58 PM</t>
  </si>
  <si>
    <t>12:35 PM, 1:48 PM</t>
  </si>
  <si>
    <t>Alji Martinez</t>
  </si>
  <si>
    <t>FSBP00131408</t>
  </si>
  <si>
    <t>PP7900-B</t>
  </si>
  <si>
    <t>PP0C0196</t>
  </si>
  <si>
    <t>POS D Printer — Red Light Status</t>
  </si>
  <si>
    <t xml:space="preserve">11/29 -Upon arrival, coordinated with MOD regarding POS D printer issue.
-Verified that POS D printer cannot cut and dispense paper.
-Inspected the unit and found the thermal head misaligned and broken.
-Checked warranty status and confirmed that the printer is under Heritage.
-Advised MOD that the printer is recommended for replacement (RECO).
-Work completed; ticket placed on pending status for replacement.
</t>
  </si>
  <si>
    <t xml:space="preserve">Identified broken and misaligned thermal head on POS D printer. Recommended for replacement.
</t>
  </si>
  <si>
    <t>SD MIGUEL</t>
  </si>
  <si>
    <t xml:space="preserve"> Gail Lagadia</t>
  </si>
  <si>
    <t xml:space="preserve">FSBP00131435 </t>
  </si>
  <si>
    <t>PP0C0333</t>
  </si>
  <si>
    <t>POS A Printer — Red Light Status</t>
  </si>
  <si>
    <t xml:space="preserve">11/29 -Coordinated with MOD upon arrival.
-Checked POS A printer; printer is operational.
-Performed multiple self-tests; all tests passed successfully.
-Endorsed to MOD; no issues observed.
-Observed for possible errors; none found.
-Checked POS A, POS B, and POS D printers; all covered under Heritage warranty.
</t>
  </si>
  <si>
    <t xml:space="preserve">POS A printer checked, tested, and verified operational.
</t>
  </si>
  <si>
    <t>FSBP00131415</t>
  </si>
  <si>
    <t xml:space="preserve">6750 AYALA AVE.
</t>
  </si>
  <si>
    <t>POS A — After the system hang the POS A automatically shut down and also prompted "Windows Embedded POSReady 7" when attempted to restart</t>
  </si>
  <si>
    <t xml:space="preserve">11/29 -Coordinated with MOD upon arrival.
-Verified POS A was in a hung state.
-Removed the printer USB cable — POS became stable.
-Advised partners that the printer cannot be used temporarily.
-Checked HDD — Good condition.
-Requested S.U. Bixolon printer from Sir Rico — Approved.
-Waited for parts arrival.
-Installed and configured the replacement printer (with assistance from PASI and Sir Vernon).
-Endorsed to Sir Francis regarding the defective printer; Heritage team to visit store.
-Secured all cables.
-Work completed.
</t>
  </si>
  <si>
    <t xml:space="preserve">Secured all cables and replaced the defective printer with a working Bixolon printer.
</t>
  </si>
  <si>
    <t>CYBN8KA25070048</t>
  </si>
  <si>
    <t>FSBP00131418</t>
  </si>
  <si>
    <t>BOS — All POS hanging encountered at 02:00 AM and request for NAV restart</t>
  </si>
  <si>
    <t xml:space="preserve">11/29 -Coordinated with MOD upon arrival regarding the reported BOS issue.
-Checked all devices on-site; Pasi support assisted remotely and verified all connections.
-Pasi confirmed that all POS terminals, MWS, and BOS are functioning properly.
-MOD also confirmed that all POS terminals are operational upon arrival.
</t>
  </si>
  <si>
    <t xml:space="preserve">No issues found upon arrival as verified by MOD and Pasi support. All counters, BOS, and MWS are fully operational.
</t>
  </si>
  <si>
    <t>Regie Fernando</t>
  </si>
  <si>
    <t>FSBP00131366</t>
  </si>
  <si>
    <t xml:space="preserve"> DONA SOLEDAD - BETTER LIVING - PARANAQUE</t>
  </si>
  <si>
    <t xml:space="preserve"> CBS Printer, DT Printer, Espresso Printer &amp; Pastry Printer — All labelers returned “Request Timed Out” (RTO)</t>
  </si>
  <si>
    <t xml:space="preserve">11/29 -Upon arrival, coordinated with MOD.
-As per MOD Mark Anthony Maraya, the store does not have any cup labelers installed.
-Conducted physical inspection of all designated labeler posts/locations and confirmed that no cup labelers were present onsite.
</t>
  </si>
  <si>
    <t xml:space="preserve">No labelers found onsite; no further technical action applicable.
</t>
  </si>
  <si>
    <t xml:space="preserve">Mark Anthony Maraya </t>
  </si>
  <si>
    <t>FSBP00131428</t>
  </si>
  <si>
    <t>VB02207F00197</t>
  </si>
  <si>
    <t>MOP device can't login due to blackspot on the login button</t>
  </si>
  <si>
    <t xml:space="preserve">11/29 -Checked the device upon arrival; SB app was missing (uninstalled by MOD).
-Performed standalone testing in the back office — No signal detected.
-Restarted the device — issue persisted.
-Reset the device and reconfigured necessary applications.
-Tested device login — Working properly.
-MOD tested and confirmed functionality.
-Work completed.
</t>
  </si>
  <si>
    <t xml:space="preserve">Device reset and applications reconfigured. Issue resolved.
</t>
  </si>
  <si>
    <t>SD KLYNT</t>
  </si>
  <si>
    <t>FSBP00131373</t>
  </si>
  <si>
    <t>SB178</t>
  </si>
  <si>
    <t>SM FAIRVIEW - LEVEL 1</t>
  </si>
  <si>
    <t>KS-7400</t>
  </si>
  <si>
    <t>KSM60533</t>
  </si>
  <si>
    <t xml:space="preserve"> POS B, encountered RTO per ping</t>
  </si>
  <si>
    <t xml:space="preserve">11/29 -Upon arrival, coordinated with MOD regarding the POS B connectivity issue.
-Checked POS B network connection; detected link speed at 100 Mbps only.
-Inspected LAN cabling; performed re-crimping of CAT6 cable.
-After re-crimping, POS B network speed restored to 1 Gbps.
-Conducted observation to ensure a stable connection.
-Work completed; POS B operational.
</t>
  </si>
  <si>
    <t xml:space="preserve">Re-crimped CAT6 cable for POS B.
</t>
  </si>
  <si>
    <t>RCOC VINCE</t>
  </si>
  <si>
    <t>Kim Parong</t>
  </si>
  <si>
    <t>FSBP00131444</t>
  </si>
  <si>
    <t>SB670</t>
  </si>
  <si>
    <t>ANABU AGUINALDO HIGHWAY</t>
  </si>
  <si>
    <t>Pastry Printer, CBS Printer</t>
  </si>
  <si>
    <t>CYBBHMKA25070003, СYBBHMKA24030188, CYBBHMKA25070004, CYBBHMKA24030187, CYBBHMKA24030185, CYBBHMKA24030186</t>
  </si>
  <si>
    <t xml:space="preserve"> CBS Printer, DT Printer, Espresso Printer &amp; Pastry Printer — All labelers returned “Request Timed Out” (RTO).
</t>
  </si>
  <si>
    <t xml:space="preserve">11/29 -Coordinated with SM upon arrival.
-Found Mastrena 2 with no power, causing orders to reroute to other labelers.
-Re-secured Mastrena 2 power cable — power restored.
-Verified all labelers — all responding but possible AP-side issue suspected.
-Observed Mastrena 2 dispensing paper but not printing.
-Coordinated with PASI for backend checks.
-Performed test print to POS A — same no-print issue.
-Performed test print to POS D — same no-print issue.
-Noted that this is a new store; labelers are under warranty.
-Recommended escalation to Labeler Vendor for further diagnostics.
</t>
  </si>
  <si>
    <t xml:space="preserve">Power restored for Mastrena 2 by securing power cable.
</t>
  </si>
  <si>
    <t xml:space="preserve"> Paolo Terrobias</t>
  </si>
  <si>
    <t>FSBP00131296</t>
  </si>
  <si>
    <t>S300</t>
  </si>
  <si>
    <t>CYBBHMKA25070011</t>
  </si>
  <si>
    <t xml:space="preserve"> CBS DT Labeler - Wont print BIXOLON SN:CYBBHMKA25070011</t>
  </si>
  <si>
    <t xml:space="preserve">11/29 -Checked labeler upon arrival — unit was turned off.
-Powered on the labeler.
-Performed test print — no output.
-Pressed paper dispense — still not printing.
-Conducted ping test — labeler is reachable (pingable).
-Inspected internal components — no paper jam and no broken parts found.
-Restarted labeler — still no paper dispensing.
-Recommended escalation to proper vendor for checking or replacement.
-Advised MOD that the vendor will handle inspection/replacement.
-Work completed.
</t>
  </si>
  <si>
    <t xml:space="preserve">Troubleshooting performed; labeler confirmed non-functional. Recommended for vendor checking/replacement.
</t>
  </si>
  <si>
    <t>Baron Bartolome</t>
  </si>
  <si>
    <t xml:space="preserve">FSBP00128266 </t>
  </si>
  <si>
    <t>CYBN8KA25070061, CYBN8KA25070062, CYBBHMKA25070024, CYBN8KA25070063</t>
  </si>
  <si>
    <t>CBS and Pastry Labelers are printing stickers one by one. It will not print the next item if the printed sticker is not taken right away.</t>
  </si>
  <si>
    <t>11/15 HD MM: pushback to Lenovo team for as checked- store is part of store refresh under Lenovo
11/29 -Upon arrival, waited for MOD go signal due to high customer volume.
-Checked 2 Pastry labelers and 2 CBS Cup labelers.
-Confirmed CBS Cup Labeler 1 is operational.
-CBS Cup Labeler 2 remains on hold by RCOC (scheduled to go live January 2026).
-Coordinated with PASI regarding the 2 Pastry Cup Labelers — PASI confirmed system setup is correct.
-No further configuration changes done onsite.
11/29 -Upon arrival, waited for MOD go signal due to high customer volume.
-Checked 2 Pastry labelers and 2 CBS Cup labelers.
-Confirmed CBS Cup Labeler 1 is operational.
-CBS Cup Labeler 2 remains on hold by RCOC (scheduled to go live January 2026).
-Coordinated with PASI regarding the 2 Pastry Cup Labelers — PASI confirmed system setup is correct.
-No further configuration changes done onsite.
-Work completed.</t>
  </si>
  <si>
    <t xml:space="preserve">Both Pastry Cup Labelers recommended for Action Lab evaluation.
</t>
  </si>
  <si>
    <t>SD JOJO</t>
  </si>
  <si>
    <t>Luu Ramos</t>
  </si>
  <si>
    <t xml:space="preserve">FSBP00131451 </t>
  </si>
  <si>
    <t>1: CYBBHMKA25070024
2: CYBN8KA25070063</t>
  </si>
  <si>
    <t xml:space="preserve"> Pastry DT Labeler - RTO ping test SN:CYBN8KA25070062</t>
  </si>
  <si>
    <t xml:space="preserve">11/29 - Upon arrival, Waiting for MOD Go signal to proceed due to high volume of customers.
- Proceeded to check 2 CBS Cup labeler.
- Only CBS cup labeler 1 is up. Labeler 2 still on hold by RCOC will up on January 2026.
- Work done.
</t>
  </si>
  <si>
    <t>CBS Labeler 1 is up &amp; labeler 2 is on hold by RCOC.</t>
  </si>
  <si>
    <t xml:space="preserve">FSBP00131453 </t>
  </si>
  <si>
    <t>1: CYBN8KA25070061
2: CYBN8KA25070062</t>
  </si>
  <si>
    <t>Pastry Cafe Labeler - RTO ping test SN:CYBN8KA25070061</t>
  </si>
  <si>
    <t>11/29 - Upon arrival, Waiting for MOD Go signal to proceed due to high volume of customers.
- Proceeded to check 2 Pastry Cup labeler.
- Remote by PASI regarding 2 pastry cup labeler issue, their set up in system is good as per PASI.
- Work done.</t>
  </si>
  <si>
    <t>For Reco/Checking to Action Lab the 2 Pastry Cup Labeler</t>
  </si>
  <si>
    <t>FSBP00130887</t>
  </si>
  <si>
    <t>SM CITY BAGUIO SUNSET TERRACES</t>
  </si>
  <si>
    <t>A: KSHC0071
B: KSHC0090
C: KSHC0071</t>
  </si>
  <si>
    <t>Joint Visit — Connecting the POS directly to the MX firewall</t>
  </si>
  <si>
    <t xml:space="preserve">11/29 - Coordinate with MOD, confirmed store code and JV Activity
- Adolfo Amor of TRENDS transferred the connection of POS A,B and C from Switch to Meraki (Port 5,6 and 7)
- All POS are now with 1GB internet speed
- Joint Visit successfully done
- All devices tested by Partners
</t>
  </si>
  <si>
    <t>successful JV with Trends - all POS are at 1gb network speed</t>
  </si>
  <si>
    <t>Jevian Calam-Ang</t>
  </si>
  <si>
    <t>FSBP00131460</t>
  </si>
  <si>
    <t>HVA1N502</t>
  </si>
  <si>
    <t>Tablet - has been reset requesting google account</t>
  </si>
  <si>
    <t>11/30 - Upon arrival coordinate with MOD
- Proceed to reset tablet
- Set-up tablet; Scan the qr code
- Downloading apps
- Set up application
- Authenticator check by MOD APPROVED
- Work done</t>
  </si>
  <si>
    <t>Joyce Radam</t>
  </si>
  <si>
    <t>12/17 Pull out SU 12/16 Fixed by Heritage</t>
  </si>
  <si>
    <t>SU Bixolon Printer</t>
  </si>
  <si>
    <t>CYBN8KA25070066</t>
  </si>
  <si>
    <t>6:45 AM, 9:30 AM</t>
  </si>
  <si>
    <t>7:15 AM, 10:15 AM</t>
  </si>
  <si>
    <t>Roel Liwanag</t>
  </si>
  <si>
    <t>FSBP00131925</t>
  </si>
  <si>
    <t>SRF-S300</t>
  </si>
  <si>
    <t>CYBN8KA24030079</t>
  </si>
  <si>
    <t>CBS Cup Labeler Printer is not working</t>
  </si>
  <si>
    <t>11/30 - After successfully deploying SU Printer at POS D under ticket FSBP00131255
- MOD requested to check their CBS printer not working
- Check the connection of CBS Cup Labeler printer; found out one wire is damage and need to recrimp
- Recrimp the lan cable.
- Conducted test print
- MOD witness the CBS Cup Labeler printer is now working properly.</t>
  </si>
  <si>
    <t>recrimp lan cable</t>
  </si>
  <si>
    <t>FSBP00131379</t>
  </si>
  <si>
    <t>CBS Labeler - Encountering RTO</t>
  </si>
  <si>
    <t xml:space="preserve">11/30 -Coordinated with MOD for CBS labeler checking.
-Upon arrival, labeler displayed an error.
-Inspected the unit physically and found water intrusion on internal parts of the printer.
-Reseated thermal paper and cables — issue persisted.
-Cleaned sensors — issue persisted.
-Ping test to CBS labeler — reachable but unstable response times.
-Ping test to Komodo Dragon — reachable.
-Attempted test print — unable to print.
-Recommended escalation to the proper vendor for full assessment and repair.
-Work completed.
</t>
  </si>
  <si>
    <t xml:space="preserve">Performed full basic troubleshooting; issue persists.
</t>
  </si>
  <si>
    <t>Don Frani</t>
  </si>
  <si>
    <t>FSBP00131494</t>
  </si>
  <si>
    <t>41LH295</t>
  </si>
  <si>
    <t>POS A - Error" Configuration file error"</t>
  </si>
  <si>
    <t xml:space="preserve">11/30 -Upon arrival, coordinated with MOD.
-Proceeded to check POS A.
-Found that HDD was not detected.
-Reseated SATA cable – issue persisted.
-Reseated SATA power cable – issue persisted.
-Cleaned HDD, SATA cable, and SATA power cable – issue persisted.
-Requested HDD and cables from Asset.
-Replaced HDD, SATA cable, and SATA power cable.
-Performed system setup (computer details, host file, Maya drivers, domain, autoboot login).
-Checked and tested by MOD – approved.
-Work completed.
</t>
  </si>
  <si>
    <t xml:space="preserve">Replaced HDD, SATA cable, and SATA power cable.
</t>
  </si>
  <si>
    <t>HDD, SATA CABLE, SATA POWER CABLE</t>
  </si>
  <si>
    <t>FSBP00131829</t>
  </si>
  <si>
    <t>POS A scanner for replacement</t>
  </si>
  <si>
    <t>11/30 -Coordinated with MOD upon arrival regarding the reported scanner concern.
-Conducted visual inspection and confirmed the POS A scanner cable was heavily worn and nearing breakage.
-Performed basic troubleshooting:
*Reseated scanner cable on both POS terminal and scanner head.
*Checked LED indicator and scanner beep function.
*Tested scan performance using test barcodes — scanner still functional.
-Observed intermittent LED flicker when cable was moved, indicating possible internal wire damage.
-Informed MOD that although still functioning, the scanner is at high risk of failure and requires replacement.
-Removed the worn-out scanner and prepared it for return.
-Installed the Service Unit (SU) replacement scanner.
-Secured and organized cables to avoid strain and future wear.
*Performed full functional testing on the replacement unit:
*Successfully scanned multiple barcodes
*Verified accurate and responsive scanning
*Confirmed POS A recognizes the scanner without errors
-Updated MOD; POS A scanner is now fully operational.</t>
  </si>
  <si>
    <t>Installed the Service Unit (SU) replacement scanner.</t>
  </si>
  <si>
    <t>CDM6I43</t>
  </si>
  <si>
    <t>FSBP00131477</t>
  </si>
  <si>
    <t>SB139</t>
  </si>
  <si>
    <t>GREENHILLS THEATER</t>
  </si>
  <si>
    <t>BOS- ALL POS A and B Shows an error "unable to connect to server</t>
  </si>
  <si>
    <t xml:space="preserve">11/30 - Upon arrival, coordinated with the MOD regarding the reported connectivity issue on both POS A and POS B.
- Verified onsite and confirmed both terminals were unable to connect to the BOS server.
- Checked network status via Meraki dashboard; observed link speed fluctuating, at times dropping from 100 Mbps down to 10 Mbps.
- Performed physical inspection of POS network cables; found that the existing POS cable was unstable when moved or flexed.
- Conducted multiple continuity tests using a cable tracer; some pins intermittently failed to light even though the color coding was correct.
- Re-crimped the POS cable end-to-end two times to ensure proper termination and alignment of wires.
- Verified and confirmed correct color coding during each re-crimp process.
- Despite re-crimping and securing both ends, the issue persisted — cable remained unstable and intermittently lost connection.
- Unable to confirm whether the cable is Cat5e or Cat6 because the cable jacket has no markings (plain grey).
- Tested connectivity after rework; BOS still failed to establish stable communication to POS A and B due to unstable LAN line.
- After rework, POS B maintained a stable UP status (100 Mbps), but POS A continued experiencing intermittent communication issues.
- Updated MOD regarding the status; advised that the issue is likely caused by a faulty or degraded LAN cable run, requiring full line replacement for permanent resolution.
</t>
  </si>
  <si>
    <t>Reco to Facilities for full LAN cable replacement for the affected POS line</t>
  </si>
  <si>
    <t>Marco Carpeso</t>
  </si>
  <si>
    <t xml:space="preserve">FSBP00131560 </t>
  </si>
  <si>
    <t>86771905A0232</t>
  </si>
  <si>
    <t>Globe Fiber Activation Dec 1, 2025 10am onwards</t>
  </si>
  <si>
    <t xml:space="preserve">12/1 -Upon arrival, performed standalone test on Globe connection — stable and good.
-Tested Smart — disconnected as per RCOC.
-Restarted Smart — connection good.
-Connected Globe to Port 1 of Meraki.
-Transferred PLDT to Port 2 of Meraki.
-Pulled out Smart LTE.
-Work completed.
</t>
  </si>
  <si>
    <t xml:space="preserve">Activated Globe Fiber on WAN 1.
</t>
  </si>
  <si>
    <t>Cerbie Peña</t>
  </si>
  <si>
    <t xml:space="preserve">FSBP00131540 </t>
  </si>
  <si>
    <t>KSHC0017</t>
  </si>
  <si>
    <t>POS B - Blue Screen</t>
  </si>
  <si>
    <t xml:space="preserve">12/1 -Found HDD defective.
-Replaced HDD and performed reimage.
-Completed POS setup and configuration.
-PASI remotely configured NAV.
-Joined device to the domain.
-POS B is up and working, confirmed by MOD.
</t>
  </si>
  <si>
    <t xml:space="preserve">Replaced HDD and performed reimage.
</t>
  </si>
  <si>
    <t>WX21A388ZEF2</t>
  </si>
  <si>
    <t>WXD1A67D4D32</t>
  </si>
  <si>
    <t>Kim Agcarao</t>
  </si>
  <si>
    <t xml:space="preserve">FSBP00131549 </t>
  </si>
  <si>
    <t>SB471</t>
  </si>
  <si>
    <t>TELEPERFORMANCE MCKINLEY WEST</t>
  </si>
  <si>
    <t>4752-E70</t>
  </si>
  <si>
    <t>41VA470</t>
  </si>
  <si>
    <t xml:space="preserve">12/1 -Upon arrival, coordinated with MOD.
-Checked POS A — unit is working, has power, and no issue observed. MOD confirmed POS A was functioning; issue is related to the UPS.
-Checked UPS — found dead UPS, no light indicator. MOD stated the lights turned off when the UPS shut down.
-Switched POS A from UPS output to Normal UPS port.
-Attempted to plug UPS directly to a normal power outlet — still no power.
-POS A confirmed working and able to process transactions.
-Work completed.
</t>
  </si>
  <si>
    <t xml:space="preserve">Recommendation: Forward to Facilities for UPS checking in BOH.
</t>
  </si>
  <si>
    <t xml:space="preserve"> Francisco T. Sevilla III
</t>
  </si>
  <si>
    <t>Jerili Fuellas</t>
  </si>
  <si>
    <t>FSBP00131555</t>
  </si>
  <si>
    <t>41-MD257</t>
  </si>
  <si>
    <t>POS B - Motherboard replacement</t>
  </si>
  <si>
    <t xml:space="preserve">12/1 -Upon arrival, found MOD and coordinated the ticket.
-Isolated the device and found that the Maya terminal was not responding to transactions.
-Powered off the device, reseated tailgate cable, cleaned connectors, reconnected, reinstalled drivers — issue remained.
-Requested tailgate for isolation. (Pause time logged)
-Received tailgate and resumed. Tested by MOD — same issue.
-Reinstalled Maya drivers and coordinated with PASI for support. Device showed connected status, but still failed during MOD testing.
-Requested motherboard (MOBO) for further isolation. (Second pause time logged)
-Received MOBO and resumed. Replaced motherboard. Coordinated with PASI — device connected successfully, all settings loaded, tested — same issue persisted.
-Recommendation: Issue appears to be on Maya side (terminal service issue). All possible hardware components have already been replaced with the same result.
</t>
  </si>
  <si>
    <t xml:space="preserve">Recommended for priority checking by MAYA side.
</t>
  </si>
  <si>
    <t>MOTHERBOARD</t>
  </si>
  <si>
    <t>10:30 AM, 12:38 PM</t>
  </si>
  <si>
    <t>11:25 AM, 2:20 PM</t>
  </si>
  <si>
    <t>Deneille Roxas</t>
  </si>
  <si>
    <t xml:space="preserve">FSBP00131579 </t>
  </si>
  <si>
    <t>PC0D6Z0U</t>
  </si>
  <si>
    <t xml:space="preserve"> BOS TeamViewer — Error "No connection to TeamViewer server</t>
  </si>
  <si>
    <t xml:space="preserve">12/1 -Coordinated with MOD for BOS TeamViewer checking.
-Confirmed BOS TeamViewer was unable to connect.
-Found network speed on BOS at 100 Mbps.
-Recrimped BOS LAN cable end-to-end — network restored to 1 Gbps.
-BOS TeamViewer successfully connected after fix.
-Verified functionality with MOD.
-Work completed.
</t>
  </si>
  <si>
    <t xml:space="preserve">Recrimped BOS LAN cable.
</t>
  </si>
  <si>
    <t>Millard Monzon &amp; Karl Joseph Almonte</t>
  </si>
  <si>
    <t>Anthony Hernandez</t>
  </si>
  <si>
    <t>FSBP00131486</t>
  </si>
  <si>
    <t>PPL31285</t>
  </si>
  <si>
    <t>POS D printer is not completing prints</t>
  </si>
  <si>
    <t>12/1 -Upon arrival, found the printer loaded with rubber bands due to a broken hook.
-Performed test print — receipts were blurred.
-Cleaned the thermal head — no improvement.
-Restarted the printer — issue persisted.
-Coordinated with TSG; printer recommended for replacement.
-Informed MOD that printer will be replaced once stock becomes available.
-Work completed.</t>
  </si>
  <si>
    <t>Printer is recommended for replacement. - fixed by Heritage 12/04</t>
  </si>
  <si>
    <t xml:space="preserve"> Steven Wenceslau</t>
  </si>
  <si>
    <t>FSBP00131793</t>
  </si>
  <si>
    <t>6750 AYALA AVE.</t>
  </si>
  <si>
    <t>PP0C0318</t>
  </si>
  <si>
    <t>Pullout of SU unit and installation of new POSIFLEX printer</t>
  </si>
  <si>
    <t xml:space="preserve">12/1 -Upon arrival, coordinated with MOD regarding the concern.
-Confirmed that MOD received the replacement printer for the Service Unit.
-After MOD’s go-signal, pulled out the Service Unit printer and installed the new Posiflex printer.
-Requested PASI to configure the newly installed printer.
-After configuration, ran LSNav and performed testing with MOD.
-Printer tested OK after MOD verification and test print.
</t>
  </si>
  <si>
    <t xml:space="preserve">Installed new Posiflex printer.
</t>
  </si>
  <si>
    <t>Marcy Invierno</t>
  </si>
  <si>
    <t xml:space="preserve">11/25 - Upon arrival, Coordinate to MOD
- Waiting to subside customer
- As per MOD POS A printer printing blurry
- Check the unit
- Clean thermal head, adjust spring; issue still persist
- Reco for replacement; currently no spare/buffer units available
12/1 -Upon arrival, coordinated with MOD regarding the concern.
-Isolated the unit after MOD’s go-signal; confirmed blurred printouts.
-Attempted cleaning, resetting, and restarting the printer — same issue persisted.
-Replaced defective printer with a Service Unit (SU) printer and coordinated with PASI for configuration.
-After PASI configured the printer, ran LSNav and conducted test printing with MOD.
-Printer was OK after MOD verification and test print.
</t>
  </si>
  <si>
    <t>Replaced defective printer with a SU Bixolon</t>
  </si>
  <si>
    <t xml:space="preserve"> 41-385AH
</t>
  </si>
  <si>
    <t>Jay Andres</t>
  </si>
  <si>
    <t xml:space="preserve">FSBP00131309 </t>
  </si>
  <si>
    <t>SB127</t>
  </si>
  <si>
    <t>SM NORTH EDSA - LEVEL 1</t>
  </si>
  <si>
    <t>6MQ7S24524003181</t>
  </si>
  <si>
    <t xml:space="preserve">DITO LTE Deployment </t>
  </si>
  <si>
    <t>12/02 - Upon arrival, coordinated with the MOD regarding the scheduled DITO LTE deployment.
- Performed speed tests on both FOH (Front of House) and BOH (Back of House) networks to validate current connectivity status prior to LTE installation; no reliable connection detected.
- Identified the designated installation area and prepared mounting and placement for the DITO LTE device.
- Installed and powered up the DITO LTE modem and verified signal acquisition.
- Configured network settings as required and ensured proper integration into the store’s network environment.
- Conducted post-installation testing, verifying LTE connectivity and confirming improved network availability.
- Performed browsing test and basic load test to ensure stable connection through DITO LTE.
- Updated MOD regarding the completed deployment.</t>
  </si>
  <si>
    <t>DITO LTE successfully installed and operational.</t>
  </si>
  <si>
    <t>Jamie Tinnente</t>
  </si>
  <si>
    <t>FSBP00131761</t>
  </si>
  <si>
    <t xml:space="preserve"> CLARK CITY FRONT</t>
  </si>
  <si>
    <t>DITO LTE deployment</t>
  </si>
  <si>
    <t>12/02 - Coordinate to MOD
- Perform check the Ethernet Connection to globe fiber and GODAN LTE. Ping, speedtest
- Upon checking, all machines are working and the internet connection is working. 
- MOD confirmed no power interruption last night. All power cycle is normal and no issue encounter right now</t>
  </si>
  <si>
    <t xml:space="preserve"> John Mark Cruz</t>
  </si>
  <si>
    <t xml:space="preserve"> FSBP00130852</t>
  </si>
  <si>
    <t>POS A Drawer 1, POS A Drawer 2, POS B Drawer 1, POS B Drawer 2</t>
  </si>
  <si>
    <t xml:space="preserve">201902550241, 201902550053, 201902550140, 201902250273  </t>
  </si>
  <si>
    <t>Both POS drawers worn out (exact POS drawer not specified)</t>
  </si>
  <si>
    <t xml:space="preserve">12/4 -Coordinated the reported concern with the MOD and confirmed correct store code.
-Checked the devices; verified through OPOS Manager that all cash drawers are working properly.
-Store Manager requested replacement of all drawers due to old, rusty appearance and poor presentation.
-Advised partner to send their request to the DM via email, as replacement due to aesthetics is subject for approval.
-Work done.
</t>
  </si>
  <si>
    <t xml:space="preserve">Advised partner to send their request to the DM via email, as replacement due to aesthetics is subject for approval.
</t>
  </si>
  <si>
    <t>Chassly Ramos</t>
  </si>
  <si>
    <t>FSBP00131634</t>
  </si>
  <si>
    <t>SB452</t>
  </si>
  <si>
    <t xml:space="preserve">ROCKWELL BUSINESS CENTER SHERIDAN
</t>
  </si>
  <si>
    <t>PPMP91983</t>
  </si>
  <si>
    <t>POS A Printer Won't Print</t>
  </si>
  <si>
    <t>12/2 - Coordinate with MOD
- Isolate unit after go signal by MOD found out printer not printing, lose gear feed not working but only sound no paper out
- Try to clean, reset, restart unit but same problem</t>
  </si>
  <si>
    <t xml:space="preserve"> gear feed not working - transfer to Heritage</t>
  </si>
  <si>
    <t>Erika Rayos</t>
  </si>
  <si>
    <t>FSBP00130968</t>
  </si>
  <si>
    <t>Please assign L2 to check the connectivity of the following
Secondary Internet = 10mbps
BOS = 100mbps
AP = 100mbps</t>
  </si>
  <si>
    <t>12/2 - Upon arrival coordinate with mod
- waiting for sm go signal
- crimp end to end lan cable on bos pc reach on 1gbps port speed
- checking POA and POS B port reach on 1gbps port speed
- network lan connection ok
- but upon checking of BOS PC performance on HDD and Memory reach on 100% util
- advised to check for pasi for BOS PC 100% HDD and Memory Util
- observe, waiting for pasi
- Config PASI of BOS PC for 100% util and including SQL and restart BOS PC
- 100% util issue is subside and transaction become smooth
- observe both POS A and B
- all device is working
- performe speedtest and ping encountered rto
- reco to treNds for checking connectivity
  Work done.
AP issue
- waiting to subside customer to crimp ap cisco
- as per sir bryan no need to crimp port2, 100mbps
- crimp AP, good 1gbps.</t>
  </si>
  <si>
    <t>reco to Trends for checking connectivity</t>
  </si>
  <si>
    <t>12:00 PM, 3:30 PM</t>
  </si>
  <si>
    <t>3:00 PM, 4:30 PM</t>
  </si>
  <si>
    <t xml:space="preserve">FSBP00131752 </t>
  </si>
  <si>
    <t>Unable to print, Browser Error</t>
  </si>
  <si>
    <t>PP040945</t>
  </si>
  <si>
    <t>POS A printer error checking</t>
  </si>
  <si>
    <t xml:space="preserve">12/2 upon arrival found MOD coordinate the concern
- isolate unit after go signal by MOD found out printer not printing, lose gear feed working but only sound no paper out , try to clean, reset, restart unit but same problem
- Request Printer for replacement but no available SU printer.
- pending for replacement of printer
12/1 - upon arrival coor to MOD
- Proceed to deploy SU printer bixolon
- Download drivers
- Config by PASI
- Checked and tested by MOD; approved
</t>
  </si>
  <si>
    <t>loose gear - transfer to Heritage</t>
  </si>
  <si>
    <t>Mildred Villasco</t>
  </si>
  <si>
    <t>FSBP00131542</t>
  </si>
  <si>
    <t xml:space="preserve"> BLUE BAY WALK</t>
  </si>
  <si>
    <t>PP040121</t>
  </si>
  <si>
    <t>POS B Printer — Not Working</t>
  </si>
  <si>
    <t>12/2 -upon arrival, checked Pos B printer, Broken hook inside.
-printer is Out Of Warranty 9-30-24.
-as per asset, no available printer at the office.</t>
  </si>
  <si>
    <t>broken hook - transfer to Heritage (ack)</t>
  </si>
  <si>
    <t xml:space="preserve"> Raj Simpao</t>
  </si>
  <si>
    <t>FSBP00131219</t>
  </si>
  <si>
    <t>SB162</t>
  </si>
  <si>
    <t xml:space="preserve"> SHORE RESIDENCES</t>
  </si>
  <si>
    <t>VB02207F00293</t>
  </si>
  <si>
    <t>MO&amp;P - Device is draining too fast. Battery last for atleast an hour or less only</t>
  </si>
  <si>
    <t xml:space="preserve">12/2 Checked MOP device.
-upon arrival, Mop is full charged.
-observed battery percent draining from 100% to 99% about 8mins.
-used stopwatch from 99% to 98% drain is 7mins 44secs.
-checked battery performance &amp; optimition in settings, set in normal mode, battery performance from 98% is approx 13hrs.
-mop device battery is percentage drain is normal.
-work done.
</t>
  </si>
  <si>
    <t>Marian Faderogao</t>
  </si>
  <si>
    <t>FSBP00131652</t>
  </si>
  <si>
    <t>WALTERMART CHINO ROCES</t>
  </si>
  <si>
    <t>JV with MAYA - 2PM (MAYA device for replacement)</t>
  </si>
  <si>
    <t>12/2 - Upon arrival coordinate to MOD
- Coordinate to MAYA FE
- Update maya drivers from 26 to 28
- Work done</t>
  </si>
  <si>
    <t>update MAYA drivers and MAYA FE change cradle and reseat cables</t>
  </si>
  <si>
    <t>MAYA</t>
  </si>
  <si>
    <t>Justine Mabute</t>
  </si>
  <si>
    <t xml:space="preserve">FSBP00131655  </t>
  </si>
  <si>
    <t>HA1LEP02</t>
  </si>
  <si>
    <t xml:space="preserve"> Lenovo Store tablet - reset</t>
  </si>
  <si>
    <t>12/02 - Upon arrival coordinated with MOD
- Checked Store Tablet; found back to default settings
- Performed factory data reset; needs 30% of battery
- Charge Store tablet for a while
- Performed factory reset; good
- Setup store tablet
- Connected tablet to Starbucks Delivery; good
 -Waited for the setup to finish; failed
- Tried again multiple times until it push through; good
- Coordinated with sir Vince for code; good
- Waited for apps to download; good
- Setup all settings
- Coordinated with MOD for authenticator; good, can authenticate using tablet, confirmed by MOD
- Work done</t>
  </si>
  <si>
    <t>rancisco T. Sevilla III</t>
  </si>
  <si>
    <t>Darrel Malgarejo</t>
  </si>
  <si>
    <t>FSBP00131649</t>
  </si>
  <si>
    <t>SB250</t>
  </si>
  <si>
    <t>SM TAYTAY BUILDING B LEVEL 1</t>
  </si>
  <si>
    <t>POS B Cash Drawer 1 - Won't open due to drawer falls to the ground and wires tripped off</t>
  </si>
  <si>
    <t xml:space="preserve">12/02 - Upon arrival coordinate with MOD
- Proceed to check Cash Drawer Cables found; ripped Y-cable
- Wait for delivery of New Y-cable
- Replace New Y-cable; test thru OPOS
- Test and witness by MOD
</t>
  </si>
  <si>
    <t xml:space="preserve"> Jericho Rada</t>
  </si>
  <si>
    <t xml:space="preserve"> Allen Beri</t>
  </si>
  <si>
    <t>FSBP00131673</t>
  </si>
  <si>
    <t>[JV] Full cable replacement of POS A</t>
  </si>
  <si>
    <t>12/3 Upon arrival check POS A; no connection
- Check Cable with facilities; faulty cable, both POS
- Facilities advised both cable will be replaced for rescheduling
- Use AP lan cable for temporary usage of Pos A
- Transfer AP to back office; get lan cable from MOD
- Test wifi in FOH; good.
- Test both POS and devices by MOD; good.
- Facilities advised they will email for the schedule of cable replacement. Work done</t>
  </si>
  <si>
    <t>Use AP Lan cable to POS A for temporary; transfer AP to back office</t>
  </si>
  <si>
    <t>Marco Tarpeso</t>
  </si>
  <si>
    <t>FSBP00131696</t>
  </si>
  <si>
    <t>MWS Monitor, BOS Monitor</t>
  </si>
  <si>
    <t>PC0D6YYQ/PC2HLWBZ</t>
  </si>
  <si>
    <t>12/3 Checked Bos and MWS Teamviewer version is out to date.
-update version of teamviewer for BOS and MWS.
-Tested Remote by Pasi BOS and MWS.
-Work Done.</t>
  </si>
  <si>
    <t>Update version of Teamviewer of BOS and MWS.</t>
  </si>
  <si>
    <t>FSBP00131700</t>
  </si>
  <si>
    <t>PC0D6YYQq</t>
  </si>
  <si>
    <t>BOS Connectivity - only shows 100mbps</t>
  </si>
  <si>
    <t>12/3 Upon arrival, Bos net speed is 100mbps only.
-resocket bos lan cable, net speed is now 1gbps.
-work done.</t>
  </si>
  <si>
    <t>Resocket bos lan cable.</t>
  </si>
  <si>
    <t>FSBP00131704</t>
  </si>
  <si>
    <t>PC0D6YXW</t>
  </si>
  <si>
    <t>BOS only shows 100 mbps</t>
  </si>
  <si>
    <t xml:space="preserve">12/3 - Coordinated with the MOD.
-Coordinated with the MOD upon arrival.
-Waited for permission to proceed.
-Connected a temporary LAN cable to minimize downtime during recrimping.
-Performed LAN cable recrimp.
-Requested window time and waited for permission to reconnect the LAN cable.
-LAN cable only achieved 10 Mbps; re-crimped end-to-end multiple times, but issue persisted — cable condition degraded.
-Could not perform further re-crimping due to insufficient cable length to reach BOS.
-Requested another window time and waited for permission to proceed.
-Installed and reconnected a new LAN cable as replacement.
-Attempted to hide/reroute the cable but MOD could not allow additional downtime at the moment.
-Work done.
</t>
  </si>
  <si>
    <t>Replaced LAN cable.</t>
  </si>
  <si>
    <t>11:30 AM, 1:40 PM</t>
  </si>
  <si>
    <t>1:30 PM, 7:00 PM</t>
  </si>
  <si>
    <t>Matt Beltran</t>
  </si>
  <si>
    <t>FSBP00131701</t>
  </si>
  <si>
    <t>4CE9241XWR</t>
  </si>
  <si>
    <t>MWS- To check the connectivity as it is only 100 mbps</t>
  </si>
  <si>
    <t>12/3Coordinate to MOD for MWS network checking
- Confirmed MWS is at 100mbps net speed only
- Tried to reseat lan cable; issue still persist
- Recrimp MWS end cable; ok 1gbps
- Speed test; ok 22mbps
- Verify to MOD
- Work done</t>
  </si>
  <si>
    <t>recrimp MWS lan cable</t>
  </si>
  <si>
    <t>Gladys Nicolas</t>
  </si>
  <si>
    <t>FSBP00131707</t>
  </si>
  <si>
    <t xml:space="preserve">HA1LHLPF </t>
  </si>
  <si>
    <t>Store tablet- Won't proceed with the passcode</t>
  </si>
  <si>
    <t>12/3 - Upon arrival coordinate with MOD
- Proceed to reset tablet
- Set-up tablet; Scan the QR code
- Downloading apps
- Set up application
- Authenticator check by MOD; APPROVED
- Work done</t>
  </si>
  <si>
    <t>FSBP0013170</t>
  </si>
  <si>
    <t xml:space="preserve">HA1QGGC0 </t>
  </si>
  <si>
    <t>Store tablet - Has been reset</t>
  </si>
  <si>
    <t>12/3 - Upon arrival coordinate with MOD
- Proceed to reset tablet
- Set-up tablet; Scan the qr code
- downloading apps
- Set up application
- Authenticator check by MOD; APPROVED
- Work done</t>
  </si>
  <si>
    <t>FSBP00131651</t>
  </si>
  <si>
    <t>PP050362</t>
  </si>
  <si>
    <t>POS A Printer - couldn't generate receipt</t>
  </si>
  <si>
    <t>12/3 Upon arrival coordinate with MOD
- Proceed to check printer status; no red light indicator
- Reseat cables
- Restart Printer; still won't print receipt
- Found broken hook</t>
  </si>
  <si>
    <t>broken hook - transfer to Heritage - resolved by Heritage 12/06</t>
  </si>
  <si>
    <t>FSBP00126648</t>
  </si>
  <si>
    <t>CurioPlayerZ8</t>
  </si>
  <si>
    <t>Y83504FG31120</t>
  </si>
  <si>
    <t>Curio Disconnected Dec 3, 2025, 10am onwards</t>
  </si>
  <si>
    <t>12/3 - Coordinate with MOD
- Check Curio player; turned on
- No lan cable in meraki port 10
- Replace lan cable of curio player
- No light in ethernet port of curio and port 10 of meraki
- Ping test curio; not pingable
- Coordinate with RCOC Sir Bryan for checking and config of port 10.
- Curio now pingable but unstable.
- Re-crimped both ends. Ethernet port of curio device is loose.
- Ping test; stable ping.
- Curio dashboard is not accessible.
- Curio connectivity status is ok.</t>
  </si>
  <si>
    <t>replaced lan cable - For checking of facilities due to loose curio LAN port and unable to access dashboard</t>
  </si>
  <si>
    <t xml:space="preserve">FSBP00131827 </t>
  </si>
  <si>
    <t>SB378</t>
  </si>
  <si>
    <t>ROBINSONS ANTIPOLO</t>
  </si>
  <si>
    <t>2198031297AGP6000133YH87Z00B61008</t>
  </si>
  <si>
    <t xml:space="preserve">12/4 -Coordinated with MOD upon arrival.
-Performed standalone testing.
-Terminated Globe Fiber to WAN1 as Primary connection.
-Set PLDT to WAN2 as Secondary connection.
-Conducted standalone test using MWS.
-Configuration confirmed by Sir Bryan.
-Pulled out Smart LTE device.
-Work done.
</t>
  </si>
  <si>
    <t xml:space="preserve">Configured network: Globe Fiber (Primary – WAN1), PLDT (Secondary – WAN2).
</t>
  </si>
  <si>
    <t>ROUTER</t>
  </si>
  <si>
    <t>RCOC BRYAN</t>
  </si>
  <si>
    <t>Patrizia Yuki</t>
  </si>
  <si>
    <t xml:space="preserve">FSBP00131923 </t>
  </si>
  <si>
    <t>PND BLDG MAKATI</t>
  </si>
  <si>
    <t>Pull out of SU printer (related ticket FSBP00130233)</t>
  </si>
  <si>
    <t>12/3 - Upon arrival found MOD coordinate the concern
- Wait for go signal of MOD due to volume of customer in line increasing
- After getting the MOD go signal; pull-out the SU printer and replace store repaired printer.
- Test unit by MOD observed in few transactions.
- Test Done found ok tested by MOD</t>
  </si>
  <si>
    <t>Pull out SU printer and install store repaired printer</t>
  </si>
  <si>
    <t>PP050333</t>
  </si>
  <si>
    <t>Rome Valencia</t>
  </si>
  <si>
    <t>FSBP00131769</t>
  </si>
  <si>
    <t>SB143</t>
  </si>
  <si>
    <t>GLAS TOWER</t>
  </si>
  <si>
    <t>PC0D6Z1B</t>
  </si>
  <si>
    <t>BOS- Network status shows 100 mbps only</t>
  </si>
  <si>
    <t xml:space="preserve">12/3 -Upon arrival, coordinated with MOD.
-Checked BOS; confirmed 100 Mbps link speed.
-MOD advised that BOS configuration can only be done during store closing (1:00 AM).
-Waited for 5 hours.
-Re-crimped BOS LAN cable end-to-end; results were good.
-Rechecked BOS; connection now at 1.0 Gbps.
-Work done.
</t>
  </si>
  <si>
    <t xml:space="preserve">Re-crimped BOS LAN cable end-to-end
</t>
  </si>
  <si>
    <t>8:15 PM, 12:00 AM</t>
  </si>
  <si>
    <t xml:space="preserve"> Jawil Gadua</t>
  </si>
  <si>
    <t>FSBP00131770</t>
  </si>
  <si>
    <t xml:space="preserve">12/3 -Upon arrival, coordinated with MOD.
-Checked BOS TeamViewer application; found no details displayed and version was outdated.
-Updated TeamViewer to the latest version; successful.
-Relaunched TeamViewer; application loaded correctly.
-TeamViewer details now visible.
-Work done.
</t>
  </si>
  <si>
    <t xml:space="preserve">Updated TeamViewer to the latest version
</t>
  </si>
  <si>
    <t>FSBP00131805</t>
  </si>
  <si>
    <t>PC0D6236</t>
  </si>
  <si>
    <t xml:space="preserve"> BOS - Both POS No Service Tier due to No internet connection</t>
  </si>
  <si>
    <t xml:space="preserve">12/4 -Upon arrival, found the Meraki device unmounted.
-As per SS, L1 Support had previously advised restarting Meraki and BOS.
-Re-mounted Meraki to its original position.
-Restarted BOS.
-Performed ping test to all devices — good.
-Performed ping test to Google DNS — good.
-Conducted internet speed test — good.
-Observed system for 30 minutes — stable, no downtime.
-MOD requested a 1-hour extended observation — completed, no issues encountered.
-Work done.
</t>
  </si>
  <si>
    <t xml:space="preserve">Re-mounted Meraki, restarted BOS, restarted modem.
</t>
  </si>
  <si>
    <t>Marisa Santos</t>
  </si>
  <si>
    <t xml:space="preserve">FSBP00131703 </t>
  </si>
  <si>
    <t>OM46D-W</t>
  </si>
  <si>
    <t>069VHNKK400004Y</t>
  </si>
  <si>
    <t xml:space="preserve">12/4 -Coordinated with MOD for Panel C verification.
-Confirmed Panel C was disconnected and not properly plugged into the 24-port switch.
-Found POS C and POS D network speed limited to 100 Mbps.
-Re-crimped LAN cables for Panel C, POS C, and POS D — all now achieving 1 Gbps.
-Coordinated with Sir Vince — Panel C is back online; POS C and D are now at 1 Gbps.
-Verified with MOD.
-Work done.
</t>
  </si>
  <si>
    <t xml:space="preserve">Re-crimped LAN cables for Panel C, POS C, and POS D, restoring full connectivity and 1 Gbps link speed.
</t>
  </si>
  <si>
    <t>FSBP00131687</t>
  </si>
  <si>
    <t>POS B Printer-Printing is inconsistent and sometimes there's a red light indicator</t>
  </si>
  <si>
    <t xml:space="preserve">12/4 -Coordinated with MOD upon arrival.
-Waited for parts delivery.
-Received parts and waited for go signal.
-Installed the standby/replacement printer (S.U).
-Printer configured by PASI technician — good.
-Performed multiple print tests — all good.
-Endorsed defective printer to SM — acknowledged.
-Work done.
</t>
  </si>
  <si>
    <t>12/7 confirm fixed 12/9 Pull out SU</t>
  </si>
  <si>
    <t>CYBN8KA28070075</t>
  </si>
  <si>
    <t>12:30 PM, 2:00 PM</t>
  </si>
  <si>
    <t>2:00 PM, 2:30 PM</t>
  </si>
  <si>
    <t>Roxann Madrigal</t>
  </si>
  <si>
    <t xml:space="preserve">FSBP00131951 </t>
  </si>
  <si>
    <t>PPM91983</t>
  </si>
  <si>
    <t xml:space="preserve"> SU deployment FOR POS A</t>
  </si>
  <si>
    <t xml:space="preserve">12/4 -Coordinated with MOD upon arrival.
-Checked POS A printer — found defective due to a broken hook.
-Isolated the Posiflex printer.
-Set up BIXOLON replacement printer — good.
-Installed BIXOLON printer driver — good.
-Coordinated with PASI for validation — good.
-Performed test print and reprint of receipts — successful, confirmed by MOD.
-Work done.
</t>
  </si>
  <si>
    <t xml:space="preserve">Installed BIXOLON printer
</t>
  </si>
  <si>
    <t>CYBN8KA25070074</t>
  </si>
  <si>
    <t>Arvie Veneracion</t>
  </si>
  <si>
    <t>FSBP00131844</t>
  </si>
  <si>
    <t>POS B Printer - no power</t>
  </si>
  <si>
    <t xml:space="preserve">12/4 Upon arrival coordinated with MOD regarding of the POS B Printer with no power
- Checking  the POS B Printer power; working
New Problem Encounter:
- Upon checking POS B printer, printer cannot dispense receipt
- Checking printer through OPOS check health: Test OK
- Checking the POS B Printer; receipt cannot dispense
- Checking hooks in both ends; no issue
- Test print again; same issue receipt cannot dispense
- When trying to close the paper cover; right side of the paper cover clicks sound when it closes but the left side does not.
- Testing forcefully push the paper cover (one hand); cannot dispense
- Testing forcefully push the paper cover (both hands); can dispense
</t>
  </si>
  <si>
    <t xml:space="preserve"> Clogged print head or platen roller issue - transfer to Heritage - warranty date 6/5/24</t>
  </si>
  <si>
    <t xml:space="preserve"> Jhay Alphonsus B. Chu</t>
  </si>
  <si>
    <t>Anghelo Esgerra</t>
  </si>
  <si>
    <t xml:space="preserve">FSBP00131871 </t>
  </si>
  <si>
    <t>POS B - broken cover</t>
  </si>
  <si>
    <t>12/5 Upon arrival coordinate to MOD
- Checked all the cause of the issue
- found out that the cables are not groomed properly
- Removed all the cables that causing the issue
- Re-aligned the back cover
- observed the unit
- No other issues
- Work Done</t>
  </si>
  <si>
    <t>Re-aligned Back cover</t>
  </si>
  <si>
    <t>Richard Cruz</t>
  </si>
  <si>
    <t>Edward Jester Fostanes</t>
  </si>
  <si>
    <t>FSBP00131884</t>
  </si>
  <si>
    <t>RESORTS WORLD NEWPORT MALL 2</t>
  </si>
  <si>
    <t>HVA1N261</t>
  </si>
  <si>
    <t>Store Tablet - Reset "set-up your tablet</t>
  </si>
  <si>
    <t>12/5 Set up store tablet.
-enter 8digit code.
-installed apps and tested.
-revoke email.
-tested authenticator by mod.
-work done.</t>
  </si>
  <si>
    <t>Setup Store Tablet.</t>
  </si>
  <si>
    <t>Raniel Caldozo</t>
  </si>
  <si>
    <t xml:space="preserve"> FSBP00131895</t>
  </si>
  <si>
    <t>YUPANGCO BLDG - JUPITER ST</t>
  </si>
  <si>
    <t>PC0ANAP9</t>
  </si>
  <si>
    <t>MWS- Stuck on windows page</t>
  </si>
  <si>
    <t>12/5 Upon arrival coordinate with mod
- upon checking mws is up and working
-check health;good
-checkdisk;good
-secure cable;good
-standalone;good
  Work done.</t>
  </si>
  <si>
    <t>secured cable</t>
  </si>
  <si>
    <t>for ticket creation</t>
  </si>
  <si>
    <t>PP0C0330/PP0C0329</t>
  </si>
  <si>
    <t>Kindly pull out 2 pcs POS Printer service unit delivered to store, coordinate to MOD.</t>
  </si>
  <si>
    <t>12/5 Upon arrival coordinate mod 
-Coordinate team
- pull-out 2units printer used as service unit and delivered to paseo arcenas sc 679
Work done
Call closed</t>
  </si>
  <si>
    <t>pullout 2 units printer</t>
  </si>
  <si>
    <t>John Estrada</t>
  </si>
  <si>
    <t>FSBP00131901</t>
  </si>
  <si>
    <t>FEU- REGALADO</t>
  </si>
  <si>
    <t>LENOVO/TOSHIBA</t>
  </si>
  <si>
    <t>PC0D6Z07/PC03XJJW/41PW035</t>
  </si>
  <si>
    <t>Request to switch the ALL IT DEVICES( POS, BOS and MWS ) to normal power outlet due to Circuit breaker issue</t>
  </si>
  <si>
    <t>12/5 - Upon arrival coordinated with MOD
-Waited for MOD go signal due to peak customers
-As per MOD the POS B is shutting down randomly when using it
-Check POS B outlet; found no cord allowance, when trying to push the cashdrawer POS B will shutdown
-Switched POS B and POS B printer to normal outlet; good
-Test POS B; good, working , not shutting down even when cashdrawer is moved
-Went to BOH switched MWS to normal outlet; good
-Switched Meraki MX to normal outlet; good
-Checked available outlets; limited normal outlets, UPS outlets are more than normal outlets
-Advised MOD regarding the outlets; as per MOD his only concern is they can't use POS B
-Advised MOD that i need to check if BOS is connected to UPS or normal outlet since outlet in BOS area has no lables on it; negative, MOD don't want to test it now, as per MOD his concern is the POS B is shutting down randomly
-As per MOD he will create</t>
  </si>
  <si>
    <t xml:space="preserve">Reco facilities for circuit breaker  and wiring checking
</t>
  </si>
  <si>
    <t>Gerome Dasera</t>
  </si>
  <si>
    <t xml:space="preserve">FSBP00130258 </t>
  </si>
  <si>
    <t>SB572</t>
  </si>
  <si>
    <t>CHINESE GENERAL HOSPITAL</t>
  </si>
  <si>
    <t>PPM83899</t>
  </si>
  <si>
    <t>POS A Printer - Loose Cover / Lock</t>
  </si>
  <si>
    <t>11/16 VEI- Upon checking the printer hook lock is broken
12/5 - Upon arrival, coordinated with the MOD regarding the deployment of the replacement printer for POS A.
- Verified the old printer condition; confirmed cover/lock issue due to broken hook, causing intermittent printing operation.
- Checked the existing POS A printer onsite and confirmed the cover/lock issue caused by a broken hook, resulting in intermittent printing operation.
- Safely disconnected the old POS A printer and removed all attached cables and peripherals.
- Installed the Service Unit (SU) replacement printer and ensured proper seating of power and communication cables.
- Loaded thermal paper and verified printer status LED was normal.
- Performed test print to confirm printer functionality and proper thermal head alignment.
- Configured printer settings in the POS application and ensured correct device mapping.
- Conducted transaction print test from POS A (receipt print) — all results successful.
- Cleaned work area and ensured old unit was properly prepared for store safe keep.
- Updated MOD regarding successful installation and confirmed printer fully operational.</t>
  </si>
  <si>
    <t>12/18 pull out printer 12/16 fixed by Heritage</t>
  </si>
  <si>
    <t>PPPB1347</t>
  </si>
  <si>
    <t>Lee Marlon</t>
  </si>
  <si>
    <t xml:space="preserve"> Kim Louis Desonia</t>
  </si>
  <si>
    <t>FSBP00131899</t>
  </si>
  <si>
    <t>SB112</t>
  </si>
  <si>
    <t>LEGASPI ST. CRISTINA CONDO</t>
  </si>
  <si>
    <t>60-11579</t>
  </si>
  <si>
    <t>POS A Drawer 1 - Hard to close and open the drawer</t>
  </si>
  <si>
    <t>12/6 - Upon arrival coordinate with MOD
- Found missing roller
- Waiting for parts
- Waiting to subside customer
- Install new till tray
- Pull out defective
- Observe
- Work done.</t>
  </si>
  <si>
    <t>Found missing roller - installed new till tray</t>
  </si>
  <si>
    <t>11:15 AM, 12:05 PM</t>
  </si>
  <si>
    <t>1:30 PM, 12:30 PM</t>
  </si>
  <si>
    <t xml:space="preserve"> Michael Escuadra</t>
  </si>
  <si>
    <t>FSBP00131399</t>
  </si>
  <si>
    <t>PPM83755</t>
  </si>
  <si>
    <t>PRINTER REPLACEMENT and PULL OUT OF SU (relatd ticket FSBP00131399)</t>
  </si>
  <si>
    <t xml:space="preserve">12/6 - Upon arrival coordinate to MOD
- Pause time due to many customers
- Proceed to replace printer
- PASI config printer
- Test print
- Pull out SU PRINTER (BIXOLON) and Defective (POSIFLEX) printer and replace with new
- Check by MOD; approved
- Work done
</t>
  </si>
  <si>
    <t xml:space="preserve">replaced to posiflex printer - pull out defective &amp; SU Bixolon printer 12/6 </t>
  </si>
  <si>
    <t>PPPB1236</t>
  </si>
  <si>
    <t>Pau Pelaez</t>
  </si>
  <si>
    <t>12/4 Upon arrival coordinated with MOD regarding of the POS B Printer with no power
- Checking  the POS B Printer power; working
New Problem Encounter:
- Upon checking POS B printer, printer cannot dispense receipt
- Checking printer through OPOS check health: Test OK
- Checking the POS B Printer; receipt cannot dispense
- Checking hooks in both ends; no issue
- Test print again; same issue receipt cannot dispense
- When trying to close the paper cover; right side of the paper cover clicks sound when it closes but the left side does not.
- Testing forcefully push the paper cover (one hand); cannot dispense
- Testing forcefully push the paper cover (both hands); can dispense
12/6 - Upon arrival, coordinated with MOD regarding the installation of the SU printer.
- Waited customers to subside.
- Proceeded replacement of the service unit.
- Install drivers and test health thru OPOS, test health good.
- Approved by MOD good and working thru LSNAV test print.
- Observed no error encountered.
- Informed MOD that the printer is for service unit only.
- Endorsed and keep safe posiflex printer to MOD for onsite repair of heritage.</t>
  </si>
  <si>
    <t>deployed SU printer (Posiflex) 12/6 - Defective printer for Heritage checking/repair</t>
  </si>
  <si>
    <t>PPPB1327</t>
  </si>
  <si>
    <t>Anghelo Esguerra</t>
  </si>
  <si>
    <t>FSBP00131976</t>
  </si>
  <si>
    <t>SB574</t>
  </si>
  <si>
    <t>DAMOSA IT PARK</t>
  </si>
  <si>
    <t>0KHJHNQT700015Z</t>
  </si>
  <si>
    <t>DT Menu B- Disconnected</t>
  </si>
  <si>
    <t xml:space="preserve">12/6 - Upon arrival, coordinate MOD  
- Wait for the call from the MOD before we proceed
- Check all cables
- Check power outlet found out UPS power off
- Power on UPS menu is power on
- Check in dashboard DT Menu is online
- Perform ping test
- DT Menu B is now working
</t>
  </si>
  <si>
    <t>Power on UPS</t>
  </si>
  <si>
    <t>Renfred Palanca</t>
  </si>
  <si>
    <t>FSBP00131890</t>
  </si>
  <si>
    <t>CYBBHMKA25080016</t>
  </si>
  <si>
    <t>DT Labeler- Not all food orders for DT not proceeding or pushing thru in the labeler instead it's printing in the DTR POS receipt.</t>
  </si>
  <si>
    <t xml:space="preserve">12/7 -Upon arrival, coordinated with the MOD regarding the DT Labeler issue.
-Checked the DT Pastry Printer and the CBS Bixolon Printer.
-PASI support remotely accessed and configured the CBS printer.
-Sir Aaron Barroga remotely accessed POS D and configured the DT Pastry Bixolon Printer.
-L2 tested the Bixolon printer via POS D, updated the IP address, and performed reset and reboot procedures.
-After all configurations on the Bixolon printers, all units were confirmed working properly.
-Ticket closed.
</t>
  </si>
  <si>
    <t xml:space="preserve">System and printer operations restored to normal functionality.
</t>
  </si>
  <si>
    <t>Cali Briones</t>
  </si>
  <si>
    <t>FSBP00132045</t>
  </si>
  <si>
    <t xml:space="preserve"> PIONEER CENTRE - PASIG</t>
  </si>
  <si>
    <t xml:space="preserve">HA1LF2DK </t>
  </si>
  <si>
    <t>Store tablet- Has been factory reset</t>
  </si>
  <si>
    <t xml:space="preserve">12/7 -Upon arrival, coordinated with the MOD regarding the issue.
-Performed full device setup after factory reset.
-Logged in using the Gmail/account credentials and attempted setup using the new account.
-Proceeded with installation and testing of required applications.
-Revoke email access, signed out of MWS, and logged in using SCAN credentials.
-Verified that all applications and functions were working properly.
-Work completed.
</t>
  </si>
  <si>
    <t xml:space="preserve">Performed full device setup after factory reset.
</t>
  </si>
  <si>
    <t>Jaqui Blanca</t>
  </si>
  <si>
    <t>FSBP00132043</t>
  </si>
  <si>
    <t>41-MD804</t>
  </si>
  <si>
    <t>POS B — Keeps on shutting down while in use</t>
  </si>
  <si>
    <t>12/7 Coordinate reported  issue to Partners
- Confirmed store code
- Check device, upon checking found out that power cord is loosen
- Tighten power cord, restart machine and conduct testing with partners
- NAV, Printer are now working properly, monitor for 30 minutes</t>
  </si>
  <si>
    <t>Tighten power cord</t>
  </si>
  <si>
    <t>Alvin Corpuz</t>
  </si>
  <si>
    <t>FSBP00132133</t>
  </si>
  <si>
    <t xml:space="preserve"> CYBERPARK TOWER 1 </t>
  </si>
  <si>
    <t xml:space="preserve"> PP050156</t>
  </si>
  <si>
    <t>POS A printer - not printing receipts</t>
  </si>
  <si>
    <t>12/7 Upon arrival coordinated with MOD
-Check POS A printer; found broken printer hook, can't print
-Coordinated with asset for printer replacement
-Waited for the delivery
-Received the replacement printer
-Setup the printer for POS A; good
-Installed the latest driver; good
-Test print; good
-Reprint receipt; good
-Work done</t>
  </si>
  <si>
    <t>PPPB1313</t>
  </si>
  <si>
    <t>PP050156</t>
  </si>
  <si>
    <t>MOD Marlon</t>
  </si>
  <si>
    <t>Francis Sevilla III</t>
  </si>
  <si>
    <t xml:space="preserve">FSBP00132338 </t>
  </si>
  <si>
    <t>PULL OUT OF SU PRINTER (RELATED TICKET FSBP00131687)</t>
  </si>
  <si>
    <t xml:space="preserve">12/7 -Replaced Bixolon Thermal Printer with Posiflex Thermal Printer.
-PASI performed remote NAV setup.
-Conducted test print transactions.
-MOD confirmed the printer is working properly.
</t>
  </si>
  <si>
    <t xml:space="preserve">Replace Bixolon Thermal Printer with Posiflex Thermal Printer
</t>
  </si>
  <si>
    <t>FSBP00132087</t>
  </si>
  <si>
    <t>A20TIO24</t>
  </si>
  <si>
    <t>5D10Z27865</t>
  </si>
  <si>
    <t>unable to access MWS</t>
  </si>
  <si>
    <t>12/8 Upon arrival coordinated with MOD
-Check MWS, no display
-Unplug cables and plug, garbage display
-Resocket Mini pc, MWS working</t>
  </si>
  <si>
    <t>Resocket Mini pc</t>
  </si>
  <si>
    <t>Tech Support</t>
  </si>
  <si>
    <t xml:space="preserve"> Kimberly Galve</t>
  </si>
  <si>
    <t xml:space="preserve"> FSBP00132094</t>
  </si>
  <si>
    <t>41NZ310</t>
  </si>
  <si>
    <t>POS A error: Could not connect to the server</t>
  </si>
  <si>
    <t>12/8 upon arrival, coordinate to MOD regarding the issue, for POS A. L2 perform check POS A connection RTO. L2 conducts a recrimp lan cable to POS A, and checks if it's already 1GB. Ping POS A and POS B, all up no RTO encountered...ping also all SSID to MWS PC. Ticket Close.
L2 perform check POS A connection
-Recrimp lan cable to POS A
-Ping all SSID to MWS
-MOD witness the POS A connection is working and no RTO error</t>
  </si>
  <si>
    <t>recrimp cable</t>
  </si>
  <si>
    <t>Albert Flores</t>
  </si>
  <si>
    <t>FSBP00131973</t>
  </si>
  <si>
    <t xml:space="preserve"> RT-6016G2</t>
  </si>
  <si>
    <t>RTO51801</t>
  </si>
  <si>
    <t>POS D- Lagging every noon and afternoon with on a daily occurrence</t>
  </si>
  <si>
    <t>12/8 Upon arrival coordinate to mod
-as per mod wait until no transaction in drive thru
-check pos d, ping bos to pos d , intermittent
-try to recrimp
-crimp done
-test ping
-no intermittent
-observe
-work done</t>
  </si>
  <si>
    <t>recrimp cat6</t>
  </si>
  <si>
    <t>Aira Cater</t>
  </si>
  <si>
    <t xml:space="preserve"> FSBP00132042</t>
  </si>
  <si>
    <t>PPM83942</t>
  </si>
  <si>
    <t xml:space="preserve">POS D Printer- No printing receipt, when clicking "print copy" button nothing happens </t>
  </si>
  <si>
    <t>12/8 - Coordinated with the MOD
- Waiting for permission to proceed.
- Confirmed printer unable to print.
- Found printer broken hook.
- Waited for S.U. thermal printer delivery.
- Installed S.U. thermal printer.
- Conducted testing through OPOS and NAV, results are ok
- Endorsed defective printer for safekeeping and repair of Heritage.</t>
  </si>
  <si>
    <t>Installed S.U. thermal printer (POSIFLEX)</t>
  </si>
  <si>
    <t>PPPB1309</t>
  </si>
  <si>
    <t>10:20 AM, 10:58 AM, 1:32 PM</t>
  </si>
  <si>
    <t>10:40 AM, 1:31 PM, 2:15 PM</t>
  </si>
  <si>
    <t>Francely Tabing</t>
  </si>
  <si>
    <t xml:space="preserve"> FSBP00132103</t>
  </si>
  <si>
    <t>M10HD</t>
  </si>
  <si>
    <t>HVA1N4Q1</t>
  </si>
  <si>
    <t>Store Tablet - Reset to default Setting</t>
  </si>
  <si>
    <t>12/8 Upon arrival coordinate with MOD
- Proceed to reset tablet
- Set-up tablet; enter given email, Scan the qr code
- Set-up all apps; QR scanner,RCOC learning,files, one drive, quick support
- Set-up authenticator; test by MOD witness that authenticator is properly working
Reset tablet
- Set-up tablet
- Set-up all applications
- Test authenticator by MOD; approved</t>
  </si>
  <si>
    <t xml:space="preserve"> Kevin Reyes</t>
  </si>
  <si>
    <t>FSBP00132107</t>
  </si>
  <si>
    <t>PP050350</t>
  </si>
  <si>
    <t xml:space="preserve"> POS D - DT THERMAL PRINTER - Won't print</t>
  </si>
  <si>
    <t xml:space="preserve">12/8 - Coordinated with the MOD
- Waited for permission to start.
- Checked pos D printer, hook not broken but grinded.
- Pressed printer cover while printing but still not feeding paper.
- Only gear sound can be heard while printing.
- Waited for S.U. thermal printer delivery.
- Installed S.U. thermal printer.
- Conducted testing through OPOS and NAV, results are ok.
- Endorsed defective printer for safekeeping for repair of Heritage.
</t>
  </si>
  <si>
    <t>12/14 Pull out SU 12/16 Fixed by Heritage</t>
  </si>
  <si>
    <t>PPPB1322</t>
  </si>
  <si>
    <t>12:40 PM, 1:20 PM</t>
  </si>
  <si>
    <t>1:10 PM, 3:30 PM</t>
  </si>
  <si>
    <t>FSBP00132093</t>
  </si>
  <si>
    <t>PC0D6YYQ</t>
  </si>
  <si>
    <t>BOS - POS A and POS B - Slow processing and printing of receipts</t>
  </si>
  <si>
    <t>12/8 - Upon arrival coordinate to MOD
- Check the Memory usage 100%
- Check network connectivity 100MBPS
- Re-crimp Data Lan Cable same issue
- Pause time due to high volume of customers
- Replaced Lan Cable issue was resolved
- Cross checked c/o PASI Support
- Cross checked c/o Bryan Baniqued
- No other issues
- Work Done</t>
  </si>
  <si>
    <t>Replaced Lan Cable</t>
  </si>
  <si>
    <t>Justine Zaleta</t>
  </si>
  <si>
    <t>FSBP00132112</t>
  </si>
  <si>
    <t xml:space="preserve"> POS D Thermal Printer Won't lock Properly, and the receipt is not pushing out on the printer</t>
  </si>
  <si>
    <t>12/8 - Coordinated with the MOD.
- Checked the reported POS D printer.
- Found broken hook.
- Wait for replacement.
- Wait till no customer in drive thru.
- Installed S.U. printer.
- Conducted testing through OPOS and NAV, results are good.
- Endorsed defective printer for safekeeping and repair of Heritage.</t>
  </si>
  <si>
    <t>PPPB1311</t>
  </si>
  <si>
    <t>Carl Ocampo</t>
  </si>
  <si>
    <t>FSBP00132128</t>
  </si>
  <si>
    <t>KS-7512p</t>
  </si>
  <si>
    <t>KSHC0055</t>
  </si>
  <si>
    <t>12/8 Upon checking of POS D, it encounters no service tier error
- Found 100mbps network speed and random RTO
- Reseat lan cable; issue still persist
- Recrimp LAN cable; ok 1GBPS and no RTO occurred
- Verify to MOD
- Workdone</t>
  </si>
  <si>
    <t>Recrimp Lan cable of POS D</t>
  </si>
  <si>
    <t>Felix Calendatas</t>
  </si>
  <si>
    <t>FSBP00132130</t>
  </si>
  <si>
    <t>POS B: R2 Cash Drawer not opening automatically</t>
  </si>
  <si>
    <t xml:space="preserve">12/9 - Coordinate with partners and confirm store code, ok
- Check device, upon check R2 is working via Opos Manager
- Advise partner to used R2 Drawer for monitoring 
- Ok; tested by partner and confirm by MOD
</t>
  </si>
  <si>
    <t>Kay Lagmay</t>
  </si>
  <si>
    <t>FSBP00132674</t>
  </si>
  <si>
    <t>BOS, ALL POS</t>
  </si>
  <si>
    <t>BOS — All POS unable to open LSNAV</t>
  </si>
  <si>
    <t xml:space="preserve">12/9 - Upon arrival store is up; working both POS
- Ping test all machine; good
- Test both POS; Good, but POS B touch screen malfunctioning
- All connectivity is good.
- Observe for 30mins; good.
</t>
  </si>
  <si>
    <t>Check possible causes of malfunction</t>
  </si>
  <si>
    <t>Niko Acilo</t>
  </si>
  <si>
    <t>FSBP00123975</t>
  </si>
  <si>
    <t>T201</t>
  </si>
  <si>
    <t xml:space="preserve"> PPPB1348</t>
  </si>
  <si>
    <t xml:space="preserve">Store landline - broken wire (provided not yet specified)
</t>
  </si>
  <si>
    <t xml:space="preserve">12/9 Upon arrival, coordinated with the MOD regarding the reported store landline issue.
-Inspected the landline cable and confirmed that the wire was loose/broken, causing intermittent or no dial tone.
-Performed physical tracing of the cable from the landline handset to the wall port.
-Verified that the problem originated from the cable termination.
Re-crimped the landline cable end to end to ensure proper pin alignment and solid contact.
-Conducted continuity testing and verified that all pins were lighting correctly.
-After re-crimping, tested the landline unit—confirmed dial tone present and calls working normally.
-Updated MOD regarding the successful restoration of the store landline.
</t>
  </si>
  <si>
    <t xml:space="preserve"> End to End cable landline re-crimp</t>
  </si>
  <si>
    <t>Jhoper Esguirre</t>
  </si>
  <si>
    <t>FSBP00131921</t>
  </si>
  <si>
    <t>PC2HLW9M</t>
  </si>
  <si>
    <t>Microsoft Outlook: Can't reach this page</t>
  </si>
  <si>
    <t>12/9 - Upon arrival coordinated with MOD
- Check MWS; connected to the internet
- Tried opening Microsoft Outlook; not loading, showing "DITO run out of data" every time i open websites on chrome
- Tried different browser; same outcome
- Check network adapter settings; good, 1.0Gbps connection
- Check if I can remote BOS; good
- Test opening websites using BOS; same outcome, can't open any website
- Check BOS network adapter settings; good, 1.0Gbps connection
- Ping 8.8.8.8 from MWS; good, stable and pingable
- Ping BOS from MWS; good, stable and pingable
- Coordinated with sir Bryan regarding the issue
- Performed standalone test on WAN 1; can't open speedtest or any websites
- Check POS; good, both POS A and POS B can do transactions even if I remove WAN 1 or WAN 2
- Reseat WAN 1; still can't search any websites
- Unplug WAN 1; still can't search any websites, both POS can still do transactions
- Plug back WAN 1
- Unplug WAN 2; still can't search any websites, both POS can still do transactions
- Asked MOD for permission to restart the MWS; good, still can't search any websites after restarting MWS
- Asked MOD for permission to restart Meraki MX advised by sir Bryan; good, MOD allowed
- Waited for Meraki MX to load
- Still can't search any websites after restarting Meraki MX; as per sir Bryan, Trends will check what the problem with the internet is
- Work done</t>
  </si>
  <si>
    <t>For checking of proper vendor, Per RCOC Bryan Trends will check the issue.</t>
  </si>
  <si>
    <t>Ejay Buenviaje</t>
  </si>
  <si>
    <t>FSBP00132179</t>
  </si>
  <si>
    <t>POS A - Touchscreen Unresponsive</t>
  </si>
  <si>
    <t xml:space="preserve">12/9 - Coordinate with MOD
- Upon arrival, POS A touch screen unresponsive.
- Try to restart POS multiple times; same problem.
- Tried to reseat POS Panel; same problem.
- Coordinate with the team; for parts replacement
- Awaiting parts delivery 
- Proceeded to replace new POS Display.
- Tested POS touchscreen; okay.
- Pull out defective POS Display
- Work done.
</t>
  </si>
  <si>
    <t>POS Display Replacement</t>
  </si>
  <si>
    <t>POS Display</t>
  </si>
  <si>
    <t>LCDM90214</t>
  </si>
  <si>
    <t>LCDIB1942</t>
  </si>
  <si>
    <t>Jonalyn Rabino</t>
  </si>
  <si>
    <t xml:space="preserve">FSBP00132190 </t>
  </si>
  <si>
    <t>SUMULONG HIGHWAY DTE</t>
  </si>
  <si>
    <t>POS A Printer, ALL POS</t>
  </si>
  <si>
    <t xml:space="preserve">PP7600X-TB </t>
  </si>
  <si>
    <t>PP050141</t>
  </si>
  <si>
    <t>POS A Printer - Incomplete Print Out</t>
  </si>
  <si>
    <t>12/9 confirm under cerv
12/9 - Upon arrival coordinate with MOD
- Proceed to check printer; upon checking found broken hook
- Replace with a Posiflex 7900 model as Service Unit
- Install OPOS latest drivers
- Witness and test by MOD
- Endorse defective printer to MOD</t>
  </si>
  <si>
    <t xml:space="preserve"> Installed service unit printer (POSIFLEX)</t>
  </si>
  <si>
    <t>PPPB1325</t>
  </si>
  <si>
    <t>Louie Daya</t>
  </si>
  <si>
    <t>FSBP00132186</t>
  </si>
  <si>
    <t>KSJA0837</t>
  </si>
  <si>
    <t>POS B — Touchscreen not responding</t>
  </si>
  <si>
    <t>12/9 - Upon arrival check POS B; touch not working
- Try to plug keyboard; working keyboard
- Restart POS; now working touch screen
- Restart again; working touch
- Pry open POS B and resocket/clean Touch cable inside
- Observe POS B; touch problem did not reoccur
- Test by MOD; good.
- Observe for 1.5hrs; good.</t>
  </si>
  <si>
    <t>Resocket Touch cable</t>
  </si>
  <si>
    <t>11:05 AM, 1:30 PM</t>
  </si>
  <si>
    <t>FSBP00132199</t>
  </si>
  <si>
    <t>POS B Printer - Cut Print Out (For replacement)</t>
  </si>
  <si>
    <t>12/9 - Upon arrival, coordinated with the MOD regarding the POS B printer check.
- Verified that the previously deployed service unit printer is now also defective, with print cut-out issue.
- Proceeded with the replacement.
- Updated the printer driver.
- Tested the new printer (self-print, OPOS, and LS NAV); all working.
- Informed the MOD for verification.
- Endorse to MOD the 2 defective printers
- Advice MOD that the defective printers are for repair
- Work completed.</t>
  </si>
  <si>
    <t>Installed another service unit printer (2 defective printers endorsed for Heritage repair) (POSIFLEX)</t>
  </si>
  <si>
    <t>PPPB1329</t>
  </si>
  <si>
    <t>Kat Umali</t>
  </si>
  <si>
    <t xml:space="preserve">FSBP00132331 </t>
  </si>
  <si>
    <t xml:space="preserve"> Screen 2 Digital Menu Board Disconnected</t>
  </si>
  <si>
    <t>12/9 - Upon arrival coor to MOD
- Proceed checking DMB wifi connection
- Confirmed; disconnected to komodo
- Tried manually setting up IP; same issue
- Coordinate to Sir Vince and Sir Dane - factory reset DMB
- Proceed factory reset; komodo dragon now visible and connected
- Setup DMB
- Checked by Sir Vince and MOD; approved
- Work done</t>
  </si>
  <si>
    <t>factory reset DMB and manually setup IP</t>
  </si>
  <si>
    <t>FSBP00132143</t>
  </si>
  <si>
    <t xml:space="preserve"> 32ND AND 7TH - BONIFACIO GLOBAL CITY</t>
  </si>
  <si>
    <t>PPL31278</t>
  </si>
  <si>
    <t>POS D: Printer won't print</t>
  </si>
  <si>
    <t>12/9 - Coordinate with MOD
- Verified the reported unit
- POS printer is declared CID as per VEI
- Replace unit with Service Unit
- Setup printer
- Test Printer with MOD
- POS D Printer is up &amp; working</t>
  </si>
  <si>
    <t>12/12 Fixed exisitng printer by Heritage, pull out SU</t>
  </si>
  <si>
    <t>PPPB1323</t>
  </si>
  <si>
    <t>Lhoi Badezar</t>
  </si>
  <si>
    <t>FSBP00132197</t>
  </si>
  <si>
    <t>PP050163</t>
  </si>
  <si>
    <t>POS B Printer - Won't Print (On POS A area)</t>
  </si>
  <si>
    <t>12/9 - Upon arrival coordinate MOD
- Checked POS B printer; found printer roller not feeding paper
- Coordinate with the team for SU deployment
- Installed service unit printer
- Tested and approved by partners</t>
  </si>
  <si>
    <t>12/14 Pull out SU 12/12 Repair by Heritage</t>
  </si>
  <si>
    <t>PPPB1374</t>
  </si>
  <si>
    <t>Sonny Audal</t>
  </si>
  <si>
    <t>FSBP00132208</t>
  </si>
  <si>
    <t>17322B0243</t>
  </si>
  <si>
    <t xml:space="preserve"> POS D Barcode Scanner - Intermittent unable to scan</t>
  </si>
  <si>
    <t>12/9 Upon arrival coordinate with MOD
- Proceed to check scanner; upon checking when i lift up the scanner it goes off
- Proceed to replace scanner;
- Pull out defective scanner
- Test and witness by MOD</t>
  </si>
  <si>
    <t>Replace scanner</t>
  </si>
  <si>
    <t>POSIFLEX/CDNBI804</t>
  </si>
  <si>
    <t>HONEYWELL/ 17322B0243</t>
  </si>
  <si>
    <t xml:space="preserve"> FSBP00131994 </t>
  </si>
  <si>
    <t>41PV943</t>
  </si>
  <si>
    <t>POS B - Auto exit on NAV (to be confirmed)</t>
  </si>
  <si>
    <t>12/9 - Upon arrival coordinate MOD
- POS B has no power; as per MOD there was a power shortage earlier.
- Proceed checking outlet using multi-tester; confirmed negative power supply.
- Unplug and plug into another outlet only one gang available in the POS B shelves
- POS B has power up and coordinate with team and PASI
- As per PASI, POS B is working normally 
- Outlets for maya printer and grab device on the shelves have no power
- Same issue with POS A- Reco to Facilities for checking outlets on both shelves
- Work done</t>
  </si>
  <si>
    <t>Transfer to another outlet to power-up POS B device; other outlets no power reco to Facilities for checking.</t>
  </si>
  <si>
    <t>Patricia Baldos</t>
  </si>
  <si>
    <t xml:space="preserve">FSBP00132244 </t>
  </si>
  <si>
    <t>2QQQ874</t>
  </si>
  <si>
    <t>BOS 100MBPS PORT SPEED</t>
  </si>
  <si>
    <t>12/9 - Upon arrival coordinated with MOD
- Check BOS; found 100Mbps connection only
- Asked MOD for permission to troubleshoot the BOS, advised MOD for 5 - 8 mins down time; as per MOD can't have downtime due to customers
- Wait for MOD go signal
- As per MOD they can't afford to have downtime due to customers
- Tried asking MOD for 1 minute downtime; good, MOD agreed
- Tighten and reseat end to end LAN cable of BOS; good
- Check BOS connection; good, 1.0Gbps
- Observed for a while
- Work done</t>
  </si>
  <si>
    <t>Tighten and reseat end to end LAN cable of BOS</t>
  </si>
  <si>
    <t xml:space="preserve">FSBP00131836 </t>
  </si>
  <si>
    <t xml:space="preserve"> PC0JRPS2</t>
  </si>
  <si>
    <t>BOS - all POS slow printing of receipts for all transactions takes 2-3minutes</t>
  </si>
  <si>
    <t>12/9 Upon arrival coordinate to MOD
- proceed to check BOS hdd health and connection ; 100% hdd health and 1gbps speed
- pause time due to many customer can't check both pos
- proceed to check both pos
- upon checking both POS A and POS B ; Hdd health still good 100%
- Checked both POS A and POS B connection speed ; POS A at 100 mbps proceed to recrimp
- verify to mod ; approved
- work done</t>
  </si>
  <si>
    <t>recrimp lan cable of POS A from 100mbps to 1gbps</t>
  </si>
  <si>
    <t>RCOC Marvin</t>
  </si>
  <si>
    <t xml:space="preserve"> Kelly Aira Lusabia</t>
  </si>
  <si>
    <t xml:space="preserve">12/10 -Delivered the defective printer; received by MOD Yrs De Guia.
-Explained to MOD that the installed printer is a service unit, and the defective unit will be checked and repaired by Heritage.
-Proper tagging placed on both printers.
</t>
  </si>
  <si>
    <t xml:space="preserve">Delivered the defective printer; received by MOD Yrs De Guia.
</t>
  </si>
  <si>
    <t>Yrs De Guia</t>
  </si>
  <si>
    <t xml:space="preserve"> FSBP00126582 </t>
  </si>
  <si>
    <t xml:space="preserve"> TIMES PLAZA UN AVE</t>
  </si>
  <si>
    <t>HP Elite Desk</t>
  </si>
  <si>
    <t>GLRBY64</t>
  </si>
  <si>
    <t>BOS is powered off, causing both POS error: No Service Tier Available.</t>
  </si>
  <si>
    <t>12/10 upon arrival found MOD , coordinate the the ticket
- Go signal received then start isolation, found no ping connection both BOS &amp; POS A &amp; B in MWS
- reset and restart all connection in BOS, MX MERAKI, Switch hub and POS found ok after both normally
- test MOD all device while observing
- Done testing found ok and working normally</t>
  </si>
  <si>
    <t xml:space="preserve">reset and restart all connection </t>
  </si>
  <si>
    <t>Jz Gomaraw</t>
  </si>
  <si>
    <t>FSBP00132326</t>
  </si>
  <si>
    <t>PPM92036</t>
  </si>
  <si>
    <t>POS B Printer - wont print/broken hook</t>
  </si>
  <si>
    <t xml:space="preserve">12/10 -Upon arrival, coordinated with MOD.
-Checked the printer and found a broken hook.
-Waited for parts to arrive.
-Replaced the printer.
-Installed the latest drivers.
-Conducted testing; witnessed by MOD.
-Endorsed defective printer to MOD for safekeeping.
</t>
  </si>
  <si>
    <t xml:space="preserve">Deployed SU Printer. Endorsed defective printer to MOD for checking/repair of heritage. (POSIFLEX)
</t>
  </si>
  <si>
    <t>PPPB1371</t>
  </si>
  <si>
    <t>PP040048</t>
  </si>
  <si>
    <t>SB BERT</t>
  </si>
  <si>
    <t>Jennifer Labingpuno</t>
  </si>
  <si>
    <t>FSBP00132512</t>
  </si>
  <si>
    <t>SB649</t>
  </si>
  <si>
    <t>PARK TRIANGLE MALL</t>
  </si>
  <si>
    <t>Request DIA/Broadband Facility Check</t>
  </si>
  <si>
    <t>12/11 coordinate with eastern communication
-coordinate with mod about actvty
-endorse exit conduit of foc with eastern together with there respective installation contractor
-eastern fe will coordinate with mall for propose plan
-done with the site visit</t>
  </si>
  <si>
    <t xml:space="preserve">successful JV </t>
  </si>
  <si>
    <t>Neri Cortes</t>
  </si>
  <si>
    <t>FSBP00132275</t>
  </si>
  <si>
    <t>0KHJHNQWB00045E</t>
  </si>
  <si>
    <t>DT Menu B monitored disconnected</t>
  </si>
  <si>
    <t>12/11 Upon arrival coordinate to mod
-check DT menu B
-UPS have smell eletricty and have steaming
-UPS is swollen in upper part
-shutdown UPS
-direct DT Menu B in outlet
- reco for ITI check UPS
- ping all DT menu goods
- check dashboard
-work done</t>
  </si>
  <si>
    <t>direct Menu B to outlet , power off UPS</t>
  </si>
  <si>
    <t>Diana Papa</t>
  </si>
  <si>
    <t xml:space="preserve">FSBP00132392 </t>
  </si>
  <si>
    <t>PC03XJ7K</t>
  </si>
  <si>
    <t>MWS connectivity checking- 100mbps only</t>
  </si>
  <si>
    <t>12/11 Coordinated with the MOD.
- Checked the RJ45, only 4 wires and 4 pins are visible.
- Cut the end to confirm if only 4 wires are available in the LAN cable.
- Confirmed substandard LAN cable is the root cause of 100 mbps, only 4 wires are inside the LAN cable.
- Tried to crimp, issues still persist.
- Installed a new cat 6 LAN cable.
- Connection speed is now at 1gbps.</t>
  </si>
  <si>
    <t>Replaced LAN cable</t>
  </si>
  <si>
    <t>JP Idquival</t>
  </si>
  <si>
    <t>FSBP00132413</t>
  </si>
  <si>
    <t>HP elitedesk 800</t>
  </si>
  <si>
    <t>4CE02816ZX</t>
  </si>
  <si>
    <t>BOS and Switch connectivity</t>
  </si>
  <si>
    <t>12/11 Upon arrival coordinate to mod
-As per mod need  to wait until few costumer
-Pause time
-wait  till few costumer
-replace patch cable bos and meraki mx to 24 switch
-check if 1gbps in bos, goods
-pause time wait for checking dashboard in rcoc, goods
-observed
-work done</t>
  </si>
  <si>
    <t>replace patch cable in bos and in meraki mx to 24 switch</t>
  </si>
  <si>
    <t>Maila Suva</t>
  </si>
  <si>
    <t xml:space="preserve">FSBP00132426 </t>
  </si>
  <si>
    <t>PPL31242</t>
  </si>
  <si>
    <t xml:space="preserve"> POS B printer is experiencing buffering</t>
  </si>
  <si>
    <t xml:space="preserve">12/11 -Upon arrival, inspected POS B printer; no broken hooks or gears found; cleaned internal components — issue persisted
-Performed self-test print
-Coordinated with TSG (Sir Rico &amp; Brent)
-Coordinated with Asset Team for parts; awaiting parts
-Attempted to isolate defective printer by replacing printer board — issue persisted
-Deployed SU printer for POS B
-Installed OPOS drivers and conducted test print — OK
-Endorsed defective POS B printer to MOD
-Work completed
</t>
  </si>
  <si>
    <t>POS B now using SU printer. Defective printer recommended for forwarding to Heritage
(POSIFLEX)</t>
  </si>
  <si>
    <t>PPPB1373</t>
  </si>
  <si>
    <t xml:space="preserve"> PPL31242</t>
  </si>
  <si>
    <t>Zesca Agulto</t>
  </si>
  <si>
    <t>FSBP00132424</t>
  </si>
  <si>
    <t>HA1RE62P</t>
  </si>
  <si>
    <t xml:space="preserve">12/11 -Coordinated with MOD to check the store tablet
-Confirmed the tablet was reset to default settings
-Performed full setup of the tablet
-Installed required applications
-Set up Authenticator app — OK
-Verified functionality with MOD
-Work completed
</t>
  </si>
  <si>
    <t xml:space="preserve">Store tablet successfully set up and restored for use
</t>
  </si>
  <si>
    <t>Mary Asa</t>
  </si>
  <si>
    <t>FSBP00132513</t>
  </si>
  <si>
    <t xml:space="preserve"> HA1QG9ZR</t>
  </si>
  <si>
    <t xml:space="preserve">FSBP00131942 </t>
  </si>
  <si>
    <t xml:space="preserve"> AXIS ENTERTAINMENT AVE-ESCARIO-CEBU</t>
  </si>
  <si>
    <t>Set up Printer</t>
  </si>
  <si>
    <t>PP0C0200</t>
  </si>
  <si>
    <t>Transfer of 1 Bixolon printer to pos area with an affected POSIFLEX printer</t>
  </si>
  <si>
    <t xml:space="preserve">12/11 -Coordinated with MOD upon arrival
-Verified reported concern regarding the printer
-Identified POS A printer as defective
-Coordinated with TSG for proper resolution
-Checked unused Bixolon printer located in the pastry area
-Transferred one unused Bixolon printer to POS A
-Installed required drivers
-Performed health check; conducted dispense print test
-Coordinated with PASI Support for reconfiguration
-Tested service unit Bixolon printer with MOD — approved
-Confirmed defective printer is under warranty (valid until May 2, 2025)
-Endorsed defective Posiflex printer to MOD for safekeeping
-Advised MOD that printer is for repair by proper vendors
-Requested MOD to observe functionality
-Observed unit for 15 minutes
-Work completed
</t>
  </si>
  <si>
    <t xml:space="preserve">Unused Bixolon printer transferred and used as temporary service unit
</t>
  </si>
  <si>
    <t>RCOC POW</t>
  </si>
  <si>
    <t>Rey Lawrence Chu</t>
  </si>
  <si>
    <t>Jochen Racaza</t>
  </si>
  <si>
    <t>FSBP00132319</t>
  </si>
  <si>
    <t xml:space="preserve"> GREENHILLS THEATER</t>
  </si>
  <si>
    <t>41384ZB</t>
  </si>
  <si>
    <t xml:space="preserve">12/11 -Coordinated with the MOD upon arrival regarding the reported POS A printer issue.
-Verified onsite and confirmed that the POS A printer was unable to print.
-Inspected the printer assembly and found the printer cover hook broken, causing the cover to remain loose and preventing proper thermal head contact.
-Attempted a temporary workaround by securing the printer cover with a rubber band; however, proper alignment could not be maintained and printing still failed.
-Checked printer status indicators and confirmed persistent cover-open errors.
-Performed basic testing including:
*Reseating printer cables
*Verifying thermal paper loading
*Checking printer power
*Issue persisted due to mechanical failure (broken latch).
-Informed and coordinated with MOD that the printer requires replacement since the temporary fix was not effective.
-Recommended immediate deployment of a replacement printer to restore POS operations.
-Prepared and documented the defective unit for store safekeeping.
</t>
  </si>
  <si>
    <t xml:space="preserve">Installed a Service Unit for the meantime.
</t>
  </si>
  <si>
    <t>PPPB1315</t>
  </si>
  <si>
    <t>PP040158</t>
  </si>
  <si>
    <t>Liza Orbito</t>
  </si>
  <si>
    <t>FSBP00132460</t>
  </si>
  <si>
    <t xml:space="preserve">15154B0710
</t>
  </si>
  <si>
    <t>POS A Scanner - Unresponsive/intermittent scan</t>
  </si>
  <si>
    <t>12/11 - Upon arrival, coordinated with the MOD regarding the reported POS A scanner issue (unresponsive/intermittent scanning).
- Verified onsite and performed functional testing using loyalty card / test barcode.
- Observed that the scanner was able to read barcodes but intermittently failed to detect scans.
- Checked scanner LED indicator and beeper response; scanner powered normally but inconsistent scanning persisted.
- Inspected the physical condition of the unit; cable and connectors were worn but still intact.
- Reseated the scanner cable from both the POS terminal and the scanner side to ensure proper contact.
- Cleaned the scanner window to ensure no obstruction or dirt affecting the laser/imager.
- Conducted multiple scanning tests; issue still occurred intermittently.
- Updated MOD regarding findings — scanner is functional but unstable and no longer performing reliably.
- Advised MOD that the scanner can be used temporarily but is recommended for replacement as soon as possible.
- MOD requested replacement scanner
- Coordinated with Asset Team for replacement request due to intermittent performance and aging condition of the unit.
- Replaced POS A scanner
- Tested new scanner; working properly.
- Pull out defective POS A scanner.</t>
  </si>
  <si>
    <t>replaced POS A scanner</t>
  </si>
  <si>
    <t>15154B0710</t>
  </si>
  <si>
    <t>1513B1E5A</t>
  </si>
  <si>
    <t xml:space="preserve">FSBP00132216 </t>
  </si>
  <si>
    <t>SB565</t>
  </si>
  <si>
    <t>3786 MACARTHUR HIGHWAY SINDALAN</t>
  </si>
  <si>
    <t>PPM80527</t>
  </si>
  <si>
    <t>POS A Printer - Blurred Print Out</t>
  </si>
  <si>
    <t xml:space="preserve">12/12 -Coordinated with MOD upon arrival
-Checked the reported unit and confirmed:
*Broken hook
*Cutter assembly issue
-Inspected the defective Posiflex printer and confirmed:
*Cutter assembly severely damaged
*Printer door not functioning
-Deployed a Service Unit (SU) printer
-Installed and updated necessary drivers
-Performed testing through OPOS and NAV — SU printer working properly
-MOD confirmed successful printing
-Endorsed defective printer to MOD for safekeeping and Heritage repair
</t>
  </si>
  <si>
    <t>12/17 Pull out SU 12/16 Repair by Heritage</t>
  </si>
  <si>
    <t>PPPB1278</t>
  </si>
  <si>
    <t>Mark Jerald Patriarga</t>
  </si>
  <si>
    <t xml:space="preserve">FSBP00132168 </t>
  </si>
  <si>
    <t>SB616</t>
  </si>
  <si>
    <t>MAHARLIKA HIGHWAY CABANATUAN</t>
  </si>
  <si>
    <t>PPM83800</t>
  </si>
  <si>
    <t>POS D Printer - faded and unreadable receipts , texts are distorted and not printing clearly.</t>
  </si>
  <si>
    <t xml:space="preserve">12/12 -Coordinated with the MOD upon arrival
-Checked the reported unit and confirmed the issue
-Deployed a Service Unit (SU) printer
-Installed and updated necessary drivers
-Conducted testing via OPOS and NAV
-SU printer tested and working properly — confirmed by MOD
-Endorsed the defective printer to MOD for safekeeping and repair under Heritage
</t>
  </si>
  <si>
    <t>Deployed Service Unit (SU) printer (POSIFLEX)</t>
  </si>
  <si>
    <t>PPPB1280</t>
  </si>
  <si>
    <t>SD AIDA</t>
  </si>
  <si>
    <t xml:space="preserve">Angela Bonita Cruz </t>
  </si>
  <si>
    <t xml:space="preserve">FSBP00132676 </t>
  </si>
  <si>
    <t>SB408</t>
  </si>
  <si>
    <t>ALPHALAND SOUTHGATE MALL</t>
  </si>
  <si>
    <t>Globe Fiber Internet Activation Dec 12, 2025 10am - 5pm</t>
  </si>
  <si>
    <t xml:space="preserve">12/12 -Coordinated with the MOD upon arrival
-Performed standalone testing on the Globe Fiber line using the provided IP
-Standalone test results were good
-Reported test results to RCOC (Bryan)
-Configured connections: Globe as WAN 1 and PLDT as WAN 2
-Completed Globe Fiber activation — confirmed by RCOC Bryan
-Addressed RCOC Bryan’s request to check Port 11 due to a 100 Mbps link status
-Crimped end-to-end network cable to resolve the port issue
-Pulled out Smart LTE device as part of the upgrade
</t>
  </si>
  <si>
    <t xml:space="preserve">Globe Fiber activated and configured successfully
</t>
  </si>
  <si>
    <t>Eva Asaldo</t>
  </si>
  <si>
    <t>FSBP00132467</t>
  </si>
  <si>
    <t xml:space="preserve"> PAMPLONA 3 - LAS PIÑAS</t>
  </si>
  <si>
    <t>49688B</t>
  </si>
  <si>
    <t>POS B Printer - Unresponsive/intermittent print out</t>
  </si>
  <si>
    <t xml:space="preserve">12/12 -Upon arrival, POS B printer was operational
-MOD reported the issue occurred yesterday
-Waited for MOD’s permission to proceed with printer checking
-During observation, the issue reoccurred
-Removed the printer cover and adjusted the DC motor solenoid
-Cleaned internal printer components
-Performed multiple test prints via NAV reprint — printing output OK
-Conducted additional observation; issue did not reoccur
</t>
  </si>
  <si>
    <t xml:space="preserve">Adjusted DC motor solenoid
</t>
  </si>
  <si>
    <t>10:15 AM,  12:30 PM</t>
  </si>
  <si>
    <t>11:50 AM, 1:00 PM</t>
  </si>
  <si>
    <t>Jason Aspa</t>
  </si>
  <si>
    <t>FSBP00132491</t>
  </si>
  <si>
    <t>SB376</t>
  </si>
  <si>
    <t>UST CAR PARK</t>
  </si>
  <si>
    <t>PP040102</t>
  </si>
  <si>
    <t xml:space="preserve">12/12 -Coordinated with MOD upon arrival
-Identified printer board as defective
-Awaited parts for the defective unit
-Installed Service Unit (SU) printer as temporary replacement
-Performed multiple print tests — all successful and approved by MOD
-Endorsed defective printer to SV representative (Bruce Espeso)
-Heritage team scheduled to visit store for further repair
-Work completed
</t>
  </si>
  <si>
    <t>Bruce Espeso</t>
  </si>
  <si>
    <t>FSBP00132389</t>
  </si>
  <si>
    <t>CYBN8KA25070071</t>
  </si>
  <si>
    <t>DT CBS Labeler - No Power (Bixolon SRP-S300 with SN:CYBN8KA25070071)</t>
  </si>
  <si>
    <t xml:space="preserve">12/12 -Coordinated with MOD for CBS labeler checking
-Confirmed CBS unit had no power
-Found that the CBS labeler had no installed power cord
-Installed power cord — unit powered on successfully
-Performed feed test — OK
-Performed bar send test — OK
-Verified functionality with MOD
-Work completed
</t>
  </si>
  <si>
    <t xml:space="preserve">Installed missing power cord
</t>
  </si>
  <si>
    <t>6:19 PM, 7:01 PM</t>
  </si>
  <si>
    <t xml:space="preserve"> Anne Carreon</t>
  </si>
  <si>
    <t xml:space="preserve">FSBP00132277 </t>
  </si>
  <si>
    <t>PRE-MENU DISCONNECTED</t>
  </si>
  <si>
    <t xml:space="preserve">12/12-Coordinated with MOD upon arrival
-Checked the unit and found a loose power cable
-Reseated and secured the cable
-Performed ping test on Pre-Menu — continuous, no RTO
-Issue confirmed resolved by Sir Vince
</t>
  </si>
  <si>
    <t xml:space="preserve">Reseated and secured loose power cable
</t>
  </si>
  <si>
    <t>Nell Sacristin</t>
  </si>
  <si>
    <t>FSBP00132635</t>
  </si>
  <si>
    <t xml:space="preserve">PP-7600X-TB
</t>
  </si>
  <si>
    <t>RETURN TO STORE THE DEFECTIVE PRINTER (POS D: PPL31278)</t>
  </si>
  <si>
    <t xml:space="preserve">12/12 -Heritage FE repaired the defective POS printer.
-Installed the newly repaired POS printer to POS D.
-Performed test transactions with the MOD; no issues encountered.
-MOD confirmed POS D printer is now up and working properly.
</t>
  </si>
  <si>
    <t xml:space="preserve">Return to store the defective printer
</t>
  </si>
  <si>
    <t xml:space="preserve"> Alen Bicalig</t>
  </si>
  <si>
    <t>FSBP00132440</t>
  </si>
  <si>
    <t>SB615</t>
  </si>
  <si>
    <t>TAGAYTAY NASUGBU ROAD</t>
  </si>
  <si>
    <t>PPM80612</t>
  </si>
  <si>
    <t>POS B Printer not printing</t>
  </si>
  <si>
    <t xml:space="preserve">12/12 -Coordinated with the MOD for POS B printer checking.
-Confirmed that the printer was unable to print.
-Found a broken hook on the printer cover.
-Proceeded with deploying the Service Unit (SU) printer.
-Performed self-test print, OPOS testing, and LS NAV testing; all passed.
-Verified functionality with the MOD.
-Work completed.
</t>
  </si>
  <si>
    <t xml:space="preserve">Deployed Service Unit printer.
</t>
  </si>
  <si>
    <t>PPPB1316</t>
  </si>
  <si>
    <t xml:space="preserve"> PPM80612</t>
  </si>
  <si>
    <t xml:space="preserve"> Diane Villanueva</t>
  </si>
  <si>
    <t>FSBP00132486</t>
  </si>
  <si>
    <t xml:space="preserve">MOLINO BOULEVARD
</t>
  </si>
  <si>
    <t>PPM8061</t>
  </si>
  <si>
    <t>POS D Printer - won't print</t>
  </si>
  <si>
    <t xml:space="preserve">12/12 -Coordinated with MOD for POS D printer checking
-Confirmed printer was unable to print
-Found broken printer hook causing the issue
-Deployed Service Unit (SU) printer
-Performed self-print test, OPOS test, and LS NAV test — all passed
-Verified successful printing with MOD
-Work completed
</t>
  </si>
  <si>
    <t>Deployed Service Unit printer (POSIFLEX)</t>
  </si>
  <si>
    <t>PPPB1319</t>
  </si>
  <si>
    <t>Jane Polintan</t>
  </si>
  <si>
    <t xml:space="preserve">FSBP00132590 </t>
  </si>
  <si>
    <t>SB659</t>
  </si>
  <si>
    <t>VISTA POINTE KATIPUNAN</t>
  </si>
  <si>
    <t>ET610 4G</t>
  </si>
  <si>
    <t>Smart LTE Deployment Dec 12, 2025</t>
  </si>
  <si>
    <t xml:space="preserve">12/12 -Coordinated with the MOD upon arrival.
-Checked Meraki MX and found no WAN 2 connection.
-Coordinated with Asset Team for Smart LTE deployment.
-Waited for delivery of the Smart LTE device.
-Received and installed the Smart LTE unit.
-Configured Smart LTE as WAN 2; connection stable.
-Performed standalone testing on WAN 1 and WAN 2; both stable and pingable.
-Work completed.
</t>
  </si>
  <si>
    <t>Deployed Smart LTE as WAN 2</t>
  </si>
  <si>
    <t>Earn Marianag</t>
  </si>
  <si>
    <t>FSBP00132539</t>
  </si>
  <si>
    <t xml:space="preserve"> SM NOVALICHES</t>
  </si>
  <si>
    <t>HP Elite 800 G4</t>
  </si>
  <si>
    <t>4CE92421XXJ</t>
  </si>
  <si>
    <t>BOS - Cannot connect to internet but has power</t>
  </si>
  <si>
    <t xml:space="preserve">12/12 -Coordinated with MOD upon arrival regarding the BOS issue
-Checked BOS — system was up and stable
-Verified network connection — no issues found
-Performed ping test on all network devices — all up and stable
-Accessed BOS to MWS for further checking — no issues, BOS stable
-Checked all cable connections — no issues
-Checked power source — no issues
-Secured all cables to ensure stability
-Conducted 30-minute observation — no issues and no RTO
-Work completed
</t>
  </si>
  <si>
    <t xml:space="preserve">Checked and secured network and cable connections
</t>
  </si>
  <si>
    <t>Louise Anne</t>
  </si>
  <si>
    <t>FSBP00132540</t>
  </si>
  <si>
    <t>4CE9241XX0</t>
  </si>
  <si>
    <t>MWS- Cannot connect to internet (any website cannot be accessed)</t>
  </si>
  <si>
    <t xml:space="preserve">12/12 -Coordinated with the MOD upon arrival regarding the MWS issue
-Checked MWS — unit was up and stable
-Checked network connection — no issues found
-Ping-tested all network devices — all up and stable
-Checked all cable connections — no issues
-Checked power source — no issues
-Secured all cables to ensure stable connectivity
-Observed the unit for 30 minutes — no issues and no RTO
-Work completed
</t>
  </si>
  <si>
    <t xml:space="preserve">Verified network connection and secured all cables
</t>
  </si>
  <si>
    <t xml:space="preserve">FSBP00132538 </t>
  </si>
  <si>
    <t>KSM60593</t>
  </si>
  <si>
    <t xml:space="preserve">POS A - Locked by another user error
</t>
  </si>
  <si>
    <t xml:space="preserve">12/12 -Coordinated with the MOD regarding the concern.
-PASI remotely accessed both POS units; both were working.
-Checked BOS; confirmed up and stable.
-Checked POS A cable connections.
-Verified connection speed.
-Performed ping test to BOS; results good.
-Pinged all network devices; all up and stable.
-Secured all cable connections.
</t>
  </si>
  <si>
    <t xml:space="preserve">Pinged all network devices; all up and stable.
</t>
  </si>
  <si>
    <t>SD KING</t>
  </si>
  <si>
    <t>Jinamel Martinez</t>
  </si>
  <si>
    <t>KSM60511</t>
  </si>
  <si>
    <t xml:space="preserve">POS B - Locked by another user error
</t>
  </si>
  <si>
    <t>FSBP00132619</t>
  </si>
  <si>
    <t>12/13 upon arrival,  pos A touchscreen unresponsive.
-hdd checkhealth okay.
-backup hostfile, IP, computer name, autologin.
-Reimage Pos.
-configured IP, Hostfile, comp name, Remote Pasi, Redomain, Autologin.
-Pos A is now operational.
-work done.</t>
  </si>
  <si>
    <t>reimage POS A</t>
  </si>
  <si>
    <t>FSBP00132624</t>
  </si>
  <si>
    <t>HA1LF2DK</t>
  </si>
  <si>
    <t>Store Tablet - Touch Screen Unresponsive</t>
  </si>
  <si>
    <t>12/13 Upon arrival tablet is lowbat
- Charge tablet
- Tablet touch screen not working
- Hard restart tablet; touch now working
- Rcoc advised to reset tablet for new setup
- reset tablet
- setup tablet
- scoop now installed; bulletin not installed
- Setup apps
- Scoop test by Mod; unaccessible
- bulletin not installing
- remoted by rcoc; still same.
- Scoop and bulletin for reco to rcoc. Advised MOD. Work done</t>
  </si>
  <si>
    <t>Setup tablet,  Scoop and bulletin for reco to rcoc</t>
  </si>
  <si>
    <t xml:space="preserve"> Jaqui Blangada</t>
  </si>
  <si>
    <t>FSBP00132626</t>
  </si>
  <si>
    <t>Network Offline, Browser Error</t>
  </si>
  <si>
    <t>FMZK0B4</t>
  </si>
  <si>
    <t xml:space="preserve"> BOS- is unreachable in ping test
</t>
  </si>
  <si>
    <t>12/13 Upon arrival, proceed check BOS
- BOS is up but unreachable
- Reboot BOS, now reachable
- Check all device, all ok
- Observe for 30 mins, no problem occured</t>
  </si>
  <si>
    <t>reboot BOS</t>
  </si>
  <si>
    <t>Andrei Cadag</t>
  </si>
  <si>
    <t>FSBP00132615</t>
  </si>
  <si>
    <t>HA1QJEXV</t>
  </si>
  <si>
    <t>Store tablet has been reset</t>
  </si>
  <si>
    <t>12/13 -Upon arrival, coordinated with store personnel to verify the reported tablet reset issue.
-Inspected the store tablet and confirmed that the device had been reset.
-Restarted the tablet to ensure system stability and proper initialization.
-Reconnected the tablet to the SB Delivery WiFi network and conducted a speedtest.
-Verified successful network connection and confirmed internet accessibility.
-Checked basic tablet functionality to ensure normal operation after reconnection.
-Informed store personnel that the tablet was operational and ready for use.</t>
  </si>
  <si>
    <t xml:space="preserve">Setup tablet,  </t>
  </si>
  <si>
    <t>Rye Torculas</t>
  </si>
  <si>
    <t>FSBP00132638</t>
  </si>
  <si>
    <t>Unable to print, Set up Printer</t>
  </si>
  <si>
    <t>PP0C0361</t>
  </si>
  <si>
    <t>POS B printer - red light indicator</t>
  </si>
  <si>
    <t>12/13 - Coordinate with MOD
- Check printer, upon checking found out that the printer has ongoing selftest print
- Continue and finish selftest print
- Restart navi and test print with MOD printer working
- While on observation error re-occur and upon checking stocked and printer cover is hard to open
- Open printer and check printer cutter and test print again, same issue re occur
- Install service unit and test print; good
- Advise MOD Mercy to safe keep of defective printer for repair</t>
  </si>
  <si>
    <t>deployed SU Printer - defective printer for heritage repair</t>
  </si>
  <si>
    <t>5:45 PM, 7:00 PM</t>
  </si>
  <si>
    <t>6:30 PM, 8:20 PM</t>
  </si>
  <si>
    <t>Mercy Balmores</t>
  </si>
  <si>
    <t>FSBP00132660</t>
  </si>
  <si>
    <t>SB523</t>
  </si>
  <si>
    <t>SM CITY NAGA</t>
  </si>
  <si>
    <t>Drawer automatically open, Defective Display</t>
  </si>
  <si>
    <t>KSIB0045</t>
  </si>
  <si>
    <t>POS A Drawer 1 and 2 Won't open automatically</t>
  </si>
  <si>
    <t>12/13 Coordinated to MOD regarding concern
-Upon checking the drawer is not open automatic
-check the cable ok
-update driver ok
-check health drawer good
-secure all cables
-POS B check drawer health good
-All Drawer 1&amp;2 id working</t>
  </si>
  <si>
    <t xml:space="preserve"> secure all cables  </t>
  </si>
  <si>
    <t>Mariceth Borlagdan</t>
  </si>
  <si>
    <t>FSBP00132731</t>
  </si>
  <si>
    <t>For pull out of Service Unit printer</t>
  </si>
  <si>
    <t>12/13 - Coordinate with MOD
- Pullout service unit printer</t>
  </si>
  <si>
    <t>pull out SU printer</t>
  </si>
  <si>
    <t>Grace Orit</t>
  </si>
  <si>
    <t>FSBP00131060</t>
  </si>
  <si>
    <t>POS D Maya transaction process is taking longer than usual</t>
  </si>
  <si>
    <t xml:space="preserve">12/14 -Coordinated with MOD for POS D Maya terminal checking
-Checked internet connection – OK
-Pinged BOS – reachable
-Reinstalled Maya drivers
-Verified transaction behavior with MOD
Maya Work Logs (Previous and Current Actions):
-Terminal replacement (previous visit)
-Cradle replacement (previous visit)
-Cable replacement
-Port change
-Reinstalled Maya application
-Swapped POS A terminal with POS D terminal for testing
</t>
  </si>
  <si>
    <t xml:space="preserve">Verified internet connection and reinstalled Maya drivers
</t>
  </si>
  <si>
    <t>10:02 AM, 11:15 AM, 11:58 AM, 12:42 PM, 1:59 PM</t>
  </si>
  <si>
    <t>10:42 AM, 11:45 AM, 12:42 PM, 1:30 PM, 2:38 PM</t>
  </si>
  <si>
    <t>FSBP00132649</t>
  </si>
  <si>
    <t xml:space="preserve"> HA1QJR2K </t>
  </si>
  <si>
    <t>Store tablet - reset to homepage</t>
  </si>
  <si>
    <t>12/14 -Coordinated with MOD upon arrival
-Performed tablet reset / factory reset
-Logged in using Gmail account; attempted login using updated account credentials
-Proceeded with installation and testing of required applications
-Revoked previous email, signed out of MWS, and logged in using Scan account
-Verified tablet functionality and application access
-Work completed</t>
  </si>
  <si>
    <t xml:space="preserve">Tablet successfully reset and reconfigured following step-by-step process
</t>
  </si>
  <si>
    <t>Jaymark Escatum</t>
  </si>
  <si>
    <t>FSBP00132650</t>
  </si>
  <si>
    <t>HA1LEJS3</t>
  </si>
  <si>
    <t>FSBP00132666</t>
  </si>
  <si>
    <t>SB175</t>
  </si>
  <si>
    <t>SM CEBU - LEVEL 1 (SM Fiesta Strip Cebu)</t>
  </si>
  <si>
    <t>W6900</t>
  </si>
  <si>
    <t>VB02207F00292</t>
  </si>
  <si>
    <t>MO&amp;P - Auto Shutdown</t>
  </si>
  <si>
    <t>12/14 - Coordinate with the MOD
- According to the MOD, Starbucks MO&amp;P account auto logout.
- Charged the device for troubleshooting.
- Asked the MOD for login credentials, encountered account locked problem.
- Restarted the device, same problem occurred.
- Checked the device for auto shutdown issue.
- Checked for updated software, display, and battery settings.
- Observed device for possible auto shutdown, device didn't shutdown.
- While observing, requested tech support for checking of Starbucks MO&amp;P account lockout and auto logout.
- RCOC Marvin will follow up an email for the account issue tomorrow.
- Explained to MOD about the issue and the findings.</t>
  </si>
  <si>
    <t xml:space="preserve"> MO&amp;P device/hardware is ok. Account problem.</t>
  </si>
  <si>
    <t xml:space="preserve"> Rey Lawrence Chu</t>
  </si>
  <si>
    <t>Arch Weiland Lejarde</t>
  </si>
  <si>
    <t xml:space="preserve">FSBP00132775 </t>
  </si>
  <si>
    <t>PP-7900X-B</t>
  </si>
  <si>
    <t xml:space="preserve">12/14 -Coordinated with MOD for SU printer pull out
-Verified that the repaired printer is properly working – OK
-Confirmed SU printer details
-Pulled out SU printer
-Work completed
</t>
  </si>
  <si>
    <t xml:space="preserve">Service Unit printer successfully pulled out
</t>
  </si>
  <si>
    <t>Jaycee Villanueva</t>
  </si>
  <si>
    <t xml:space="preserve">FSBP00132773 </t>
  </si>
  <si>
    <t>133 SAN ANTONIO AVE. - PARAÑAQUE</t>
  </si>
  <si>
    <t xml:space="preserve">12/14-Coordinated with MOD for SU printer pull out
-Verified repaired printer is properly working – OK
-Confirmed SU printer details
-Pulled out SU printer
-Work completed
</t>
  </si>
  <si>
    <t>Jessa Golez</t>
  </si>
  <si>
    <t xml:space="preserve">FSBP00132776 </t>
  </si>
  <si>
    <t>12/14 -Replaced Service Unit (SU) with repaired store POS printer
-Tested print transaction with MOD
-MOD confirmed printer is operational and working</t>
  </si>
  <si>
    <t xml:space="preserve">Replaced Service Unit (SU) with repaired store POS printer
</t>
  </si>
  <si>
    <t xml:space="preserve"> Anthony Flores</t>
  </si>
  <si>
    <t>Yrs Debula</t>
  </si>
  <si>
    <t xml:space="preserve">FSBP00132718 </t>
  </si>
  <si>
    <t>POS Dell</t>
  </si>
  <si>
    <t>4LQ9244</t>
  </si>
  <si>
    <t xml:space="preserve"> POS C — Error "The is network currently not available. Please repair the network and retry"</t>
  </si>
  <si>
    <t>12/14 - Upon arrival coordinate to MOD
- As per MOD POS C is now already working
- Check POS C
- As per checking it loose connection
- Recrimp and test
- Observed
- Work done</t>
  </si>
  <si>
    <t>recrimp</t>
  </si>
  <si>
    <t>Hannah Llanas</t>
  </si>
  <si>
    <t xml:space="preserve">FSBP00132725 </t>
  </si>
  <si>
    <t>15154B07DD</t>
  </si>
  <si>
    <t>POS A Barcode Scanner - Not Working</t>
  </si>
  <si>
    <t>12/14 -Coordinated with MOD upon arrival
-Barcode scanner found working upon arrival; MOD confirmed that the issue was resolved around 12:40 PM by adjusting the barcode scanner cord, and this was already communicated via email
-Checked barcode scanner functionality – OK
-Checked barcode scanner cord allowance – adjusted and secured
-Checked USB connection – OK
-Reseated barcode scanner and tested for power interruption when moved – no issues observed (confirmed by MOD)
-Tested transaction – OK
-Work completed</t>
  </si>
  <si>
    <t xml:space="preserve">Verified and secured POS A barcode scanner; confirmed stable operation after cord adjustment
</t>
  </si>
  <si>
    <t>FSBP00132751</t>
  </si>
  <si>
    <t>PPM83946</t>
  </si>
  <si>
    <t>POS A Printer - Cut print out</t>
  </si>
  <si>
    <t>12/14 -Coordinated with MOD upon arrival regarding POS A printer issue
-Checked power supply, cables, and printer components – no visible issues found
-Tested POS A printer; unable to print and dispense receipt, cutting issue observed with loose gear sound
-Checked thermal paper and cleaned print head sensor and other internal parts – issue persisted
-Determined POS A printer is defective; recommended Heritage checking and repair
-Informed MOD (Louise Anne) of findings and advised safekeeping of defective POS A printer
-Requested Service Unit (SU) printer
-Installed SU printer upon arrival and performed test print – successful
-Observed printer operation for 20 minutes – no issues encountered
-Work completed</t>
  </si>
  <si>
    <t xml:space="preserve">Installed and validated Service Unit printer
</t>
  </si>
  <si>
    <t>Dhan Garcia</t>
  </si>
  <si>
    <t>FSBP00132735</t>
  </si>
  <si>
    <t>SB477</t>
  </si>
  <si>
    <t>SM CITY URDANETA CENTRAL</t>
  </si>
  <si>
    <t>M910</t>
  </si>
  <si>
    <t>PC0QW7TL</t>
  </si>
  <si>
    <t xml:space="preserve">12/14 -Coordinated with MOD and confirmed store code
-Checked machine; TeamViewer had no ID and password
-Uninstalled TeamViewer, downloaded and installed latest version
-Configured password and provided details to PASI
-PASI conducted remote support; connection successful
</t>
  </si>
  <si>
    <t xml:space="preserve">Uninstalled TeamViewer, downloaded and installed latest version
</t>
  </si>
  <si>
    <t>Den Dela Cruz</t>
  </si>
  <si>
    <t>FSBP00132976</t>
  </si>
  <si>
    <t>SPA040009</t>
  </si>
  <si>
    <t>POS B printer not detected</t>
  </si>
  <si>
    <t>12/14 -Checked the reported device; printer not detected
-Connected printer to another working USB port – issue persisted
-Cleaned printer sensor – issue persisted
-Recommended Heritage repair and replacement</t>
  </si>
  <si>
    <t xml:space="preserve">Recommended Heritage repair and replacement
</t>
  </si>
  <si>
    <t>FSBP00132755</t>
  </si>
  <si>
    <t>SB165</t>
  </si>
  <si>
    <t>SM BAGUIO</t>
  </si>
  <si>
    <t>HVA1NA4QR</t>
  </si>
  <si>
    <t xml:space="preserve"> Store Tablet - has been reset</t>
  </si>
  <si>
    <t>12/15-Coordinated with the MOD regarding the device reset.
-Performed factory reset, installed required applications, revoked email access via RCOC, and set up the email account.
-Device tested by MOD — results OK.</t>
  </si>
  <si>
    <t xml:space="preserve">Performed factory reset, installed required applications, revoked email access via RCOC, and set up the email account.
</t>
  </si>
  <si>
    <t>Hanna Ng</t>
  </si>
  <si>
    <t>FSBP00132726</t>
  </si>
  <si>
    <t>SB684</t>
  </si>
  <si>
    <t>LA VILLAGE</t>
  </si>
  <si>
    <t>12TD001DPC</t>
  </si>
  <si>
    <t>GM10HN6C</t>
  </si>
  <si>
    <t>MWS — No Internet Connection</t>
  </si>
  <si>
    <t>12/15 - upon arrival coordinate with MOD regarding issue
- Check Cable. End to end  no issue found
- Check adapter settings and static setting /no  issue found
- update adapter setting  and restart mws.  Same issue mws not connected
- advise sir bryan regarding mws connectivity issue.  Then required to restart MWS.
- after restart mws is now connected to  meraki up and stable
- ping all network devices / all devices up
- observe 30 minutes no issue. work done</t>
  </si>
  <si>
    <t>configuration of mws adapter</t>
  </si>
  <si>
    <t>Winnie Euraba</t>
  </si>
  <si>
    <t>FSBP00132780</t>
  </si>
  <si>
    <t>KSM9005</t>
  </si>
  <si>
    <t>POS B Drawer 1 and Drawer 2 - won't open</t>
  </si>
  <si>
    <t>12/15 - Upon Arrival found MOD coordinate ticket concern and wait for Go signal to isolate
- after go signal isolate unit pon OPOS application kusing admin rights test both drawer not working, restart unit after both up same problem
- check cash drawer connection found cash drawer B disconnected, connected and open OPS application test device both found ok.
- test by MOD tested OK.</t>
  </si>
  <si>
    <t xml:space="preserve"> Reconnect cash drawer 2 cable</t>
  </si>
  <si>
    <t>Karlene Dy</t>
  </si>
  <si>
    <t>FSBP00132783</t>
  </si>
  <si>
    <t>HA1LG166</t>
  </si>
  <si>
    <t>Store tablet has been reset to default settings</t>
  </si>
  <si>
    <t>12/15 - Upon arrival coordinate to MOD
- Check the tablet &amp; verify that the tablet was reset to default
- Restart the tablet with the same issue
- Perform Hard reset onto the tablet &amp; proceed on configuration
- Revoked Email c/o Sir Marvin of RCOC
- MOD test the tablet
- Cross checked all the apps
- No other issues
- Work Done</t>
  </si>
  <si>
    <t>Hard Reset &amp; Configuration</t>
  </si>
  <si>
    <t>Ma. Christinevert Pascual</t>
  </si>
  <si>
    <t>FSBP00132801</t>
  </si>
  <si>
    <t>SB335</t>
  </si>
  <si>
    <t>EMERALD BUILDING, SAN FERNANDO PAMPANGA</t>
  </si>
  <si>
    <t>PP040141</t>
  </si>
  <si>
    <t xml:space="preserve"> POS A printer - unable to print</t>
  </si>
  <si>
    <t>12/15 - Coordinated with the MOD.
- Checked the reported unit, confirmed broken hook and cutter assembly issue.
- Try to put rubber band but still same issue
- MOD requested to replace ASAP</t>
  </si>
  <si>
    <t>reco to Heritage for checking and repair</t>
  </si>
  <si>
    <t>Choy Tacsuan</t>
  </si>
  <si>
    <t>FSBP00132803</t>
  </si>
  <si>
    <t>PPPB1370</t>
  </si>
  <si>
    <t xml:space="preserve">12/14 confirming if permit will be required- follow thru in FSBP00131732 
12/15 -Upon arrival, the SU printer was still installed at POS A.
-Reinstalled the original POS A printer previously repaired by Heritage.
-Performed test printing in OPOS and NAV; results were OK.
-Pulled out the defective cutter assembly.
-Pulled out the SU printer.
-Work completed successfully.
</t>
  </si>
  <si>
    <t xml:space="preserve">SU printer pulled out.
</t>
  </si>
  <si>
    <t xml:space="preserve">FSBP00132805 </t>
  </si>
  <si>
    <t>V2s</t>
  </si>
  <si>
    <t>V3B0252C20145</t>
  </si>
  <si>
    <t xml:space="preserve"> MO&amp;P- Device - Issue with the settings and menu section. The screen continues to load</t>
  </si>
  <si>
    <t xml:space="preserve">12/16 coordinate with mod
- perform speedtest for checking of network connectivity no issue
-re install app, Same issue menu section  screen continue to load
-upon checking no location showing on location tab
-ask MOD if MO&amp;P is activated, MOD not sure
</t>
  </si>
  <si>
    <t>reinstall app</t>
  </si>
  <si>
    <t xml:space="preserve"> Robert Odronia</t>
  </si>
  <si>
    <t xml:space="preserve">FSBP00132815 </t>
  </si>
  <si>
    <t>HA1PWFLZ</t>
  </si>
  <si>
    <t>Store Tablet - the tablet was Reset and can't login</t>
  </si>
  <si>
    <t xml:space="preserve">12/15 -Upon arrival, coordinated with the MOD.
-Performed tablet reset.
-Set up the tablet and scanned the QR code.
-Downloaded and installed required applications.
-Completed application setup.
-Authenticator verification conducted and approved by the MOD.
-Work completed successfully.
</t>
  </si>
  <si>
    <t xml:space="preserve">Tablet reset and fully set up.
</t>
  </si>
  <si>
    <t>March Flores</t>
  </si>
  <si>
    <t xml:space="preserve">FSBP00132895 </t>
  </si>
  <si>
    <t xml:space="preserve"> ONE GRIFFINSTONE BUILDING</t>
  </si>
  <si>
    <t>ECA4100-12T</t>
  </si>
  <si>
    <t>EC2524000009</t>
  </si>
  <si>
    <t>Converge Fiber Internet Activation Dec 16, 2025 10am-5pm</t>
  </si>
  <si>
    <t>12/16 - Upon arrival, PLDT WAN 1, Smart LTE WAN 2.
- Activate Converge as WAN 1, standalone test 3times, speedtestest, ping, tracert.
- No spare lan cable from MWS area to Meraki/BOS area.
- Crimp patch cable for PLDT WAN 2 for temporary lan cable.
- Suggest MOD to request JV with facilities for drilling of shelves for PLDT to meraki lan cable.
- Connect PLDT as WAN 2, standalone test.
- Confirmed dashboard status to Sir Bryan WAN 1 &amp; WAN 2.
- Pullout Smart LTE.
- Work done</t>
  </si>
  <si>
    <t>Activated Converge on WAN 1 and pulled out Smart LTE</t>
  </si>
  <si>
    <t xml:space="preserve"> Carlo Martinez</t>
  </si>
  <si>
    <t>FSBP00133278</t>
  </si>
  <si>
    <t>SB306</t>
  </si>
  <si>
    <t>PUSO NG BAGUIO - SESSION ROAD</t>
  </si>
  <si>
    <t>X306X</t>
  </si>
  <si>
    <t>HVA1P64R</t>
  </si>
  <si>
    <t>Tablet reset to default</t>
  </si>
  <si>
    <t xml:space="preserve">12/15 -Coordinated with the MOD regarding the device issue.
-Performed a factory reset and bypassed email setup.
-Installed required applications.
-Set partner email; access revoked by RCOC.
-Device tested and verified by MOD and partners.
</t>
  </si>
  <si>
    <t xml:space="preserve">Performed a factory reset and bypassed email setup.
</t>
  </si>
  <si>
    <t xml:space="preserve"> Jaime A. Arique</t>
  </si>
  <si>
    <t>Kristine Victa</t>
  </si>
  <si>
    <t xml:space="preserve">FSBP00133289 </t>
  </si>
  <si>
    <t>HA1QH4K6</t>
  </si>
  <si>
    <t>FSBP00132856</t>
  </si>
  <si>
    <t xml:space="preserve"> SM CITY URDANETA CENTRAL</t>
  </si>
  <si>
    <t xml:space="preserve">ThinkCentre M910S    </t>
  </si>
  <si>
    <t>BOS- Shutdown</t>
  </si>
  <si>
    <t xml:space="preserve">12/16 Coordinate with MOD, check all devices, all devices are up - connected to normal power, no power from UPS wall outlet
- Both MWS and BOS can be remote via TV ( Conducted by PASI )
- Recrimp end to end cable of BOS and MWS - 1Gbps
- UPS have input voltage but no output voltage from wall outlet, advise MOD to report it to Facilities
</t>
  </si>
  <si>
    <t xml:space="preserve"> Recrimp end to end cable of BOS and MWS - 1Gbps</t>
  </si>
  <si>
    <t xml:space="preserve"> FSBP00132736 </t>
  </si>
  <si>
    <t>PP040091</t>
  </si>
  <si>
    <t xml:space="preserve"> POS A Thermal Printer - Won't Print</t>
  </si>
  <si>
    <t xml:space="preserve">12/16 - Upon arrival coordinated with MOD
- Check POS A printer; found broken hook partially, not printing
- Coordinate with asset for service unit
- Waited for delivery
- Received the service unit
- Isolate POS A defective printer
- Setup service unit for POS A
- Installed latest drivers
- Check printer health; good
- Test reprint receipt; good
- Advised MOD to keep the defective printer
- Work done
</t>
  </si>
  <si>
    <t>Deployed SU Printer - defective printer for heritage repair</t>
  </si>
  <si>
    <t>PPPB1340</t>
  </si>
  <si>
    <t xml:space="preserve"> FSBP00132616</t>
  </si>
  <si>
    <t>BOS - all POS takes 1-2minutes to settle transactions and print receipts — POS A</t>
  </si>
  <si>
    <t>12/16 Upon arrival check connection speed of all devices; only BOS has 100mbps. Pos A is 1gbps
- Resocket bos lan cable; now has 1gbps connection
- Pos A lags due to BOS slow connection
- Ping test then observe
- Ping test; Both POS is stable and no RTO
- Test both POS by MOD; good. Work done</t>
  </si>
  <si>
    <t>Resocket BOS lan cable</t>
  </si>
  <si>
    <t>Raymund Bantug</t>
  </si>
  <si>
    <t>FSBP00132887</t>
  </si>
  <si>
    <t>41PP416</t>
  </si>
  <si>
    <t xml:space="preserve"> POS B - takes 1-2minutes to settle transactions and print receipts See related ticket: FSBP00132616 (POS A) — POS B</t>
  </si>
  <si>
    <t>12/16 Upon arrival check connection speed of all devices; only BOS has 100mbps. Pos B is 1gbps
- Pos B lags due to BOS connection 100mbps
- Resocket bos lan cable; now has 1gbps connection
- Ping test then observe
- Ping test pos b; stable and no RTO
- Test POS B by MOD; good. Work done</t>
  </si>
  <si>
    <t>FSBP00132915</t>
  </si>
  <si>
    <t xml:space="preserve"> PC0D6Z3Y</t>
  </si>
  <si>
    <t>BOS — To check the network connection speed, 100 Mbps (Recommendation from PASI) — BOS</t>
  </si>
  <si>
    <t>12/16 Upon arrival check connection speed of all devices; only BOS has 100mbps
- Resocket BOS lan cable; now has 1gbps connection
- Ping test then observe
- Check hdd health of BOS; 100% performance, 99% health, no actions needed
- Asked PASI to check dbmp setup and memory allocation; good.
- Ping test; all stable and no RTO
- Test both POS by MOD; good. Work done</t>
  </si>
  <si>
    <t>FSBP00133430</t>
  </si>
  <si>
    <t>SB683</t>
  </si>
  <si>
    <t>MEYCAUAYAN GOVT CENTER</t>
  </si>
  <si>
    <t>6MQ7524524001513</t>
  </si>
  <si>
    <t>DITO LTE Temporary Deployment Dec 16,</t>
  </si>
  <si>
    <t>12/16 - coordinate to cerventech asset team for Temporary deployment of DITO LTE to store 683
- Wait for the parts arrive ( DITO LTE)
- Receive LTE device
- upon arrival check the device and prepared for temporary deployment ( T&amp;C Day 2)
- Work done</t>
  </si>
  <si>
    <t>Ricky Gutierrez</t>
  </si>
  <si>
    <t>FSBP00132919</t>
  </si>
  <si>
    <t>41VC963</t>
  </si>
  <si>
    <t>POS B - Stuck on Windows Logo (Boot issue)</t>
  </si>
  <si>
    <t>12/16 - Upon arrival coordinate to MOD
- Check the POS B &amp; verify the issue
- Try to boot up on safe mode same issue
- Perform Hard reset onto the HDD same issue
- Try to boot on hirens same issue
- Try to re-image same issue
- Replaced HDD with SN: WCC2E3FCP1RL issue resolved
- Configure POS B c/o Pasi support
- Check the POS B thoroughly no issue occur
- Re Domain POS B
- No other issues
- Work Done</t>
  </si>
  <si>
    <t>Replace HDD &amp; Configure POS</t>
  </si>
  <si>
    <t>WCC2E3FCP1RL</t>
  </si>
  <si>
    <t>Z994XMHV</t>
  </si>
  <si>
    <t>2:34 PM, 3:06 PM</t>
  </si>
  <si>
    <t>3:00 PM, 6:46 PM</t>
  </si>
  <si>
    <t xml:space="preserve"> Jochelle Sabida</t>
  </si>
  <si>
    <t>FSBP00132921</t>
  </si>
  <si>
    <t xml:space="preserve"> SUPER METRO COLON CEBU</t>
  </si>
  <si>
    <t>PP040127</t>
  </si>
  <si>
    <t xml:space="preserve"> POS A &amp; B Printers - Still cannot generate receipt. Partners tried to unplug and plug the wires however, partners slightly got electrocuted
</t>
  </si>
  <si>
    <t>12/16 - Upon arrival coordinate MOD
- Checking printer - connection is loose
- Secured the cable, groom with cable tie
- Power-up Posiflex printer 
- Perform self test 
- Restart POS
- Coordinate PASI for config
- Endorsed MOD and testing three consecutive times 
- POS A printer is working normally</t>
  </si>
  <si>
    <t>Reconnect power cord and adapter</t>
  </si>
  <si>
    <t xml:space="preserve"> Patricia Baldos</t>
  </si>
  <si>
    <t>FSBP00132923</t>
  </si>
  <si>
    <t>12/16 - Upon arrival coordinate MOD 
- Checking printer-connection is loose
- Secured the cable, groom with cable tie
- Power-up Posiflex printer 
- Perform self test 
- Restart POS
- Coordinate PASI for config
- Endorsed MOD and testing three consecutive times 
- POS B printer is working normally 
- Work done</t>
  </si>
  <si>
    <t>FSBP00132893</t>
  </si>
  <si>
    <t>SB564</t>
  </si>
  <si>
    <t>1427 E. RODRIGUEZ SR AVE</t>
  </si>
  <si>
    <t>CR-4000</t>
  </si>
  <si>
    <t>CRM9C1059</t>
  </si>
  <si>
    <t xml:space="preserve"> POS D Drawer 1 - won't open</t>
  </si>
  <si>
    <t>12/16 - Upon arrival, coordinated with mod regarding the issue
- Verified the issue onsite; confirmed POS D Drawer 1 was not opening automatically during transaction.
- Inspected cash drawer mechanism and confirmed the internal spring was broken, causing failure to open.
-Checked cash drawer cable using LAN tester; observed some indicator lights not blinking, indicating possible cable issue.
- Coordinated findings with PS Rolito regarding recommended replacement of cash drawer mechanism and Y-cable.
- Proceeded with replacement of the cash drawer unit.
- Ensured Y-cable was properly connected and firmly inserted to both POS and cash drawer ports.
- Performed cash drawer open test via POS application — drawer opened successfully.
- Conducted multiple transaction tests to confirm automatic drawer operation.
- Verified stable operation and no further issues observed.
- Updated MOD and confirmed POS D Drawer 1 is now fully operational.</t>
  </si>
  <si>
    <t>replaced cash drawer 1 of POS D</t>
  </si>
  <si>
    <t>1:17 PM, 3:18 PM</t>
  </si>
  <si>
    <t>3:18 PM, 3:30 PM</t>
  </si>
  <si>
    <t>Alec Palisoc</t>
  </si>
  <si>
    <t xml:space="preserve"> FSBP00132933</t>
  </si>
  <si>
    <t>12/16 - Upon arrival coordinate with MOD
- Per checking the POS boot wasn't proceeding
- Reseat power cable; POS suddenly boot up
- Check connectivity; 1GBPS
- Check HDD health; 100%
- Check disk; no Bad Sector found
- Run Scan OS; found corrupted files
- Proceed to reimage POS
- Update host file , computer name , IP
- Install OPOS drivers; MAYA drivers
- Domain POS
- Set-up auto log in
- Remote by PASI
- Test all devices; good test and witness by MOD</t>
  </si>
  <si>
    <t>reimage POS B</t>
  </si>
  <si>
    <t xml:space="preserve"> Klint Briones</t>
  </si>
  <si>
    <t>FSBP00132796</t>
  </si>
  <si>
    <t>PC0P2MVA</t>
  </si>
  <si>
    <t xml:space="preserve">BOS — No service tier error in both POS A and POS B	</t>
  </si>
  <si>
    <t>12/16 Upon arrival coordinated with MOD
-Check BOS; good, BOS is powered on upon arrival
-Check BOS network adapter settings; found no internet connection
-Check LAN cable status from BOS to Meraki MX; found no light indicator end to end
-Tighten and reseat end to end LAN cable; still has no light indicator
-Searched for BOS spare LAN cable; good
-Replaced BOS LAN cable to BOS spare LAN cable; good, has light indicator
-Check BOS network adapter settings; good, 1.0Gbps connection
-Test ping 8.8.8.8; good, stable and pingable
-Test ping POS A and POS B; good, stable and pingable
-Check both POS A and POS B; good, can do transactions, confirmed by MOD
-Work done</t>
  </si>
  <si>
    <t xml:space="preserve">Used the BOS spare LAN cable
</t>
  </si>
  <si>
    <t>Garet Sagalungos</t>
  </si>
  <si>
    <t>FSBP00132511</t>
  </si>
  <si>
    <t>SB281</t>
  </si>
  <si>
    <t>MEZZA RESIDENCES</t>
  </si>
  <si>
    <t>11DUSFQQ00</t>
  </si>
  <si>
    <t>PC2HLW9D</t>
  </si>
  <si>
    <t>MWS – Cannot connect to internet and cannot access NAV or any JET reports</t>
  </si>
  <si>
    <t>12/16 - Upon arrival, coordinated with the MOD regarding the reported MWS connectivity issue.
- Verified onsite and confirmed MWS was unable to access the internet, NAV, and JET reports, while POS and BOS were online.
- Checked physical network connections; LAN cable link speed verified at 1.0 Gbps.
- Performed cable continuity test using LAN tracer; all pins (1–8) blinking properly, confirming cable integrity.
- Verified IPv4 configuration on the MWS; confirmed valid IP address, subnet mask, gateway, and DNS settings.
- Checked host file configuration; confirmed no duplicate or incorrect entries.
- Confirmed MWS is properly joined to the domain and receiving an IP address.
- Despite correct cable status and network configuration, internet access was still unavailable on the MWS.
- Performed isolation by transferring the MWS LAN connection from switch port 4 to switch port 6.
- After port reassignment, internet connectivity was successfully restored.
- Verified access to NAV system and JET reports — both operational.
- Conducted final observation and confirmed stable connection.
- Updated MOD and confirmed MWS is fully functional.</t>
  </si>
  <si>
    <t>Network port reassignment from Port 4 to Port 6 restored MWS connectivity.</t>
  </si>
  <si>
    <t>Micah Bequillo</t>
  </si>
  <si>
    <t>FSBP00133431</t>
  </si>
  <si>
    <t>41-VZ359</t>
  </si>
  <si>
    <t>POS A - No Connection</t>
  </si>
  <si>
    <t>12/16 - Upon checking POS has no connection
- Per checking found loose LAN cable
- Recrimp LAN cable from end to end
- Check cable; good
- Check connectivity; 1GBPS
- Observe for 1hour
- Test and witness by MOD</t>
  </si>
  <si>
    <t xml:space="preserve"> Recrimp LAN cable</t>
  </si>
  <si>
    <t>2:40 PM, 6:00 PM, 7:24 PM</t>
  </si>
  <si>
    <t>5:55 PM, 7:00 PM, 8:19 PM</t>
  </si>
  <si>
    <t>FSBP00132958</t>
  </si>
  <si>
    <t>HVHVA1N4Y1</t>
  </si>
  <si>
    <t>Store Tablet - Auto reset to default</t>
  </si>
  <si>
    <t>12/17 - Upon arrival, Coordinate to MOD, Proceed to reset/factory reset and continue to log in gmail/account and trying the new account until we reached to install and test applications etc., revoke email/signout mws and login scan;</t>
  </si>
  <si>
    <t xml:space="preserve"> setup tablet</t>
  </si>
  <si>
    <t>Charm Mital</t>
  </si>
  <si>
    <t>FSBP00132627</t>
  </si>
  <si>
    <t>ROBINSONS PLACE ANTIPOLO - GF</t>
  </si>
  <si>
    <t>HVA1P64D</t>
  </si>
  <si>
    <t>Store Tablet (HVA1P64D ) went back to its default setting</t>
  </si>
  <si>
    <t>12/17 Upon arrival coordinate with MOD
- Proceed to reset tablet
- Set-up tablet; Scan the qr code
- Set-up all apps; QR scanner,RCOC learning,files, one drive, quick support
- Set-up authenticator; test by MOD witness that authenticator is properly working</t>
  </si>
  <si>
    <t>Reset tablet</t>
  </si>
  <si>
    <t>Sheirmane Dahilig-Torres</t>
  </si>
  <si>
    <t>FSBP00132980</t>
  </si>
  <si>
    <t>HA1QJTOP</t>
  </si>
  <si>
    <t>Store tablet- Reset to factory settings</t>
  </si>
  <si>
    <t>12/16 - Upon arrival, proceed tablet setup
- Install application
- Setup authenticator
- Check tablet with MOD, MOD approved</t>
  </si>
  <si>
    <t>Resetup tablet</t>
  </si>
  <si>
    <t xml:space="preserve"> Brent Facturan</t>
  </si>
  <si>
    <t>Mark Vincent Bernas</t>
  </si>
  <si>
    <t>FSBP00132981</t>
  </si>
  <si>
    <t>HVA18LS6</t>
  </si>
  <si>
    <t>12/16 - Upon arrival, proceed tablet setup
- Install application
- Bind wifi mac address
- Check tablet with MOD, MOD approved</t>
  </si>
  <si>
    <t>FSBP00132982</t>
  </si>
  <si>
    <t xml:space="preserve"> POS B printer- Prints inconsistently and intermittently</t>
  </si>
  <si>
    <t>12/16 - Checked the reported unit, printer dispense paper inconsistently as per MOD
- Printer inconsistent dispense per checking
- Installed new SU printer and set up drivers
- Tested new printer and LSNAV, test print okay
- Put tagged on defective printer
- Informed MOD to keep safe the defective printer  for heritage onsite</t>
  </si>
  <si>
    <t>FSBP00132988</t>
  </si>
  <si>
    <t>O SQUARE GREENHILLS SHOPPING CENTER</t>
  </si>
  <si>
    <t>HVA1N27Y</t>
  </si>
  <si>
    <t>Store Tablet Unable to connect to SB Delivery WiFi</t>
  </si>
  <si>
    <t>12/17 Upon arrival borrow tablet
- tablet is not connected to wifi
- Exit kiosk tablet
- Connect to sb delivery wifi
- Sync Policies
- Update apps
- New apps installed Scoop and Bulletin
- Test by MOD; good. Work done</t>
  </si>
  <si>
    <t>Connect to sb delivery wifi</t>
  </si>
  <si>
    <t>Sara Ollero</t>
  </si>
  <si>
    <t>FSBP00132799</t>
  </si>
  <si>
    <t>SB275</t>
  </si>
  <si>
    <t>AYALA HIGHWAY LIPA</t>
  </si>
  <si>
    <t>PP040079</t>
  </si>
  <si>
    <t>POS B Printer - unable to print receipt</t>
  </si>
  <si>
    <t>12/17  Upon arrival, coordinated with the MOD to check the POS B printer.
- As confirmed by the MOD, the POS B printer had already been repaired by Heritage.
- Verified that the printer repair was completed.
- Observed the printer for 5–10 minutes.
- Confirmed that the printer is now functioning properly.
- Task completed.</t>
  </si>
  <si>
    <t>Repaired by the Heritage</t>
  </si>
  <si>
    <t xml:space="preserve">James Remuel E. Poblete
</t>
  </si>
  <si>
    <t>Leo Magsino</t>
  </si>
  <si>
    <t>FSBP00132984</t>
  </si>
  <si>
    <t>SB343</t>
  </si>
  <si>
    <t>SCIENCE HUB TOWER 4 - MCKINLEY HILL CYBERPARK</t>
  </si>
  <si>
    <t>HA1QJ0LW</t>
  </si>
  <si>
    <t xml:space="preserve"> Store Tablet went to its default setting</t>
  </si>
  <si>
    <t>12/17 - Upon arrival coordinate with MOD and check tablet
- Proceed to reset tablet and Scan the qr code
- wait to finish downloading apps
- Set up and check application
- Authenticator activated checked by MOD
- Work done</t>
  </si>
  <si>
    <t>Van Lim</t>
  </si>
  <si>
    <t xml:space="preserve">FSBP00133002 </t>
  </si>
  <si>
    <t>HVA2QDYL</t>
  </si>
  <si>
    <t>12/17 - Coordinate with MOD regarding store Tablet to reset &amp; Setup.
- Hard reset.
- Bypass procedure.
- Factory Reset.
- Scan QR.
- Installed apps and tested.
- Revoke email.
- Tested microsoft authenticator by MOD</t>
  </si>
  <si>
    <t>Mitzu Solo</t>
  </si>
  <si>
    <t xml:space="preserve">FSBP00133156 </t>
  </si>
  <si>
    <t>HA1QKCGD</t>
  </si>
  <si>
    <t xml:space="preserve"> POS A printer - unable to print (SU DEPLOYMENT)</t>
  </si>
  <si>
    <t>12/15 - Coordinated with the MOD.
- Checked the reported unit, confirmed broken hook and cutter assembly issue.
- Try to put rubber band but still same issue
- MOD requested to replace ASAP
12/17 - Coordinated with the MOD.
- Checked the reported unit, confirmed broken hook and cutter assembly issue.
- Proceeded with the deployment of the Service Unit printer.
- Installed and updated drivers.
- Conducted testing thru OPOS and NAV, SU Printer is working properly, confirmed by the MOD
- Endorsed defective printer to MOD for safekeeping and repair of heritage.</t>
  </si>
  <si>
    <t>12/22 Pull out SU, repaired old printer by Heritage</t>
  </si>
  <si>
    <t>PPPB1262</t>
  </si>
  <si>
    <t xml:space="preserve">RCOC </t>
  </si>
  <si>
    <t>Jasmin Espeleta</t>
  </si>
  <si>
    <t xml:space="preserve"> FSBP00133010 </t>
  </si>
  <si>
    <t>SB511</t>
  </si>
  <si>
    <t>THE PLAZA AT ARYA RESIDENCES</t>
  </si>
  <si>
    <t>HAILF090</t>
  </si>
  <si>
    <t xml:space="preserve"> Store Tablet - Auto reset to default</t>
  </si>
  <si>
    <t>12/17 - Coordinate with MOD
- Hard Reset Tablet
- Connect to Wifi, Setup email &amp; QR Code
- Setup &amp; install apps
- Confirm test with mod
- MOD confirmed tablet is up and working</t>
  </si>
  <si>
    <t>Jonas Comla</t>
  </si>
  <si>
    <t>FSBP00133011</t>
  </si>
  <si>
    <t>PPI31118</t>
  </si>
  <si>
    <t xml:space="preserve"> POS B Printer - Cut Print Out</t>
  </si>
  <si>
    <t xml:space="preserve">12/17 - UPON ARRIVAL PRINTER IS WORKING
- OBSERVE TRANSACTIONS FOR 1HR. PROBLEM REOCCURED
- TEST MASS REPRINT OF RECEIPT PROBLEM OCCURRED AGAIN
- PROBLEM OCCURS RANDOMLY, FEEDER DO NOT ROTATE PROPERLY SO THE CUTTER CUTS MANY TIMES.
- RECO FOR HERITAGE CHECKING
- WILL DEPLOY SU PRINTER FOR TEMPORARY
</t>
  </si>
  <si>
    <t>PPP1373</t>
  </si>
  <si>
    <t>FSBP00132212</t>
  </si>
  <si>
    <t>Joint Visit — Installing three (3) terminals and will require an L2 support</t>
  </si>
  <si>
    <t xml:space="preserve">12/17 - Upon arrival coordinate with MOD and wait for Go signal to isolate
- Isolate device, working properly according to MOD, MAYA personnel arrive and replace both terminal devices and test working properly both device
- test both terminals while transact found ok.
- test by MOD tested OK.
</t>
  </si>
  <si>
    <t>standby support - succesful JV with MAYA all terminal are working</t>
  </si>
  <si>
    <t>Bruce Esperso</t>
  </si>
  <si>
    <t xml:space="preserve">FSBP00133236 </t>
  </si>
  <si>
    <t>HA1QGJGB</t>
  </si>
  <si>
    <t>Store Tablet went back to its default setting</t>
  </si>
  <si>
    <t xml:space="preserve">12/17   Upon arrival coordinate with MOD 
- Proceed to reset tablet 
- Set-up tablet; Scan the qr code
- Set-up all apps; QR scanner,RCOC learning,files, one drive, quick support </t>
  </si>
  <si>
    <t>MOD Sheirmaine</t>
  </si>
  <si>
    <t xml:space="preserve"> FSBP00133006 </t>
  </si>
  <si>
    <t>SB657</t>
  </si>
  <si>
    <t>BLOOMFIELDS QUIRINO HIGHWAY DT</t>
  </si>
  <si>
    <t>PP0C0260</t>
  </si>
  <si>
    <t>POS B Printer — Red light blinks and the printer does not cut the paper properly</t>
  </si>
  <si>
    <t>12/17 - Upon arrival check printer; cutter assy defective
- Printer is under warranty
- Ask asset for Service Unit printer
- Wait for delivery
- Install SU printer
- Test by MOD; good
- Endorse defective printer to MOD. Work done</t>
  </si>
  <si>
    <t>Deployed SU Printer - defective printer for heritage repair - IW</t>
  </si>
  <si>
    <t>PPPB1320</t>
  </si>
  <si>
    <t>James Rames</t>
  </si>
  <si>
    <t>FSBP00133441</t>
  </si>
  <si>
    <t>PPPB1266</t>
  </si>
  <si>
    <t>Pull out of SU Printer</t>
  </si>
  <si>
    <t xml:space="preserve">12/17 - Coordinated with the MOD
- Pull Out SU Printer
- Testing using Opos Manager
- MOD witness the Pull Out
</t>
  </si>
  <si>
    <t>pulled out SU printer</t>
  </si>
  <si>
    <t>Tan Dijamco</t>
  </si>
  <si>
    <t>FSBP00133121</t>
  </si>
  <si>
    <t>12/17 - Coordinated with the MOD
- Confirmed defective printer has been repaired.
- Tested the repaired printer thru OPOS and NAV.
- Repaired printer is in good condition.
- Pulled Out SU Printer and defective thermal head.
- MOD witnessed the Pull Out.</t>
  </si>
  <si>
    <t>Angie Artificio</t>
  </si>
  <si>
    <t>FSBP00133442</t>
  </si>
  <si>
    <t>12/17 - Coordinated with the MOD.
- Confirmed defective printer has been repaired.
- Pulled Out SU Printer
- MOD witnessed the Pull Out.</t>
  </si>
  <si>
    <t>FSBP00133197</t>
  </si>
  <si>
    <t>12/17 - Coordinated with the MOD.
- Pull Out SU Printer
- Testing using Opos Manager
- MOD witness the Pull Out
- PASI Support and remote POS D due to opos manager error</t>
  </si>
  <si>
    <t>FSBP00133056</t>
  </si>
  <si>
    <t xml:space="preserve">HVA14HVB </t>
  </si>
  <si>
    <t xml:space="preserve">12/18 Upon arrival, Coordinate to MOD, Proceed to reset/factory reset and continue to log in gmail/account and trying the new account until we reached to install and test applications etc., revoke email/signout mws and login scan;
Work done. 
</t>
  </si>
  <si>
    <t>Checking of Store Tablet</t>
  </si>
  <si>
    <t xml:space="preserve">12/18 -Coordinated with the Manager on Duty (MOD) to check the tablet.
-Coordinated with RCOC (Sir Vince) for support.
-Tablet was reset by RCOC.
-Applied latest updates and configured the tablet.
-Verified setup with MOD.
-Tablet functionality tested by MOD – confirmed OK.
-Work completed.
</t>
  </si>
  <si>
    <t xml:space="preserve">Tablet successfully checked, reset, updated, and verified operational.
</t>
  </si>
  <si>
    <t>Kaevin H. Mangampo</t>
  </si>
  <si>
    <t>FSBP00131889</t>
  </si>
  <si>
    <t>PP040175</t>
  </si>
  <si>
    <t xml:space="preserve"> POS A Thermal Printer Can't print</t>
  </si>
  <si>
    <t>12/17 - Replace for Repair Unit with Service Unit
- Test Transact with mod
- Mod Confirmed printer is working properly</t>
  </si>
  <si>
    <t>PPP1374</t>
  </si>
  <si>
    <t>Team</t>
  </si>
  <si>
    <t xml:space="preserve"> Justin Geroma</t>
  </si>
  <si>
    <t>FSBP00133078</t>
  </si>
  <si>
    <t>HVA4JVPB</t>
  </si>
  <si>
    <t>Store Tablet - request google account</t>
  </si>
  <si>
    <t xml:space="preserve">12/18 -Upon arrival, coordinated with the Manager on Duty (MOD).
-Performed factory reset on the tablet.
-Logged in to Gmail and tested a new account to ensure proper configuration.
-Installed required applications and verified functionality.
-Revoked old email, signed out of MWS, and performed login scan verification.
-All steps completed and confirmed operational.
</t>
  </si>
  <si>
    <t xml:space="preserve">Tablet successfully reconfigured and verified operational.
</t>
  </si>
  <si>
    <t>Mino Aaron</t>
  </si>
  <si>
    <t>Jenie Untala</t>
  </si>
  <si>
    <t>FSBP00133081</t>
  </si>
  <si>
    <t>4CE9241XXN</t>
  </si>
  <si>
    <t>MWS - encountering error and lagging of several programs like Excel when being access</t>
  </si>
  <si>
    <t>12/17 - Coordinate to MOD for MWS checking
- Upon arrival MWS is up and working properly
- As per MOD their files are always opening using WPS
- Uninstall WPS
- Set xlsx default app with Microsoft excel
- Check hdd health; ok 100% health
- check performance in task manager; oK
- Verify to MOD
- Work done</t>
  </si>
  <si>
    <t>Check hdd health status and uninstall wps</t>
  </si>
  <si>
    <t>Therine Lasmarias</t>
  </si>
  <si>
    <t>FSBP00133082</t>
  </si>
  <si>
    <t>HVA1N4VN</t>
  </si>
  <si>
    <t>Store Tablet - requesting google account</t>
  </si>
  <si>
    <t xml:space="preserve">12/19 - -Upon arrival, borrowed the store tablet for checking.
-Performed FRP bypass.
-Executed factory reset via device settings.
-Completed tablet setup and installed required applications.
-Restarted the tablet and exited kiosk mode.
-Tablet tested and validated by MOD; working properly.
-Work completed successfully.
</t>
  </si>
  <si>
    <t xml:space="preserve">Performed FRP bypass.
</t>
  </si>
  <si>
    <t>Jene Asperas</t>
  </si>
  <si>
    <t>FSBP00133132</t>
  </si>
  <si>
    <t>HVA18LK7</t>
  </si>
  <si>
    <t>Store tablet - has been reset/factory restored</t>
  </si>
  <si>
    <t xml:space="preserve">12/18 -Coordinated with the Manager on Duty (MOD); confirmed store code and device details.
-Verified that the tablet was reset to default settings.
-Performed factory reset and bypass procedure.
-Installed required applications.
-Revoked existing email access (RCOC) and configured the store email with the MOD.
-Tablet testing was conducted and verified by the MOD with successful results.
</t>
  </si>
  <si>
    <t xml:space="preserve">Tablet successfully reconfigured, tested, and confirmed operational.
</t>
  </si>
  <si>
    <t>Ed Galeria</t>
  </si>
  <si>
    <t>FSBP00133137</t>
  </si>
  <si>
    <t>POS B Printer - Wont print and no red light error</t>
  </si>
  <si>
    <t xml:space="preserve">12/18 -Inspected the printer and confirmed the red error light was present.
-Checked paper alignment and roller condition.
-Found a broken internal hook and possible sensor issue, as paper was intermittently not being detected.
-Deployed a Service Unit (SU) printer for temporary use.
-Recommended further inspection and repair of the broken hook and sensor by Heritage.
</t>
  </si>
  <si>
    <t xml:space="preserve">Deployed a Service Unit (SU) printer for temporary use.
</t>
  </si>
  <si>
    <t xml:space="preserve"> Jonah Villamor</t>
  </si>
  <si>
    <t>FSBP00132884</t>
  </si>
  <si>
    <t>PP040094</t>
  </si>
  <si>
    <t xml:space="preserve"> POS A printer - Is not working as it shows an error "OPOS_E_NOTCLAIMED"</t>
  </si>
  <si>
    <t xml:space="preserve">12/18 -Coordinated with MOD for POS A printer inspection.
-Confirmed printer unable to print; found broken hook.
-Deployed SU printer as replacement.
-Tested self-print, OPOS, and LSNAV – all working correctly.
-Endorsed defective printer to MOD for further verification.
-Work completed successfully.
</t>
  </si>
  <si>
    <t xml:space="preserve">Deployed SU printer. Recommended heritage checking for defective printer.
</t>
  </si>
  <si>
    <t xml:space="preserve">FSBP00133175 </t>
  </si>
  <si>
    <t xml:space="preserve"> SM CITY GRAND CENTRAL</t>
  </si>
  <si>
    <t>E1610 4G LTE Router</t>
  </si>
  <si>
    <t>Smart LTE Deployment Dec 18, 2025 10am onwards</t>
  </si>
  <si>
    <t xml:space="preserve">12/18 -Upon arrival, coordinated with MOD regarding the ticket concern and awaited LTE device from assets.
-Received LTE device and conducted standalone speed tests (3×) – results OK.
-Waited for Go signal to replace defective LTE.
-Connected new LTE device to WAN port on Meraki router – successfully connected to the internet.
-Removed old LTE device (non-functional).
</t>
  </si>
  <si>
    <t xml:space="preserve">Replaced old LTE device with new LTE device; new device successfully connected to the internet.
</t>
  </si>
  <si>
    <t xml:space="preserve"> JM Perreras</t>
  </si>
  <si>
    <t xml:space="preserve">FSBP00133171 </t>
  </si>
  <si>
    <t>Pull out Service unit printer</t>
  </si>
  <si>
    <t>12/18 -Upon arrival coordinate mod regarding pullout of service unit printer.
-install store printer sn: PPM83899
-Pullout service unit printer sn:PPPB1347</t>
  </si>
  <si>
    <t>Raffy Sabia</t>
  </si>
  <si>
    <t>FSBP00133172</t>
  </si>
  <si>
    <t xml:space="preserve">12/18 -Coordinated with the Manager on Duty (MOD).
-Pulled out the Service Unit (SU) printer.
-Conducted testing using OPOS Manager.
-MOD witnessed the testing and reprinted receipts three (3) times to confirm proper functionality.
</t>
  </si>
  <si>
    <t xml:space="preserve">Service Unit (SU) printer successfully pulled out.
</t>
  </si>
  <si>
    <t>John Ryan Reyes</t>
  </si>
  <si>
    <t>FSBP00133173</t>
  </si>
  <si>
    <t>12/18 -Upon arrival, coordinated with the Manager on Duty (MOD) regarding the pull-out of the SU printer.
-Pulled out Service Unit printer, Serial No.: PPPB1315.</t>
  </si>
  <si>
    <t xml:space="preserve">Pulled out Service Unit printer, Serial No.: PPPB1315.
</t>
  </si>
  <si>
    <t xml:space="preserve"> Mercy Balmores</t>
  </si>
  <si>
    <t>FSBP00133174</t>
  </si>
  <si>
    <t>PPPB1339</t>
  </si>
  <si>
    <t xml:space="preserve">12/18 -Upon arrival, coordinated with the Manager on Duty (MOD) regarding the scheduled pull-out of the Service Unit (SU) printer.
-Verified printer details and confirmed the unit was tagged for pull-out.
-Safely powered off the POS printer and disconnected all power and communication cables.
-Removed the SU printer from the POS workstation.
-Properly labeled and secured the SU printer for pull-out and asset handling.
-Coordinated with the MOD and confirmed successful completion of the pull-out activity.
</t>
  </si>
  <si>
    <t xml:space="preserve"> Gemma Poblete</t>
  </si>
  <si>
    <t>FSBP00133004</t>
  </si>
  <si>
    <t>SB352</t>
  </si>
  <si>
    <t>HEMADY SQUARE</t>
  </si>
  <si>
    <t>41-LD600</t>
  </si>
  <si>
    <t>POS B — Not working</t>
  </si>
  <si>
    <t xml:space="preserve">12/18 -Upon arrival, POS B was found without power.
-Checked power cable; found unplugged.
-Inspected power button; confirmed broken.
-Requested a new bezel from assets.
-Removed broken power button so POS B could be temporarily used by store partners.
-Waited for bezel delivery.
-Removed old bezel and installed new bezel.
-Tested functionality with MOD; confirmed operational.
</t>
  </si>
  <si>
    <t xml:space="preserve">Removed broken power button and replaced POS bezel.
</t>
  </si>
  <si>
    <t>Paw Barredo</t>
  </si>
  <si>
    <t xml:space="preserve">FSBP00132810 </t>
  </si>
  <si>
    <t>HVA1N4R0</t>
  </si>
  <si>
    <t xml:space="preserve"> Store Tablet - Can't Connect to SBdelivery Wifi</t>
  </si>
  <si>
    <t xml:space="preserve">12/18 -Coordinated with Infra regarding connected devices on SB Delivery Wi-Fi.
-Registered tablet MAC address with Sir Bryan (Infra).
-Reconnected tablet to SB Delivery Wi-Fi.
-MOD confirmed tablet is connected properly.
</t>
  </si>
  <si>
    <t xml:space="preserve">Reconnected tablet to SB Delivery Wi-Fi.
</t>
  </si>
  <si>
    <t>Mike Vito</t>
  </si>
  <si>
    <t>FSBP00133176</t>
  </si>
  <si>
    <t>HA1QJQF1</t>
  </si>
  <si>
    <t>Store Tablet (HA1QJQF1)- Can't Connect to SBdelivery Wifi</t>
  </si>
  <si>
    <t>FSBP00133180</t>
  </si>
  <si>
    <t xml:space="preserve"> 41MH934</t>
  </si>
  <si>
    <t>POS A — Not turning on</t>
  </si>
  <si>
    <t>12/18 -FOUND POS A IS UP &amp; WORKING, AS PER MOD POS HAS LOOSE POWER CORD
-SECURE CABLES WITH ZIP TIE TO PROVEN FROM LOOSE CONNECTION AGAIN
-CONFIRMED BY MOD, POS IS UP &amp; WORKING</t>
  </si>
  <si>
    <t>secure cable using ziptie</t>
  </si>
  <si>
    <t>FSBP00133454</t>
  </si>
  <si>
    <t>GM067EAM</t>
  </si>
  <si>
    <t xml:space="preserve"> Unable to remotely access BOS.
</t>
  </si>
  <si>
    <t xml:space="preserve">12/18 -Checked BOS network connectivity and verified ping response.
-Confirmed internet speed at approximately 1 Gbps.
-Tested remote access using PASI tools.
-Issue resolved and work completed.
</t>
  </si>
  <si>
    <t xml:space="preserve">Remote BOS access successfully tested via PASI.
</t>
  </si>
  <si>
    <t xml:space="preserve"> Mutya Reyes</t>
  </si>
  <si>
    <t xml:space="preserve">FSBP00133461  </t>
  </si>
  <si>
    <t>POS A repaired printer encountered a recurring issue.</t>
  </si>
  <si>
    <t xml:space="preserve">12/18 -Upon arrival, verified that the Service Unit (SU) printer was temporarily being used on POS B, as replaced by the MOD due to the recurring issue with the repaired printer.
-Inspected the repaired printer and found a broken internal hook.
-Work completed and findings documented.
</t>
  </si>
  <si>
    <t xml:space="preserve">Recommendation for endorsement to Heritage due to broken internal hook.
</t>
  </si>
  <si>
    <t>FSBP00132740</t>
  </si>
  <si>
    <t>RAX701-GC-WP-05</t>
  </si>
  <si>
    <t>133002031620A25718A0040G</t>
  </si>
  <si>
    <t xml:space="preserve">Radius Fiber Rectification and Activation </t>
  </si>
  <si>
    <t xml:space="preserve">12/18 -Coordinated with the MOD upon arrival regarding the planned activity.
-Waited for Radius personnel to arrive onsite.
-Assisted Radius personnel with conduit exit installation for the Radius FOC.
-Captured IP details and conducted three (3) speed tests and continuous ping tests to 8.8.8.8 and the gateway.
-No RTO observed; average speed recorded at 50 Mbps (download/upload).
-Provided IP details to Trends team for configuration.
-Terminated Radius connection on Port 2 of the Meraki MX.
-Trends team confirmed Radius detection on the dashboard with a 1 Gbps port speed.
-Removed the existing Smart Biz LTE device.
</t>
  </si>
  <si>
    <t>Assisted Radius personnel with conduit exit installation for the Radius FOC.</t>
  </si>
  <si>
    <t>Angel Cube</t>
  </si>
  <si>
    <t>FSBP00133181</t>
  </si>
  <si>
    <t>41NW450</t>
  </si>
  <si>
    <t>POS A &amp; B — Suddenly POS turned blue screen despite restarting the device</t>
  </si>
  <si>
    <t xml:space="preserve">12/18 -Coordinated with MOD upon arrival.
-Checked POS health – 100%
-Ran CHKDSK – no bad sectors found.
-Found corrupted files during inspection.
-Reimaged POS.
-Updated host file, computer name, and IP address.
-Recrimped POS from end to end.
-Verified connectivity – 1 Gbps.
-Installed MAYA and OPOS drivers.
-Remote assistance by PASI.
-Tested all devices; verified proper domain connection.
-Set up auto-login.
-Tested and witnessed by MOD.
</t>
  </si>
  <si>
    <t xml:space="preserve">Reimaged POS to restore functionality.
</t>
  </si>
  <si>
    <t xml:space="preserve">12:00 PM, 1:38 PM </t>
  </si>
  <si>
    <t>1:00 PM, 2:26 PM</t>
  </si>
  <si>
    <t>Christiana Lois Alaan</t>
  </si>
  <si>
    <t>FSBP00133182</t>
  </si>
  <si>
    <t>41NW433</t>
  </si>
  <si>
    <t xml:space="preserve">12/18 -Coordinated with MOD upon arrival.
-Checked POS health – 100%.
-Ran CHKDSK – no bad sectors found.
-Found corrupted files during inspection.
-Reimaged POS.
-Updated host file, computer name, and IP address.
-Recrimped POS from end to end.
-Verified connectivity – 1 Gbps.
-Installed MAYA and OPOS drivers.
-Remote assistance by PASI.
-Tested all devices; verified proper domain connection.
-Set up auto-login.
-Tested and witnessed by MOD.
</t>
  </si>
  <si>
    <t>11:34 AM, 2:30 PM, 4:58 PM</t>
  </si>
  <si>
    <t>2:30 PM, 3:47 PM, 5:37 PM</t>
  </si>
  <si>
    <t>FSBP00133187</t>
  </si>
  <si>
    <t>HA1PDGJF</t>
  </si>
  <si>
    <t xml:space="preserve"> Store Tablet - Default Setting</t>
  </si>
  <si>
    <t xml:space="preserve">12/18 -Upon arrival, coordinated with MOD regarding the ticket concern and awaited Go signal to isolate the issue.
-Received tablet and attempted to restart and connect to Starbucks Delivery Wi-Fi; issue persisted.
-Performed a hard reset and conducted proper installation for the store tablet.
-Verified all applications were installed successfully. Requested revocation of partner’s email to rebind in Authenticator; device binding completed successfully and is compliant per RCOC.
-MOD tested device functionality – confirmed working properly.
</t>
  </si>
  <si>
    <t xml:space="preserve">Performed a hard reset and completed proper installation on the store tablet.
</t>
  </si>
  <si>
    <t xml:space="preserve"> FSBP00133191</t>
  </si>
  <si>
    <t xml:space="preserve"> SANTOLAN TOWN PLAZA</t>
  </si>
  <si>
    <t xml:space="preserve"> PP7600x</t>
  </si>
  <si>
    <t xml:space="preserve"> PPN72136</t>
  </si>
  <si>
    <t>POS A printer - cut printout receipt</t>
  </si>
  <si>
    <t xml:space="preserve">12/18 -Coordinated with MOD upon arrival.
-Checked printer; found paper not feeding properly.
-Inspected printer hooks – no issues found.
-Checked printer roller; found dirty roller.
-Cleaned printer roller.
-Tested paper feed – OK.
-Performed test print – printing properly; confirmed by MOD.
-Opened and tested printer multiple times to check recurrence – no issues observed.
-Observed printer operation for a period – working normally.
</t>
  </si>
  <si>
    <t xml:space="preserve">Cleaned printer roller to restore proper receipt cutting and paper feed.
</t>
  </si>
  <si>
    <t>FSBP00133204</t>
  </si>
  <si>
    <t>SB639</t>
  </si>
  <si>
    <t>SHANGRI-LA THE FORT 3RD AVENUE</t>
  </si>
  <si>
    <t>HV1PEBAV</t>
  </si>
  <si>
    <t xml:space="preserve">Store Tablet was reset to its default setting
</t>
  </si>
  <si>
    <t xml:space="preserve">12/19 -Upon arrival, coordinated with the MOD.
-Performed tablet reset / factory reset procedures.
-Logged in using the appropriate Google account and attempted setup with a new account as needed.
-Completed tablet setup, including application installation and testing.
-Revoked email access, signed out of MWS, and completed login via QR scan.
-Verified full tablet functionality.
-Work completed successfully.
</t>
  </si>
  <si>
    <t xml:space="preserve">Store tablet successfully reset and configured using a step-by-step setup process.
</t>
  </si>
  <si>
    <t>Leiry Datu</t>
  </si>
  <si>
    <t>FSBP00133210</t>
  </si>
  <si>
    <t>SB485</t>
  </si>
  <si>
    <t>TABLET M10</t>
  </si>
  <si>
    <t>HVA1N4W0</t>
  </si>
  <si>
    <t>Store Tablet - has been reset and requesting a google account</t>
  </si>
  <si>
    <t xml:space="preserve">12/19 -Performed FRP bypass procedure.
-Restored tablet to factory settings.
-Scanned required QR code for setup.
-Installed necessary applications and conducted testing.
-Revoked associated email account.
-Tested MS Authenticator with MOD.
-Verified tablet functionality; work completed successfully.
</t>
  </si>
  <si>
    <t xml:space="preserve">Store tablet successfully reset and configured.
</t>
  </si>
  <si>
    <t>JM Capili</t>
  </si>
  <si>
    <t>FSBP00133217</t>
  </si>
  <si>
    <t xml:space="preserve"> SM PAMPANGA</t>
  </si>
  <si>
    <t>HVA4JT97</t>
  </si>
  <si>
    <t>Store Tablet went back to its default setting and asking for google account</t>
  </si>
  <si>
    <t>12/19 -Upon arrival, coordinated with the MOD.
-L2 performed a hard reset on the Lenovo tablet.
-Downloaded and installed all required applications.
-Revoked store email access from MWS.
-RCOC performed Authenticator setup.</t>
  </si>
  <si>
    <t xml:space="preserve">performed a hard reset on the Lenovo tablet.
</t>
  </si>
  <si>
    <t>Timmy David</t>
  </si>
  <si>
    <t xml:space="preserve">FSBP00133201 </t>
  </si>
  <si>
    <t>KS-7421P</t>
  </si>
  <si>
    <t>KSM60539</t>
  </si>
  <si>
    <t>BOS — POS A recurring error "Lock by Another User"</t>
  </si>
  <si>
    <t xml:space="preserve">12/19 -Coordinated with the MOD; confirmed all devices were up and running.
-Performed overall BOS system check.
-Reviewed Event Viewer logs and confirmed an unexpected shutdown event.
-Verified Power Options; sleep and shutdown settings set to Never.
-Checked HDD health (100% healthy).
-Checked system temperature (50–60°C); no overheating observed.
-Reviewed Task Scheduler; no shutdown-related tasks found.
-Performed ping tests to 8.8.8.8 and between POS A and POS B; no RTO encountered.
-Secured all cables and cleaned device vents.
-Performed comprehensive checking on POS A.
-Verified POS A ping test results; all normal.
-Re-secured POS A cables.
-Monitored the system for stability.
-Confirmed all devices were stable and operational.
</t>
  </si>
  <si>
    <t xml:space="preserve">Confirmed all devices were stable and operational.
</t>
  </si>
  <si>
    <t>SD KING ARON</t>
  </si>
  <si>
    <t xml:space="preserve"> Jeffrey A. Baluscan</t>
  </si>
  <si>
    <t>FSBP00133517</t>
  </si>
  <si>
    <t xml:space="preserve"> KS-7421P</t>
  </si>
  <si>
    <t>BOS — POS B recurring error "Lock by Another User"</t>
  </si>
  <si>
    <t>FSBP00133252</t>
  </si>
  <si>
    <t>ROCKWELL BUSINESS CENTER SHERIDAN</t>
  </si>
  <si>
    <t>41PW009</t>
  </si>
  <si>
    <t>POS A - automatically shutdown</t>
  </si>
  <si>
    <t>12/19 -Upon arrival, borrowed POS A for checking.
-Checked Task Scheduler; no scheduled shutdown or restart found.
-Checked Event Viewer; confirmed random shutdown events.
-Inspected power cable; POS shut down when cable was moved.
-Moved POS back cover; unit shut down again.
-Ensured snug fit of POS A power cable.
-Found outlet end of power cable bent; straightened and fixed.
-Powered on POS; unit no longer shut down when power cable was moved.
-Tested by MOD; working properly.
-Observed for possible recurrence; none noted.
-Work completed.</t>
  </si>
  <si>
    <t xml:space="preserve">Secured and corrected power cable connection.
</t>
  </si>
  <si>
    <t>FSBP00128740</t>
  </si>
  <si>
    <t>SB Delivery WiFi - No Connection</t>
  </si>
  <si>
    <t>12/19 - Coordinate with MOD  
- Wait for the call from the MOD before we proceed
- Check all lan cable in FOH available to use in AP; 1 Cable found
- Re crimp lan cable
- Perform testing lan cable cable is good
- Connect AP
- AP is now working confirmed by Trends</t>
  </si>
  <si>
    <t>relocate AP to FOH</t>
  </si>
  <si>
    <t>Andrea Pollyn Perez</t>
  </si>
  <si>
    <t>FSBP00133283</t>
  </si>
  <si>
    <t>PP050272</t>
  </si>
  <si>
    <t>POS B Thermal Printer - Error Light Blinking</t>
  </si>
  <si>
    <t xml:space="preserve">12/19- Upon arrival, coordinated with the MOD.
-Checked POS B printer; no red error light observed upon arrival.
-Inspected inside the printer; no hardware issues found, only internal dust buildup.
-Cleaned the printer interior.
-As per MOD, printer was randomly turning off during POS usage.
-Checked printer cable connection to the POS; printer error light turned red when the POS was slightly moved.
-Found printer cable to be too tight.
-Provided cable allowance at the POS side.
-Retested by moving the printer cable; issue no longer occurred and error light did not turn red.
-Checked adapter cable; no issues found.
-Performed test print; successful and confirmed by MOD.
-Observed operation for stability.
-Work completed.
</t>
  </si>
  <si>
    <t xml:space="preserve">Secured printer cable connections end-to-end.
</t>
  </si>
  <si>
    <t>Izy Molano</t>
  </si>
  <si>
    <t xml:space="preserve">FSBP00133291 </t>
  </si>
  <si>
    <t>SB570</t>
  </si>
  <si>
    <t>ROBINSONS PLACE TUGUEGARAO</t>
  </si>
  <si>
    <t>HVA1N4QM</t>
  </si>
  <si>
    <t>Store tablet- Has been reset</t>
  </si>
  <si>
    <t>12/19 - Coordinate with MOD
- Proceed to reset/factory reset
- Find best data connection area and proceed, as currently Globe, Smart, and SBUX delivery have slow connections
- Continue to log in gmail/account 
- Installed and test applications; completed
- Request RCOC to revoke partners email; done
- Check tablet with MOD; tested and approved
- Work done.</t>
  </si>
  <si>
    <t xml:space="preserve"> reset and setup store tablet</t>
  </si>
  <si>
    <t>Noel Taguiam</t>
  </si>
  <si>
    <t xml:space="preserve">FSBP00133294 </t>
  </si>
  <si>
    <t>PP790000B001</t>
  </si>
  <si>
    <t>POS A Thermal Printer - Won't Print</t>
  </si>
  <si>
    <t>12/19 -Upon arrival, coordinated with the MOD.
-Checked thermal printer; identified an issue with the paper sensor.
-Cleaned and adjusted the paper sensor; printer functioned temporarily but issue reoccurred.
-Recommended escalation to Heritage for further checking and repair.
-Advised MOD that the printer vendor will visit the store for resolution.
-Work completed.</t>
  </si>
  <si>
    <t xml:space="preserve">Issue persists intermittently; recommended vendor-level repair.
</t>
  </si>
  <si>
    <t xml:space="preserve"> Jamie Juan</t>
  </si>
  <si>
    <t xml:space="preserve">FSBP00133309 </t>
  </si>
  <si>
    <t>PPM83868</t>
  </si>
  <si>
    <t>POS A Printer — Cut print-out</t>
  </si>
  <si>
    <t>12/19 -Coordinated with MOD for POS A printer checking.
-Confirmed random cut print-out issue.
-Temporary fix attempted using rubber band; printer functioned but issue persisted.
-Found printer hook worn out.
-Proceeded with deployment of SU printer.
-Performed self-test print, OPOS, and LSNAV testing; all tests passed.
-Endorsed defective printer to MOD.
-Verified functionality with MOD.
-Work completed.</t>
  </si>
  <si>
    <t xml:space="preserve">Deployed SU printer for continued store operations.
</t>
  </si>
  <si>
    <t xml:space="preserve">Yvonne Aliaga
</t>
  </si>
  <si>
    <t>FSBP00133615</t>
  </si>
  <si>
    <t xml:space="preserve">12/20 -Upon arrival, coordinated with MOD
-Checked pull-out SU printer serial number
-Performed pull-out of SU printer
-Completed required work and verification
</t>
  </si>
  <si>
    <t xml:space="preserve">Pull-out service unit printer was completed and verified.
</t>
  </si>
  <si>
    <t>Heritage</t>
  </si>
  <si>
    <t>Andre L</t>
  </si>
  <si>
    <t>FSBP00133568</t>
  </si>
  <si>
    <t xml:space="preserve">Pull-out service unit printer was replaced and verified operational.
</t>
  </si>
  <si>
    <t>Claire Genoche</t>
  </si>
  <si>
    <t>FSBP00133564</t>
  </si>
  <si>
    <t>12/20 - Upon arrival coordinate to MOD
- Check pullout S/N SU printer
- Pullout SU printer
- Work done</t>
  </si>
  <si>
    <t>FSBP00133438</t>
  </si>
  <si>
    <t xml:space="preserve">12/20 - Upon arrival coor to MOD
- Proceed to check and replace printer and pull out SU
- Check and test by MOD; approved
- Pause time 30 minutes for observation
- Work end
</t>
  </si>
  <si>
    <t>Noreen Clarito</t>
  </si>
  <si>
    <t>FSBP00133566</t>
  </si>
  <si>
    <t>12/20 - Coordinate with MOD
- POS D SU printer is currently use
- Replace to Repaired POS D printer
- Tested print okay
- Pullout SU printer
- Pullout defective cutter assembly
- Work done</t>
  </si>
  <si>
    <t>Lloyd Dris</t>
  </si>
  <si>
    <t>FSBP00133436</t>
  </si>
  <si>
    <t>OKHJHNQUX500003B</t>
  </si>
  <si>
    <t>Pre Menu - Disconnected</t>
  </si>
  <si>
    <t>12/20 - Coordinate with MOD
- Check pre-menu Display Screen: functional
- Check pre-menu and pre-menu spare lan cable: damaged
- Perform lan testing: pre-menu and pre-menu spare not working
- Ping on MWS; both ports host unreachable
- Coordinate team and RCOC Sir Vince; done
- Endorsed MOD; done
- Work done</t>
  </si>
  <si>
    <t>reco to Faci: pre-menu cables are damaged. All pre-menu cables needs to be changed</t>
  </si>
  <si>
    <t>Reynan Democillo, Jhay Alphonsus Chu</t>
  </si>
  <si>
    <t>Sheerah Ybañez</t>
  </si>
  <si>
    <t>FSBP00133154</t>
  </si>
  <si>
    <t>PP0C0146</t>
  </si>
  <si>
    <t>12/20 - Upon arrival coordinated with MOD
- Check POS A (two red indicators)
- Clean thermal head
- Reseat cables
- Reseat paper receipt
- Same issue (two red indicators)</t>
  </si>
  <si>
    <t>Deployed a Service Unit (SU) printer - for heritage checking</t>
  </si>
  <si>
    <t>April Pienes</t>
  </si>
  <si>
    <t>FSBP00132854</t>
  </si>
  <si>
    <t>HA1QJAP9</t>
  </si>
  <si>
    <t>Store Tablet - Factory Reset</t>
  </si>
  <si>
    <t xml:space="preserve">12/20 -Upon arrival, coordinated with the MOD regarding the reported tablet factory reset issue.
-Verified tablet status onsite and confirmed the device was locked and requesting account verification.
-Ensured the tablet was properly connected to store Wi-Fi and had sufficient battery level.
-Performed factory reset following company-approved procedures.
-Scanned QR code for company standard installation process.
-Configured tablet settings based on standard store requirements.
-Successfully connected the tablet to the Starbucks Delivery network.
-Verified that all standard required applications were properly installed and functioning.
-Checked the tablet MAC address and IMEI for asset reference.
-Conducted basic functionality testing to ensure normal system access and application launch.
-Updated the MOD and confirmed the tablet was restored and fully operational.
</t>
  </si>
  <si>
    <t xml:space="preserve">Performed factory reset following company-approved procedures.
</t>
  </si>
  <si>
    <t xml:space="preserve"> Brendan Ortega</t>
  </si>
  <si>
    <t xml:space="preserve">FSBP00133471 </t>
  </si>
  <si>
    <t>SB400</t>
  </si>
  <si>
    <t xml:space="preserve"> SM CITY CABANATUAN</t>
  </si>
  <si>
    <t>KSM60564</t>
  </si>
  <si>
    <t>POS A - Monitored down</t>
  </si>
  <si>
    <t xml:space="preserve">12/20 -Upon arrival, coordinated with the MOD regarding the reported issue.
-L2 performed re-crimping of the LAN cable connected to POS A.
-Verified network speed and confirmed POS A was operating at 1 Gbps after re-crimping.
-Conducted ping test to POS A with no RTO issues observed.
-Replaced the LAN cable connected to the BOS Server with a new cable.
-MOD witnessed and confirmed that POS A was functioning properly.
</t>
  </si>
  <si>
    <t xml:space="preserve">Replaced LAN cable connected to BOS Server and re-crimped LAN cable for POS A
</t>
  </si>
  <si>
    <t xml:space="preserve"> Olivia Lacambra</t>
  </si>
  <si>
    <t xml:space="preserve">FSBP00133472 </t>
  </si>
  <si>
    <t>KSM60581</t>
  </si>
  <si>
    <t xml:space="preserve"> POS B Intermittent Local Connection - Intermittent RTO</t>
  </si>
  <si>
    <t xml:space="preserve">12/20 -Upon arrival, coordinated with the MOD regarding the reported issue.
-L2 performed re-crimping of the LAN cable connected to POS B.
-Verified network speed and confirmed POS B was operating at 1 Gbps after re-crimping.
-Conducted ping test to POS B and confirmed no RTO issues.
-MOD witnessed and confirmed that POS B was functioning properly.
</t>
  </si>
  <si>
    <t xml:space="preserve">Replaced LAN cable connected to the BOS server and re-crimped LAN cable for POS B.
</t>
  </si>
  <si>
    <t xml:space="preserve">FSBP00133130 </t>
  </si>
  <si>
    <t>KSHC0089</t>
  </si>
  <si>
    <t xml:space="preserve"> POS A Black Screen Only</t>
  </si>
  <si>
    <t>12/20 - Upon arrival, Coordinate with MOD
- Checking POS A to verify the issue
- Black Screen Only in POS A: Yes
- Reset Power cable; Same issue black screen
- POS A proceeding to windows: No
- POS A proceeding to Diagnosing Automatic Repair: Yes
- POS A proceeding to windows: No same issue
- POS A proceeding to Automatic Repair and restart: Yes
- POS A proceeding to windows: Still no same issue
- checkdisk: Corrupted Files
- Perform Hard Reset onto the HDD: Working
- Try to boot on hirens: Working
- Proceed to re-image POS A
- POS configuration
- Remote by PASI
- Tried domain, account is locked out
- Tried change name, can't domain
- Test transaction with MOD: OK</t>
  </si>
  <si>
    <t>hard Reset the HDD due to corrupted files &amp; Re-image POS - for RCOC domain</t>
  </si>
  <si>
    <t xml:space="preserve"> Jhay Alphonsus Chu</t>
  </si>
  <si>
    <t>Donna Sarabia</t>
  </si>
  <si>
    <t>FSBP00133330</t>
  </si>
  <si>
    <t>MWS — Disconnected</t>
  </si>
  <si>
    <t>12/21 - Coordinate with MOD
- Upon checking mws is connected to wifi
- Check lan cable and reseat cable both ends
- Reinstall network driver
- Setup ip address
- Test with mod working and have internet
- work done</t>
  </si>
  <si>
    <t>reseat and reinstall network driver</t>
  </si>
  <si>
    <t>Winnie Euroba</t>
  </si>
  <si>
    <t>FSBP00133320</t>
  </si>
  <si>
    <t>HA1QGNRD</t>
  </si>
  <si>
    <t>Store tablet cannot be operated password change needed</t>
  </si>
  <si>
    <t>12/21 -Upon arrival, coordinated with the Manager on Duty (MOD).
-Checked the tablet and found it had reverted to default settings.
-Performed a factory data reset.
-Connected the store tablet to Starbucks Delivery Wi-Fi using the device MAC address.
-Set up tablet credentials and QR code.
-Waited for the setup process to complete.
-Set tablet password to “123456.”
-Installed required applications.
-Set up the authenticator.
-MOD tested the authenticator successfully and confirmed proper functionality.
-Informed the MOD of the tablet password.
-Work completed.</t>
  </si>
  <si>
    <t xml:space="preserve">Reimaged the store tablet and updated the tablet system and applications to the latest versions.
</t>
  </si>
  <si>
    <t>Jun Morales</t>
  </si>
  <si>
    <t>FSBP00133055</t>
  </si>
  <si>
    <t>HVA4JS4G</t>
  </si>
  <si>
    <t>Store tablet was automatically reset and unable to access intra mail</t>
  </si>
  <si>
    <t>12/21 - Coordinate with MOD  
- Performed factory reset
- Installed applications and config, done
- Connect tablet sbuxdelivery SSID.
- Check tablet with MOD, MOD approved</t>
  </si>
  <si>
    <t>Mica San Juan</t>
  </si>
  <si>
    <t>FSBP00133503</t>
  </si>
  <si>
    <t>HVA4JSV1</t>
  </si>
  <si>
    <t>Store Tablet - Reset Default Setting</t>
  </si>
  <si>
    <t>12/21 - Upon arrival coordinate with MOD
- Proceed to reset tablet
- Set-up tablet; Scan the qr code
- Set-up all apps; QR scanner,RCOC learning,files, one drive, quick support
- Check by MOD; approved</t>
  </si>
  <si>
    <t>Aly Miralles</t>
  </si>
  <si>
    <t>FSBP00133505</t>
  </si>
  <si>
    <t>HA1QGJDY</t>
  </si>
  <si>
    <t>FSBP00133344</t>
  </si>
  <si>
    <t>HA1LJ0B1</t>
  </si>
  <si>
    <t>Store Tablet for configuration</t>
  </si>
  <si>
    <t>12/21 -Upon arrival, coordinated with the Manager on Duty (MOD).
-Performed tablet reset / factory reset.
-Logged in using Gmail/account credentials.
-Attempted new account setup until successful installation and testing of required applications.
-Installed and tested applications.
-Revoked email access and signed out from MWS.
-Logged in via QR code scan.
-Verified tablet functionality.
-Work completed.</t>
  </si>
  <si>
    <t xml:space="preserve">Completed step-by-step configuration of the store tablet.
</t>
  </si>
  <si>
    <t xml:space="preserve">Francis Ebol
</t>
  </si>
  <si>
    <t>FSBP00133514</t>
  </si>
  <si>
    <t>POS B Printer — Red light indicator</t>
  </si>
  <si>
    <t>12/21 -Upon arrival, coordinated with the MOD to confirm the reported issue.
-Inspected the POS B Posiflex printer; unit was initially powered off by store partners.
-Powered on the printer; red light indicator remained on.
-Performed multiple power cycle tests; red light temporarily turned off but returned.
-Opened and reseated paper roll; red light persisted.
-Checked for paper jams; none found.
-Inspected inside the printer and found dust buildup.
-Cleaned the paper feed and internal components.
-Performed printer self-test; printer failed and red light issue persisted.
-Recommended endorsement to Heritage vendor for checking and repair.</t>
  </si>
  <si>
    <t>Reco to Heritage for checking and repair</t>
  </si>
  <si>
    <t>Jhay Alphonsus Chu</t>
  </si>
  <si>
    <t xml:space="preserve">Christian Jan Misanes
</t>
  </si>
  <si>
    <t>FSBP00133511</t>
  </si>
  <si>
    <t>PP0C0310</t>
  </si>
  <si>
    <t>POS D Printer- Cannot fully cut the receipt resulting to an error and the light on the middle keeps on blinking red.</t>
  </si>
  <si>
    <t>12/21-Upon arrival, inspected the POS D printer.
-Verified printer operation; observed intermittent red indicator light and printer cover lock issue.
-Cleaned the thermal print head.
-Reseated all printer cables.
-Reseated and replaced paper roll; issue persisted.
-Confirmed printer is under warranty (July 17, 2025).
-Identified printer as defective.
-Endorsed defective printer to [SM] Paolo Terrobias.
-Recommended Heritage checking and repair.</t>
  </si>
  <si>
    <t xml:space="preserve">Deployed a Service Unit (SU) printer to replace the defective POS D printer.
</t>
  </si>
  <si>
    <t>FSBP00133548</t>
  </si>
  <si>
    <t>POS A: Cash drawer 1 won't automatically Close</t>
  </si>
  <si>
    <t>12/21 FOUND CASH DRAWER WON'T LOCK ONCE PUSH TO CLOSE
-CHECK INSIDE, FOUND SOME BROKEN PLASTIC
-REPLACE CASH DRAWER
-MOD CONFIRMED CASH DRAWER IS UP &amp; WORKING</t>
  </si>
  <si>
    <t xml:space="preserve">Replaced cash drawer
</t>
  </si>
  <si>
    <t>Bench Penida</t>
  </si>
  <si>
    <t>FSBP00133549</t>
  </si>
  <si>
    <t>PPM92004</t>
  </si>
  <si>
    <t>POS A: printer won't print</t>
  </si>
  <si>
    <t>12/21 -FOUND PRINTER RED LIGHT
-CHECK PAPER &amp; ROLLER NO BROKEN PART
-TEST PRINT, IT WON'T PRINT PROPERLY &amp; PAPER STUCKS.
-DEPLOY SERVICE UNIT FOR TEMPORARY USE.
-TEST WITH MOD, MOD CONFIRMED SU PRINTER IS WORKING PROPERLY
-RECO PRINTER FOR HERITAGE CHECKING</t>
  </si>
  <si>
    <t xml:space="preserve">Deployed a Service Unit (SU) printer 
</t>
  </si>
  <si>
    <t xml:space="preserve"> PPPB1322</t>
  </si>
  <si>
    <t xml:space="preserve">FSBP00133537 </t>
  </si>
  <si>
    <t>BOS, POS B</t>
  </si>
  <si>
    <t xml:space="preserve"> KSIB0043</t>
  </si>
  <si>
    <t>POS B - Error 'The connection to the server has been lost.</t>
  </si>
  <si>
    <t>12/22 - Upon arrival, coordinated with the MOD.
- Checked the POS B connection and confirmed the network speed is 1 Gbps.
- Observed that POS B was experiencing latency higher than 1 ms.
- Verified the health of the HDD, which is at 100%.
- Identified that the random RTO issue was caused by a loose LAN cable.
- Recrimped the LAN cable.
- Random RTO issues were resolved, and latency is now consistently 1 ms.
- Confirmed the results with the MOD.
- Task completed.</t>
  </si>
  <si>
    <t xml:space="preserve"> Recrimp the Lan Cable</t>
  </si>
  <si>
    <t xml:space="preserve">FSBP00133543 </t>
  </si>
  <si>
    <t>41MD022</t>
  </si>
  <si>
    <t>POS A: stuck during the card transaction - error after restarting the POS: Touch screen detection program has stop working</t>
  </si>
  <si>
    <t>12/22 - Upon arrival coordinate to MOD
- As per MOD it usually happens from 10PM to 11PM when the other stores are closing,
- Cross check DMBP c/o PASI no issue
- As per PASI they monitored the store last time &amp; they confirmed that the said time they encountered disconnection while monitoring
- Perform HDD sentinel on POS A: GOOD &amp; Normal
- Ping all tech devices no RTO encountered
- Didn't proceed on reimage due to POS A doesn't have a problem &amp; working normally
- Requesting for checking &amp; observation with TRENDS</t>
  </si>
  <si>
    <t>NTF, Reco to Trends for monitoring</t>
  </si>
  <si>
    <t>FSBP00133819</t>
  </si>
  <si>
    <t>Deployment, Auto restart</t>
  </si>
  <si>
    <t>12/22 - Upon arrival coordinated with MOD
-Replace defective printer with service unit
-Test print(okay)
-Tried to transact with customers(okay)</t>
  </si>
  <si>
    <t>PPPB131</t>
  </si>
  <si>
    <t>. Yovel Rachel Erezo</t>
  </si>
  <si>
    <t xml:space="preserve"> FSBP00133331</t>
  </si>
  <si>
    <t>HVA4JT6P</t>
  </si>
  <si>
    <t xml:space="preserve"> Store Tablet for configuration
</t>
  </si>
  <si>
    <t xml:space="preserve">12/22 - Upon arrival coordinate with MOD and check tablet
- Proceed to reset tablet and Scan the qr code
- wait to finish downloading apps
- Set up and check application
- Authenticator activated checked by MOD
- Work done
</t>
  </si>
  <si>
    <t>Setup tablet</t>
  </si>
  <si>
    <t>FSBP00133369</t>
  </si>
  <si>
    <t>TAB 19</t>
  </si>
  <si>
    <t>R9TY309LL5B</t>
  </si>
  <si>
    <t>Store Tablet - for reconfiguration</t>
  </si>
  <si>
    <t>12/20 Sched on Monday
12/22 -coordinate with MOD,as per MOD shaira scoop and bulletin not installed
-check tablet and found out that bulletin and scoop are not available in kiosk mode.
-exit kiosk mode and check if apps are properly installed.
-scoop and bulletin are installed.
- restart tablet. and check if scoop and bulletin will appear in kiosk mode
- MOD shaira tested scoop and bulletin.</t>
  </si>
  <si>
    <t>Shaira Pagin</t>
  </si>
  <si>
    <t>FSBP00133164</t>
  </si>
  <si>
    <t>SM CITY BAGUIO LUNETA HILL</t>
  </si>
  <si>
    <t xml:space="preserve">PPM80579 </t>
  </si>
  <si>
    <t xml:space="preserve">POS B Printer — Red Light Indicator
</t>
  </si>
  <si>
    <t>12/22 HD Jave: Endorsed by Sir Pow thru viber gc to cater this request
12/23 - Coordinate with MOD and SM, check device, found out broken hook
- Replaced new printer, install and config new printer, test by partners - OK
- Endorsed old printer to MOD ( Jess De Vera )</t>
  </si>
  <si>
    <t>Deployed SU printer - reco to heritage</t>
  </si>
  <si>
    <t>Jess De Vera</t>
  </si>
  <si>
    <t>FSBP00133596</t>
  </si>
  <si>
    <t>POS B Printer Pull out</t>
  </si>
  <si>
    <t>12/22 - Coordinate with MOD
- Reinstall &amp; Setup Repaired Printer
- Test with MOD
- MOD Confirmed Printer is Up and Working
- Pull out SU Printer</t>
  </si>
  <si>
    <t>Mark Mendoza</t>
  </si>
  <si>
    <t>FSBP00133597</t>
  </si>
  <si>
    <t>POS A Printer Pull out</t>
  </si>
  <si>
    <t>12/11 - Coordinate with MOD
- Reinstall &amp; Setup Repaired Printer
- Test with MOD
- MOD Confirmed Printer is up and working
- Pull out service unit printer</t>
  </si>
  <si>
    <t>Lean Tatlong Hari</t>
  </si>
  <si>
    <t>FSBP00133599</t>
  </si>
  <si>
    <t xml:space="preserve"> PPPB1262</t>
  </si>
  <si>
    <t xml:space="preserve">12/22 - Coordinated with the MOD.
- Pull Out SU Printer
- Test print to POS A 
- MOD reprint 3 times receipt to
  POS A </t>
  </si>
  <si>
    <t xml:space="preserve">Jasmine Espeleta </t>
  </si>
  <si>
    <t>FSBP00133600</t>
  </si>
  <si>
    <t>PP0C0330</t>
  </si>
  <si>
    <t>12/22 -Upon arrival coordinate mod 
Proceed to back office 
Locate posiflex printer and pull-out 
Work done
Call closed</t>
  </si>
  <si>
    <t>Kent Suazo</t>
  </si>
  <si>
    <t>FSBP00133759</t>
  </si>
  <si>
    <t>FSBP00128601</t>
  </si>
  <si>
    <t xml:space="preserve"> GATEWAY CENTER - UPPER GROUND FLOOR</t>
  </si>
  <si>
    <t>PC0AWAQ</t>
  </si>
  <si>
    <t>Mall Sending - Discrepancy Field that need to be corrected</t>
  </si>
  <si>
    <t>12/22 - Upon arrival, coordinated with the MOD regarding the reported Mall Sending error.
- Verified the error message on the system indicating connection timeout and failure to send data after retry.
Performed network diagnostics by pinging the Mall Sending IP address; result was not pingable.
- Checked the current Ethernet connection and transferred the Ethernet cable I/O port to MX Meraki Port 9.
- Verified port status and found it unidentified.
- Used a network cable tracer to check cable continuity and pin status; tracer result was good.
- Verified link speed and confirmed the cable was negotiating at 1.0 Gbps.
- Coordinated with PASI to communicate with Mall IT for further verification.
- As per Mall Administrator that the mall system server is currently down, causing the IP to be unreachable.
- Mall Administrator advised that there is no specific date yet for the restoration of the mall system server, and this has already been reported on the IT side.
- Confirmed with Mall IT that the IP address has not changed.
- Updated MOD regarding findings and confirmed that the issue is external (Mall system-related) and not store network-related.</t>
  </si>
  <si>
    <t>reco to Mall admin (Mall System related )</t>
  </si>
  <si>
    <t xml:space="preserve"> Bianca Bacsilio</t>
  </si>
  <si>
    <t>FSBP00133216</t>
  </si>
  <si>
    <t>PP050341</t>
  </si>
  <si>
    <t>12/22 - Coordinated with the MOD.
- Checked the reported unit, confirmed broken hook and cutter assembly issue.
- Proceeded with the deployment of Service Unit printer.
- Installed and updated drivers.
- Conducted testing thru OPOS and NAV, SU Printer is working properly, confirmed by the MOD
- Endorsed defective printer to MOD for safekeeping and repair of heritage.</t>
  </si>
  <si>
    <t>12/30 pull out SU, repair by Heirtage</t>
  </si>
  <si>
    <t>Camille Dellova</t>
  </si>
  <si>
    <t>FSBP00133352</t>
  </si>
  <si>
    <t xml:space="preserve"> THE ROCK HOLY SPIRIT DRIVE</t>
  </si>
  <si>
    <t>HA1PFQDB</t>
  </si>
  <si>
    <t>12/22 - Upon arrival borrow tablet
- Hard reset tablet
- Setup google acct via 8 digit code
- Setup tablet and apps
- Restart tablet and exit kiosk
- Test by MOD; good. Work done</t>
  </si>
  <si>
    <t>FSBP00133595</t>
  </si>
  <si>
    <t xml:space="preserve">HVA1N4PW </t>
  </si>
  <si>
    <t>FSBP00133449</t>
  </si>
  <si>
    <t xml:space="preserve"> SM TAYTAY BUILDING B LEVEL 1</t>
  </si>
  <si>
    <t>PHILCOM</t>
  </si>
  <si>
    <t>RB92Ui-59c2nD</t>
  </si>
  <si>
    <t>H6D09SJZIBV</t>
  </si>
  <si>
    <t>SB Delivery Wifi - no internet connection</t>
  </si>
  <si>
    <t xml:space="preserve">12/22 - Upon arrival coordinated with MOD
- Check Meraki; good light indicator
- Connected to Starbucks Delivery; limited connection, can't speed test
- Connected to Starbucks Customers; limited connection, can't speed test
- Test MWS; limited connection, can't speedtest, outlook and open links
- Both Wifi connections can only access google
- Coordinated with sir Bryan for assistance
- As per sir Bryan the store internet "Philcom" has problem with it's DNS
- Sir Bryan assisted to fix the store DNS
- Test Starbucks Delivery and Customer; good, can now access the internet and speedtest
- Performed speed test; good confirmed by sir Bryan
- Test internet access for MWS; good, can now connect to Outlook and other links for work
- Test MOP; good, orders and transactions are updating
- Work done
</t>
  </si>
  <si>
    <t>fixed the store DNS</t>
  </si>
  <si>
    <t>Allen Beri</t>
  </si>
  <si>
    <t>FSBP00133613</t>
  </si>
  <si>
    <t xml:space="preserve">HVA1N4WL </t>
  </si>
  <si>
    <t xml:space="preserve"> Store Tablet - Won't Open due to forgot lock screen passcode</t>
  </si>
  <si>
    <t>12/22 - Upon arrival coordinate with MOD
- Proceed to reset tablet
- Set-up tablet; Scan the qr code
- Set-up all apps; QR scanner,RCOC learning,files, one drive, quick support
- Check by MOD; approved</t>
  </si>
  <si>
    <t>Camille Sauquillo</t>
  </si>
  <si>
    <t xml:space="preserve"> FSBP00133491</t>
  </si>
  <si>
    <t>SB617</t>
  </si>
  <si>
    <t>JASA HIGHWAY GUAGUA</t>
  </si>
  <si>
    <t>PPM80809</t>
  </si>
  <si>
    <t>POS D Printer (PPM80809) cannot be closed properly, which is causing the receipt printing to malfunction</t>
  </si>
  <si>
    <t xml:space="preserve">12/22 - Coordinated with the MOD.
- Checked the reported unit, confirmed broken hook and cutter assembly issue.
- Proceeded with the deployment of Service Unit printer.
- Installed and updated drivers.
- Conducted testing thru OPOS and NAV, SU Printer is working properly, confirmed by the MOD
- Endorsed defective printer to MOD for safekeeping and repair of heritage.
</t>
  </si>
  <si>
    <t>12/30 Pull out printer, repair heritage</t>
  </si>
  <si>
    <t xml:space="preserve"> Kervin Quiambao</t>
  </si>
  <si>
    <t>FSBP00133835</t>
  </si>
  <si>
    <t xml:space="preserve">PP0C0330 </t>
  </si>
  <si>
    <t>Service Unit Printer Deployment</t>
  </si>
  <si>
    <t>12/22 - Upon arrival coordinate to MOD
- Unplug power cord and usb cable of old printer
- Installed service unit; connect power and usb cable, power up
- Perform selftest (ok)
- Restart pos
- Coordinate PASI for config (ok)
- Endorsed MOD and testing print three consecutive times (ok)
- Old printer endorsed MOD Christian Misanes for Heritage checking/repair
- Work done</t>
  </si>
  <si>
    <t>For Heritage checking/repair - Deployed SU Unit</t>
  </si>
  <si>
    <t>FSBP00133538</t>
  </si>
  <si>
    <t>PPN70787</t>
  </si>
  <si>
    <t>POS B Printer – No Power MOD already checked the power cable, but the issue still persisted at the time of reporting.</t>
  </si>
  <si>
    <t xml:space="preserve">12/22 - Upon arrival onsite, verified the status of POS B printer with the MOD.
- Observed that the printer was already powered on and functioning normally.
- Checked the power cable connection and ensured it was properly seated on both the printer and power source.
- Inspected all printer cables and confirmed cable condition was good with no visible damage.
- Performed test printing of customer receipt, and print output was successful.
- Verified printer response from the POS system and confirmed normal operation.
- As per MOD, a minor printer error was encountered the previous night, but the printer was already working properly in the morning.
- Monitored the printer for approximately 20 minutes to observe stability and performance.
- No errors or power issues were encountered during the monitoring period.
- Updated MOD regarding findings and confirmed that no further issue was observed during onsite validation.
</t>
  </si>
  <si>
    <t>Rap Conja</t>
  </si>
  <si>
    <t>FSBP00133632</t>
  </si>
  <si>
    <t>7580G</t>
  </si>
  <si>
    <t>15162B1D37</t>
  </si>
  <si>
    <t>POS A Barcode Scanner stand broken</t>
  </si>
  <si>
    <t>12/22 - Upon arrival coordinated with MOD
- Check POS A Barcode Scanner; found tape around the stand, loosen stand also found defective cord sometimes when moved
- Coordinated with asset for barcode scanner replacement
- Waited for the delivery
- Received the replacement
- Isolate defective barcode scanner
- Setup the replacement barcode scanner; good
- Test scan; good, working confirmed by MOD
- Pulled out the defective barcode scanner
- Work done</t>
  </si>
  <si>
    <t>Replaced the barcode scanner</t>
  </si>
  <si>
    <t>15153B083A</t>
  </si>
  <si>
    <t>FSBP00133831</t>
  </si>
  <si>
    <t>HP EliteDesk 800 G4 SFF</t>
  </si>
  <si>
    <t>4CE9140GK2</t>
  </si>
  <si>
    <t>MWS - 100mbps network speed</t>
  </si>
  <si>
    <t xml:space="preserve">12/22 - Coordinated with the MOD.
- Checked MWS and confirmed the network speed was 100 Mbps.
- Unable to connect via TeamViewer.
- Reseated the LAN cable, but the issue persisted.
- Recrimped the LAN cable; network speed improved to 1 Gbps and no RTO occurred.
- Verified the fix with the MOD.
- Task completed.
</t>
  </si>
  <si>
    <t>Recrimp Lan cable of MWS</t>
  </si>
  <si>
    <t>MOD Bob</t>
  </si>
  <si>
    <t>FSBP00133834</t>
  </si>
  <si>
    <t>TV Offline, Deployment</t>
  </si>
  <si>
    <t xml:space="preserve"> 4CE9140KMD</t>
  </si>
  <si>
    <t xml:space="preserve">BOS - Missing TeamViewer </t>
  </si>
  <si>
    <t>12/22 - Coordinated with the MOD.
- Noted that TeamViewer on the BOS was showing a “Problem with the shortcut.”
Reinstalled TeamViewer and restarted the BOS to apply changes.
- After restart, TeamViewer displayed only a white screen.
- Attempted to install display drivers; issue persisted.
- Switched to Basic Display driver; problem remained. Reinstalled TeamViewer, which then got stuck on the loading screen.
- Tried changing the BOS display settings to make TeamViewer work, but received a “Compatibility Error.”
- Manually adjusted the TeamViewer app compatibility settings.
- TeamViewer became operational, with the ID visible and no longer stuck on white or loading screens.
- Configured TeamViewer credentials.
- Verified functionality with the MOD.
- Confirmed by Pasi.
- Task completed.</t>
  </si>
  <si>
    <t xml:space="preserve">Reinstalled TeamViewer </t>
  </si>
  <si>
    <t>FSBP00133651</t>
  </si>
  <si>
    <t>SB186</t>
  </si>
  <si>
    <t>GIL FERNANDO</t>
  </si>
  <si>
    <t>41NW137</t>
  </si>
  <si>
    <t>POS B - No power</t>
  </si>
  <si>
    <t>12/22 - Upon arrival coordinated with MOD
- Check POS B; has power upon arrival, can transact
- Check UPS; good
- Check power outlet; good
- Tried moving the POS B slightly; turned off suddenly
- Check at the back of the POS B; found power cord not fully plugged in (half plugged in)
- Plugged in power cord tightly
- Turned on POS B and moved POS B slightly to check if it will turn off; not anymore, POS B is good, confirmed by MOD
- Work done</t>
  </si>
  <si>
    <t>Plugged in power cord tightly on POS B side</t>
  </si>
  <si>
    <t>Sean Santos</t>
  </si>
  <si>
    <t>FSBP00133665</t>
  </si>
  <si>
    <t>POS B Printer- Has red blinking light</t>
  </si>
  <si>
    <t>12/23 - Coordinated with the MOD.
- Observed that the printer was showing a red light and encountered an error when printing receipts.
- The printer was unable to print receipts and could not feed the thermal paper due to the red light error.
- Adjusted and reinstalled the thermal paper; however, the red light issue persisted.
- At times, correcting the thermal paper placement temporarily removed the double red light, but after one successful transaction and receipt print, the red light reappeared.
Inspected the physical condition of the printer.
- Cleaned the printer sensor and the internal components; issue remained the same.
- Reseated and reconnected all cables; no change observed.
- Restarted the POS and POS printer; issue persisted.</t>
  </si>
  <si>
    <t>Reco to Heritage - IW</t>
  </si>
  <si>
    <t>Lysine Tobias</t>
  </si>
  <si>
    <t>FSBP00133666</t>
  </si>
  <si>
    <t>PC0D6Z1S</t>
  </si>
  <si>
    <t>BOS is only 100 MBPS</t>
  </si>
  <si>
    <t>12/23 - Coordinate with MOD / Partners, check device, internet speed is at 100mbps
- Recrimp LAN Cable end to end, resocket LAN Cable, check internet speed, 1GBps
- Test both POS A and B , OK</t>
  </si>
  <si>
    <t>RECRIMP</t>
  </si>
  <si>
    <t>Aubrey Victorio</t>
  </si>
  <si>
    <t>FSBP00133675</t>
  </si>
  <si>
    <t xml:space="preserve"> DAKONG BALAY - DUMAGUETE CITY</t>
  </si>
  <si>
    <t xml:space="preserve">ELITEDESK 800 G4 SFF   </t>
  </si>
  <si>
    <t>MWS shows 100 MBPS only</t>
  </si>
  <si>
    <t xml:space="preserve">12/23 - Upon arrival coordinated with MOD.
- Checked  Ethernet Speed of MWS and it has 1Gbps speed.
- Checked cables of MWS multiple reseat and observed if it changes it speed. Steady at 1Gbps.
- Provided cable test using network tester. Test good.
- Checked the cable in Meraki side and showed 2 lights blinking.
- Speed test MWS with cont ping test 8.8.8.8. test good.
- Observe the unit thru stress test for about an hour and witnessed by MOD.
</t>
  </si>
  <si>
    <t>NFT - overall checking of MWS connectivity</t>
  </si>
  <si>
    <t>Redeem Marie Abadiano</t>
  </si>
  <si>
    <t>FSBP00133529</t>
  </si>
  <si>
    <t xml:space="preserve"> I TOWER - P NOVAL ST.</t>
  </si>
  <si>
    <t>PP040063</t>
  </si>
  <si>
    <t>POS A Printer- Is not functioning properly and cannot be closed.</t>
  </si>
  <si>
    <t>12/23 - Coordinate with MOD and check printer
- Upon checking found out that printer has broken hook
- Install service unit printer sn: PPPB1340
- Advice MOD to safe keep printer and will be repair onsite by heritage</t>
  </si>
  <si>
    <t xml:space="preserve"> Kristine Orpilla</t>
  </si>
  <si>
    <t xml:space="preserve"> FSBP00133446</t>
  </si>
  <si>
    <t>SB288</t>
  </si>
  <si>
    <t xml:space="preserve"> MACTAN MARINA MALL - GF. BLOCK E</t>
  </si>
  <si>
    <t xml:space="preserve"> HA1LFVHW</t>
  </si>
  <si>
    <t xml:space="preserve"> Store Tablet stuck on prompt "Connect to mobile network if you have a SIM card, inset it now"</t>
  </si>
  <si>
    <t>12/23 - Coordinated with the MOD.
- Tablet unresponsive, performed reboot.
- After reboot, the tablet is responsive but it has been reset.
- Proceeded with the factory reset.
- Setup all applications.
- Requested revoke of email for authenticator
- Setup authenticator and test. Authenticator is working.
- Did all the procedures including the exit kiosk.
- Tablet status is ok, checked and confirmed by the MOD.</t>
  </si>
  <si>
    <t>Performed tablet reset</t>
  </si>
  <si>
    <t>Nico Gepulla</t>
  </si>
  <si>
    <t xml:space="preserve"> FSBP00133578</t>
  </si>
  <si>
    <t>KSM60609/KSM60572</t>
  </si>
  <si>
    <t>POS A and POS B - is encountering error (specific error was not mentioned)</t>
  </si>
  <si>
    <t>12/23 Coordinated with the MOD.
- Ethernet speed of BOS is 100 MBPS.
- Waited for SM permission to proceed with the re-crimp.
- Re-crimped BOS end to end, good at 1 GBPS.
- Tightened crimp of POS A and B, good at 1 GBPS.
- Performed ping test and observed.
- Continuous ping with no RTO.
- POS A, B, and BOS connectivity are now ok.</t>
  </si>
  <si>
    <t>Crimped end to end cable</t>
  </si>
  <si>
    <t>11:00 AM, 12:25 PM</t>
  </si>
  <si>
    <t>12:10 PM, 1:10 PM</t>
  </si>
  <si>
    <t xml:space="preserve"> Sophia Heres</t>
  </si>
  <si>
    <t xml:space="preserve"> FSBP00133667</t>
  </si>
  <si>
    <t xml:space="preserve"> RTO51712</t>
  </si>
  <si>
    <t>POS B Shows- No Service tier available</t>
  </si>
  <si>
    <t xml:space="preserve">12/23 - Upon arrival, coordinated with the MOD.
- Upon checking the POS B it has no internet
- Check the Lan Cable and noticed that the Lan Cable is loose
- Replug the Lan Cable
- Ping and it has no RTO and the network speed is 1gbps
- There's no "No Service Tier"
- Confirmed by MOD
- Task Completed
</t>
  </si>
  <si>
    <t xml:space="preserve"> Replug the Lan Cable</t>
  </si>
  <si>
    <t>FSBP00133658</t>
  </si>
  <si>
    <t>PP-7900X-TB</t>
  </si>
  <si>
    <t>POS B Printer- Is not cutting receipt, has unusual sound and has red light</t>
  </si>
  <si>
    <t>12/22 route to lenovo
12/23 Advise by Sir Pow to cater this request
12/23 -Found Printer unable to print
-Check printer found unussual cracking sound with roller is spinning and unable to cut paper with red light indicator
-Reco to Heritage for Checking
-Deploy SU for temporary use</t>
  </si>
  <si>
    <t xml:space="preserve"> PPPB1374</t>
  </si>
  <si>
    <t xml:space="preserve"> Niña Pedroso</t>
  </si>
  <si>
    <t xml:space="preserve">FSBP00133248 </t>
  </si>
  <si>
    <t>PP040863</t>
  </si>
  <si>
    <t xml:space="preserve"> POS B Printer - won't print</t>
  </si>
  <si>
    <t>12/22 route to lenovo
12/23 Advise by Sir Pow to cater this request
12/23 -coordinate with MOD and check printer
- upon checking found out that printer has broken hook
- install service unit printer sn: PPPB1373
-Advice MOD to safe keep printer and will be repair onsite by heritage</t>
  </si>
  <si>
    <t xml:space="preserve"> PPPB1373</t>
  </si>
  <si>
    <t>Chiara Mateo</t>
  </si>
  <si>
    <t>FSBP00133570</t>
  </si>
  <si>
    <t xml:space="preserve"> EASTWOOD CITY WALK</t>
  </si>
  <si>
    <t xml:space="preserve"> 41-MC602</t>
  </si>
  <si>
    <t>12/23 - Upon arrival coordinated with MOD
- Check POS A; powered on and working
- Check plugs connected to outlet; good
- Check power cable at the back of POS A; good, not turning of when moved
- Check PSU; found zip tie preventing the POS A cover to close
- Removed the zip tie
- Secured end to end power cables
- Performed sfc /scannow; done, found errors and successfully repaired them
- Performed chkdsk; good
- Check HDD health; good, 100% health and performance
- Check usable RAM; good
- Check power plan; good
- Deleted temporary files
- Empty recycle bin; done
- Observed for a while; good, not turning off automatically, confirmed by MOD
- Work done</t>
  </si>
  <si>
    <t>Fixed corrupted files and removed zip tie on PSU</t>
  </si>
  <si>
    <t>SD Rr</t>
  </si>
  <si>
    <t xml:space="preserve"> Shane Ramirez</t>
  </si>
  <si>
    <t xml:space="preserve"> FSBP00133382</t>
  </si>
  <si>
    <t>HVA1P5VT</t>
  </si>
  <si>
    <t>All apps. are missing and reset to default after tablet sudden software update</t>
  </si>
  <si>
    <t>12/23 - Upon arrival coordinate to MOD
- Try to install intune same issue
- Hard reset tablet for a new setup
- Install All Apps
- Endorsed to MOD for testing
- No other issue
- Work Done</t>
  </si>
  <si>
    <t>Hard reset &amp; reconfigure tablet</t>
  </si>
  <si>
    <t>Richard Allen Cuz</t>
  </si>
  <si>
    <t>Stephanie Ambrosio</t>
  </si>
  <si>
    <t>FSBP00133712</t>
  </si>
  <si>
    <t>HA1LH1LY</t>
  </si>
  <si>
    <t>12/23 - Coordinate with MOD
- Factory Reset Tablet
- Setup/Config Tablet
- Test with MOD
- Tablet is up &amp; working</t>
  </si>
  <si>
    <t>reset and Setup/Config Tablet</t>
  </si>
  <si>
    <t>Franz Lobaton</t>
  </si>
  <si>
    <t>FSBP00133630</t>
  </si>
  <si>
    <t>SB467</t>
  </si>
  <si>
    <t>SM CITY SAN JOSE DEL MONTE</t>
  </si>
  <si>
    <t>HA1LHSK2</t>
  </si>
  <si>
    <t>12/24 -Coordinate MOD regarding tablet issue 
-Check device 
- Factory Reset Tablet
- download all application 
- Setup/Config Tablet
- advice MOD for testing 
- Tablet is up &amp; working
- work done</t>
  </si>
  <si>
    <t>SD King Aaron</t>
  </si>
  <si>
    <t xml:space="preserve">Dario Garcia </t>
  </si>
  <si>
    <t xml:space="preserve"> Pauline Jarencia</t>
  </si>
  <si>
    <t>FSBP00133530</t>
  </si>
  <si>
    <t>11S9634953YK11AR661239</t>
  </si>
  <si>
    <t>POS B MSR - NOT WORKING</t>
  </si>
  <si>
    <t>12/23 - Coordinate with MOD and check MSR
- Upon checking found out that incomplete  ID details, Displayed only the password no userID
- Replace MSR, New msr details sn:11S9634953YK11AR57L946</t>
  </si>
  <si>
    <t xml:space="preserve"> replaced MSR</t>
  </si>
  <si>
    <t>11S9634953YK11AR57L946</t>
  </si>
  <si>
    <t>FSBP00133746</t>
  </si>
  <si>
    <t>DONA SOLEDAD - BETTER LIVING - PARANAQUE</t>
  </si>
  <si>
    <t xml:space="preserve"> 41-MK353</t>
  </si>
  <si>
    <t>POS A -Loose nut and bolt screen</t>
  </si>
  <si>
    <t>12/23  Coordinate to MOD for POS A checking
- Confirmed loose nut and bolts on POS Monitor
- Proceed tighten nut and bolts
- Stress test adjusting POS monitor
- Verify to MOD
- Work done</t>
  </si>
  <si>
    <t>tighten nuts and bolts</t>
  </si>
  <si>
    <t>Mark Anthony Maraya</t>
  </si>
  <si>
    <t>FSBP00133800</t>
  </si>
  <si>
    <t>41MD004</t>
  </si>
  <si>
    <t xml:space="preserve"> POS A Drawer 2 - Getting detached</t>
  </si>
  <si>
    <t xml:space="preserve">12/24 -Upon arrival, Coordinate to MOD
-found till tray drawer missing roller
-waiting for parts
-install new till tray 
Work done. </t>
  </si>
  <si>
    <t>install new till tray</t>
  </si>
  <si>
    <t>Eman Baetiong</t>
  </si>
  <si>
    <t>FSBP00133803</t>
  </si>
  <si>
    <t>SB103</t>
  </si>
  <si>
    <t>SAN ANTONIO ARCADE - MCKINLEY</t>
  </si>
  <si>
    <t>41-LH313</t>
  </si>
  <si>
    <t>POS B Cash Drawer 2 - Wont Open Automatically</t>
  </si>
  <si>
    <t>12/24 - Upon arrival, Coordinate to MOD
- Test drawer 2 cant open
- Adjust spring of solenoid, reseat cable;good
- Test multiple times;mod approved
- Work done.</t>
  </si>
  <si>
    <t>fix tangled cable and adjust spring of solenoid</t>
  </si>
  <si>
    <t>James Pagatpagan</t>
  </si>
  <si>
    <t>FSBP00133804</t>
  </si>
  <si>
    <t>POS A Drawer 2, POS A Drawer 1</t>
  </si>
  <si>
    <t>41-LD535</t>
  </si>
  <si>
    <t xml:space="preserve"> POS A Cash Drawer 1 and 2 - Won't open automatically
</t>
  </si>
  <si>
    <t>12/24 - Upon arrival, Coordinate to MOD
- Test drawer 1 cant open
- Adjust spring of solenoid, reseat cable;good
- Drawer 2 test open;good no problem
- Test multiple times;mod approved
- Work done.</t>
  </si>
  <si>
    <t xml:space="preserve"> FSBP00133808</t>
  </si>
  <si>
    <t>SB440</t>
  </si>
  <si>
    <t>FESTIVAL SUPERMALL EXPANSION</t>
  </si>
  <si>
    <t>PC0JRPTC</t>
  </si>
  <si>
    <t xml:space="preserve">:BOS - Connection speed at 100mbps instead of 1Gbps
</t>
  </si>
  <si>
    <t xml:space="preserve">12/24 - Coordinate to MOD for POS A checking
- Confirmed that the network speed was 100mb
- Try to reset connection same issue
- Tighten the RJ45 of both end same issue
- Recrimp both end of lan cable issue was resolved
- Ping 8.8.8.8 &amp; monitor the network no issue
- Upon checking the bos using vnc can't connect
- Configure settings c/o sir vernon resolved
- Work done
</t>
  </si>
  <si>
    <t>Recrimp both end of LAN Cable</t>
  </si>
  <si>
    <t>12:45 PM, 1:50 PM</t>
  </si>
  <si>
    <t>1:30 PM, 2:19 PM</t>
  </si>
  <si>
    <t>JP Jose</t>
  </si>
  <si>
    <t>FSBP00132942</t>
  </si>
  <si>
    <t xml:space="preserve">REVILLA BUSINESS PARK
</t>
  </si>
  <si>
    <t>HR58CR3</t>
  </si>
  <si>
    <t>POS C — White screen display on Customer's View, FAN not working/rotating and seen loose cable in device connecting to DTO Panel</t>
  </si>
  <si>
    <t>12/24 -upon arrival, no camera view from customers at orderpoint in PosC. Camera view from partners has display in orderpoint panel.
-resocket end to end lan cable for orderpoint same problem.
-resocket Pos C &amp; ContentPC lan cable.
-ping content PC and PosC its pingable.
-checked  PosC &amp; Content PC net speed its 1gbps.
-also confirmed to partners and mod that mic and speaker are working, they are able to connect PosC to orderpoint.</t>
  </si>
  <si>
    <t>For reco for checking to ITI.</t>
  </si>
  <si>
    <t>FSBP00133847</t>
  </si>
  <si>
    <t>PP-7600X-TB | PP-7900-B</t>
  </si>
  <si>
    <t>PPM92003 | PPPB1329</t>
  </si>
  <si>
    <t>POS B Printer pull out</t>
  </si>
  <si>
    <t>12/24 - Coordinated with the MOD.
- As per MOD the POS B Printer (Store Unit) is now repaired by Heritage. Also as per MOD the Heritage already installed the POS B Printer (Store Unit)
- Coordinate w/ MOD regarding the pull out of the 2 SU printer
- Confirmed by MOD
- Task Completed</t>
  </si>
  <si>
    <t>Pull out 2 service unit printers</t>
  </si>
  <si>
    <t>PP0C0210, PP0C0200</t>
  </si>
  <si>
    <t>POS A &amp; B Printer pull out</t>
  </si>
  <si>
    <t>12/25 -Coordinated with MOD upon arrival to confirm reported issue
-Verified Service Unit printers by checking serial numbers against asset records
-Service Unit 1: Confirmed for pull-out
-POS A Service Unit: Not approved for pull-out
-Total POS printers inside the store: 4 printers
-POS A Printer – Service Unit
-POS B Printer – Service Unit 1
-POS B Printer (Before) – For Heritage: Red Light Indicator (Defective)
-POS B Printer (After) – Repaired
-Identified one printer tagged as “For Heritage – Red Light Indicator (Defective)”
-Tested defective printer on POS A:
-Issue persists
-Unable to perform self-test print
-Red light indicator still present</t>
  </si>
  <si>
    <t xml:space="preserve">Submit printer to Heritage vendor for checking and repair, including documented findings, before proceeding with pull-out of the remaining Service Unit printer
</t>
  </si>
  <si>
    <t xml:space="preserve"> Faye Tolimao</t>
  </si>
  <si>
    <t>FSBP00133846</t>
  </si>
  <si>
    <t>12/24 - Coordinate with MOD
- Replace SU with repaired store POS Printer
- Test print; transact with MOD
- MOD confirmed printer is up &amp; working</t>
  </si>
  <si>
    <t>Pull out service unit printer</t>
  </si>
  <si>
    <t>Win Peraz</t>
  </si>
  <si>
    <t>FSBP00133859</t>
  </si>
  <si>
    <t>12/24 - Upon arrival coordinate to MOD regarding pull out of service unit
- Wait for the call from MOD before we proceed ( due to volume of customer)
- Locate, check and remove service unit
- Install repaired POS B printer ( repaired by heritage)
- Check, test and observe POS B Printer ( no issue)
- POS B printer is now working properly
- Advice MOD for testing and pull out of service unit
- Work done</t>
  </si>
  <si>
    <t xml:space="preserve"> Angie Montelibano</t>
  </si>
  <si>
    <t>FSBP00133830</t>
  </si>
  <si>
    <t>PPM92049</t>
  </si>
  <si>
    <t>POS A Printer - cut printout receipt</t>
  </si>
  <si>
    <t>12/24 - Coordinate with MOD
- Proceed to test printer ; ok
- Reseat cable
- Reseat paper
- Clean thermal head ;ok
- Issue still persist
- Reco for heritage checking and repair</t>
  </si>
  <si>
    <t xml:space="preserve">Service unit printer deployed to replace defective unit
</t>
  </si>
  <si>
    <t xml:space="preserve"> Roque H. Jurilla</t>
  </si>
  <si>
    <t>FSBP00133862</t>
  </si>
  <si>
    <t>PPM83785</t>
  </si>
  <si>
    <t>POS B Printer - cut printout receipt</t>
  </si>
  <si>
    <t xml:space="preserve">FSBP00133576 </t>
  </si>
  <si>
    <t xml:space="preserve">SHANGRI-LA THE FORT </t>
  </si>
  <si>
    <t>HA1PEBAV</t>
  </si>
  <si>
    <t>Store tablet -Reset not updated</t>
  </si>
  <si>
    <t>12/25 -Coordinated with MOD
-Confirmed tablet was reset to default settings
-Performed hard reset (issue resolved)
-Installed and configured all necessary applications
-Tested tablet with MOD
-Work completed successfully</t>
  </si>
  <si>
    <t xml:space="preserve">Hard reset performed and applications configured
</t>
  </si>
  <si>
    <t>Marc Soria</t>
  </si>
  <si>
    <t>FSBP00133739</t>
  </si>
  <si>
    <t>SB317</t>
  </si>
  <si>
    <t>SM CITY MARILAO</t>
  </si>
  <si>
    <t>EB90621A5U6H2</t>
  </si>
  <si>
    <t>POS B Drawer - broken wire</t>
  </si>
  <si>
    <t>12/25 -Coordinated with MOD upon arrival regarding Y cable replacement
-Waited for MOD clearance before proceeding due to high customer volume
-Checked and removed the damaged cash drawer Y cable
-Installed the new Y cable
-Checked, tested, and observed POS B cash drawer functionality (no issues found)
-Advised MOD to perform further testing
-POS B cash drawer is now working properly
-Work completed</t>
  </si>
  <si>
    <t xml:space="preserve">Y cable replaced successfully
</t>
  </si>
  <si>
    <t xml:space="preserve"> Dario Garcia</t>
  </si>
  <si>
    <t xml:space="preserve"> Bryan Alibio</t>
  </si>
  <si>
    <t>FSBP00133817</t>
  </si>
  <si>
    <t xml:space="preserve">POS A Printer — Won't print / Roller continuous rolling but unable to release receipt
</t>
  </si>
  <si>
    <t xml:space="preserve">12/25 -Coordinated with MOD upon arrival
-Checked the printer and found a broken internal hook preventing the cover from closing completely
-Attempted to tighten the cover and tested printing; issue persisted
-Temporary fixes (rubber band/tape) were not effective
-Coordinated with Asset team to request a service unit printer
-Waited for delivery of the service unit
-Received the replacement printer
-Isolated the defective printer
-Set up the service unit printer
-Installed required printer drivers
-Performed test print (successful)
-Advised MOD to keep the defective printer secured inside the office
-Work completed
</t>
  </si>
  <si>
    <t xml:space="preserve">Defective printer temporarily replaced with service unit printer
</t>
  </si>
  <si>
    <t>Printer SU</t>
  </si>
  <si>
    <t>Grances Somera</t>
  </si>
  <si>
    <t>FSBP00132827</t>
  </si>
  <si>
    <t>HVA1N4Q6</t>
  </si>
  <si>
    <t xml:space="preserve">Store tablet - Store bulletin is not updated
</t>
  </si>
  <si>
    <t>12/25 -Coordinated with MOD upon arrival and checked the tablet
-Verified that SCOOP and bulletin did not appear in kiosk mode
-Attempted to reset the tablet and perform FRP bypass; process did not continue
-Unable to access App Info
-Coordinated with Sir Peter, who advised pulling out the tablet
-Informed MOD that the tablet would be pulled out for further isolation and checking</t>
  </si>
  <si>
    <t xml:space="preserve">Tablet pulled out for further checking and isolation
</t>
  </si>
  <si>
    <t>Randel Esternon</t>
  </si>
  <si>
    <t>12/24 - Coordinate with MOD
- Proceed to test printer ; ok
- Reseat cable
- Reseat paper
- Clean thermal head ;ok
- Issue still persist
- Reco for heritage checking and repair
12/25 -Coordinated with MOD regarding POS A printer issue
-Confirmed issue: receipt printout was being cut incorrectly
-Proceeded with deployment of service unit (SU) printer
-Tested self-test print, OPOS, and LSNAV (all passed)
-Endorsed the defective printer to MOD
-Verified resolution with MOD
-Work completed</t>
  </si>
  <si>
    <t>1:21 PM, 3:42 PM, 5:10 PM</t>
  </si>
  <si>
    <t xml:space="preserve">3:42:00 PM, 5:10 PM, 5:30 PM
</t>
  </si>
  <si>
    <t xml:space="preserve">12/24 - Coordinate with MOD
- Proceed to test printer ; ok
- Reseat cable
- Reseat paper
- Clean thermal head ;ok
- Issue still persist
- Reco for heritage checking and repair
12/25 --Coordinated with MOD regarding POS B printer issue
-Confirmed issue: receipt printout was being cut
-Deployed service unit (SU) printer
-Tested self-test print, OPOS, and LSNAV (all tests passed)
-Endorsed the defective printer to MOD
-Verified resolution with MOD
-Work completed
</t>
  </si>
  <si>
    <t>FSBP00133334</t>
  </si>
  <si>
    <t>HVA1N4ZK</t>
  </si>
  <si>
    <t xml:space="preserve">12/25 -Performed bypass procedure
-Conducted factory reset
-Scanned QR code
-Set device PIN
-Installed required applications and performed testing
-Revoked configured email
-Tested tablet using MOD authenticator
-Work completed
</t>
  </si>
  <si>
    <t xml:space="preserve">Factory reset performed and store tablet successfully set up
</t>
  </si>
  <si>
    <t>Chester Alcantara</t>
  </si>
  <si>
    <t>FSBP00133328</t>
  </si>
  <si>
    <t>SB114</t>
  </si>
  <si>
    <t xml:space="preserve"> ALABANG TOWN CENTER - LEVEL 1</t>
  </si>
  <si>
    <t>HVA1N4VQ</t>
  </si>
  <si>
    <t>12/25 -Waited for MOD go signal upon arrival
-Performed tablet reset
-Installed required applications
-Set up authenticator
-Tested tablet with MOD and received approval</t>
  </si>
  <si>
    <t xml:space="preserve">Store tablet successfully reconfigured
</t>
  </si>
  <si>
    <t>5:32 PM,  6:10 PM</t>
  </si>
  <si>
    <t>6:00 PM, 7:18 PM</t>
  </si>
  <si>
    <t>Erika Bayona</t>
  </si>
  <si>
    <t>FSBP00133356</t>
  </si>
  <si>
    <t>SB155</t>
  </si>
  <si>
    <t>PRESIDENTS AVE - BF HOMES</t>
  </si>
  <si>
    <t>HA1LF9H3</t>
  </si>
  <si>
    <t xml:space="preserve"> Store Tablet (HA1LF9H3) for configuration</t>
  </si>
  <si>
    <t>12/26 -Coordinated with the MOD
-Confirmed tablet had returned to default settings
-Performed hard reset (issue resolved)
-Installed and configured all required applications
-Tested tablet functionality with MOD
-Work completed successfully</t>
  </si>
  <si>
    <t xml:space="preserve">Jay Ann Garcia
</t>
  </si>
  <si>
    <t xml:space="preserve">FSBP00133925 </t>
  </si>
  <si>
    <t>HA1PEYZV</t>
  </si>
  <si>
    <t>Store Tablet - Unable to access RCOC apps HA1PEYZV</t>
  </si>
  <si>
    <t>12/26 -Borrowed tablet upon arrival
-Bypassed FRP
-Performed factory reset via tablet settings
-Set up tablet and installed required applications
-Restarted tablet and exited kiosk mode
-Tested tablet with MOD; working properly
-Work completed successfully</t>
  </si>
  <si>
    <t xml:space="preserve">Performed factory reset and installed required applications
</t>
  </si>
  <si>
    <t>Jen Tamundong</t>
  </si>
  <si>
    <t xml:space="preserve">FSBP00133926 </t>
  </si>
  <si>
    <t>HVA4JT9D</t>
  </si>
  <si>
    <t>Store Tablet - has been reset HVA4JT9D</t>
  </si>
  <si>
    <t xml:space="preserve">12/26 -Borrowed tablet upon arrival for checking
-Bypassed FRP
-Performed factory reset via settings
-Set up tablet and installed required applications
-Restarted tablet and exited kiosk mode
-Tested tablet with MOD; working properly
-Work completed
</t>
  </si>
  <si>
    <t xml:space="preserve">FSBP00133367 </t>
  </si>
  <si>
    <t xml:space="preserve">Tablet M10 </t>
  </si>
  <si>
    <t xml:space="preserve">12/25 -Coordinated with MOD
-Confirmed tablet was returned to default settings
-Performed hard reset; issue resolved
-Installed and configured all necessary applications
-Tested tablet functionality with MOD
-Work completed successfully
</t>
  </si>
  <si>
    <t>Mara Berba</t>
  </si>
  <si>
    <t xml:space="preserve">FSBP00133333 </t>
  </si>
  <si>
    <t>HA1LJ1MP</t>
  </si>
  <si>
    <t xml:space="preserve">12/25 -Waited for MOD go signal upon arrival
-Performed tablet reset
-Installed required applications
-Set up authenticator
-Tested tablet with MOD and received approval
</t>
  </si>
  <si>
    <t>7:37 PM, 8:00 PM</t>
  </si>
  <si>
    <t>7:45 PM, 8:40 PM</t>
  </si>
  <si>
    <t>Dianne Krista K. Sardea</t>
  </si>
  <si>
    <t xml:space="preserve">FSBP00133653 </t>
  </si>
  <si>
    <t>SB157</t>
  </si>
  <si>
    <t>CAMP JOHN HAY</t>
  </si>
  <si>
    <t>HVA1N4RA</t>
  </si>
  <si>
    <t>Store Tablet: not working (reset)</t>
  </si>
  <si>
    <t xml:space="preserve">12/26 -Coordinated reported issue with MOD/partners; device found back to default settings
-Performed bypass, factory reset, installed apps, and configured tablet
-Tested device with partners – working properly
-Endorsed device to partners
</t>
  </si>
  <si>
    <t xml:space="preserve">Performed bypass, factory reset, installed apps, and configured tablet
</t>
  </si>
  <si>
    <t>Aiko Acodisin</t>
  </si>
  <si>
    <t xml:space="preserve">FSBP00133737 </t>
  </si>
  <si>
    <t>PP040934</t>
  </si>
  <si>
    <t xml:space="preserve">12/28 -Upon arrival, coordinated with the MOD.
-Checked POS B printer and identified a broken hook.
-Recommended replacement via Heritage and coordinated with the Asset team.
-Pause time observed while waiting for the SU printer.
-SU arrived and was installed successfully.
-Endorsed the defective printer to the MOD for Heritage repair.
-Tested the SU printer; unit is working properly.
-Work completed.
</t>
  </si>
  <si>
    <t xml:space="preserve">SU printer installed and verified as working.
</t>
  </si>
  <si>
    <t xml:space="preserve"> PPPB1320</t>
  </si>
  <si>
    <t>Anna Ruiz</t>
  </si>
  <si>
    <t xml:space="preserve">FSBP00133353 </t>
  </si>
  <si>
    <t>HA1PCEC6</t>
  </si>
  <si>
    <t>12/26 -Coordinated with MOD upon arrival
-Confirmed tablet was reverted to default settings
-Set up store tablet
-Installed all required applications
-Verified functionality with MOD
-Work completed successfully</t>
  </si>
  <si>
    <t xml:space="preserve">Store tablet successfully set up and configured
</t>
  </si>
  <si>
    <t>Zion Manikil</t>
  </si>
  <si>
    <t>FSBP00134101</t>
  </si>
  <si>
    <t>12/26 -Coordinated with MOD upon arrival
-Pulled out Service Unit printer
-Work completed successfully</t>
  </si>
  <si>
    <t>Shermy Pagtanhan</t>
  </si>
  <si>
    <t>FSBP00133974</t>
  </si>
  <si>
    <t>41MG417</t>
  </si>
  <si>
    <t>POS A- Suddenly shutdown and showing either a black screen or a blue screen</t>
  </si>
  <si>
    <t>12/26 -Coordinated with MOD upon arrival
-Checked POS unit; found system had suddenly shut down
-Reseated and cleaned tailgate connections
-POS successfully booted up
-Checked outlet voltage; normal reading
-Verified HDD health: 100% OK
-Performed CHKDSK; no bad sectors found
-Verified network connectivity: 1 Gbps
-Scanned OS and found corrupted system files
-Reimaged POS
-Updated host file, IP address, and computer name
-Assisted remotely by PASI
-Joined POS to domain
-Configured auto-login
-Tested system and verified functionality with MOD</t>
  </si>
  <si>
    <t xml:space="preserve">POS successfully reimaged and fully restored
</t>
  </si>
  <si>
    <t>Shane Tanqueco</t>
  </si>
  <si>
    <t>FSBP00133891</t>
  </si>
  <si>
    <t xml:space="preserve"> PC0QW7V9</t>
  </si>
  <si>
    <t xml:space="preserve"> BOS — Multiple times of BOS sudden shutdown (PASI Findings)</t>
  </si>
  <si>
    <t>12/26 -Coordinated with MOD upon arrival
-Checked main UPS device; low voltage detected
-Checked voltage readings of MWS and BOS outlets; within normal range
-Verified MWS and BOS on normal power; acceptable voltage
-Verified MWS and BOS on UPS power; low voltage detected
-Assisted MOD in coordinating parallel checking with Engineering Office main panel and admin line
-Confirmed UPS line voltage is low
-BOS connection speed verified at 1 Gbps
-HDD health checked: 100% OK
-Memory capacity: 8 GB
-Speed test: experiencing intermittent RTO connection
-POS connection currently stable
-Disk and memory utilization checked; no high utilization found
-Observed system behavior for 30 minutes
-Reported all findings to MOD
-Provided instructions and recommendations
-Work completed</t>
  </si>
  <si>
    <t xml:space="preserve">Issue endorsed to Facilities Team and SM Engineering Office through MOD for further action
</t>
  </si>
  <si>
    <t>FSBP00134103</t>
  </si>
  <si>
    <t>Yanna Carmona</t>
  </si>
  <si>
    <t xml:space="preserve">  for ticket creation</t>
  </si>
  <si>
    <t>POS A Printer pull out</t>
  </si>
  <si>
    <t>12/26 -Coordinated with MOD upon arrival
-Waited for MOD go-signal to proceed
-Checked POS A printer; confirmed Service Unit is still in use by the store
-As per MOD, no technician arrived to fix the defective store unit printer
-Roller issue was fixed weeks ago
*Broken hook reported previously remains unresolved
*Possible miscommunication regarding repair schedule
*Confirmed store is still using the Service Unit printer
-Service Unit printer was not pulled out
-Work completed</t>
  </si>
  <si>
    <t xml:space="preserve">Service Unit printer was not pulled out as the store printer remains defective and in use
</t>
  </si>
  <si>
    <t>Iris Huyan</t>
  </si>
  <si>
    <t xml:space="preserve">FSBP00134019 </t>
  </si>
  <si>
    <t>41-NY947</t>
  </si>
  <si>
    <t>POS A Printer experiencing slow printing of receipt</t>
  </si>
  <si>
    <t xml:space="preserve">12/26 -Coordinated with the MOD regarding the reported issue.
-Verified POS A network connection; confirmed status is 1 GB.
-PASI Support remotely accessed POS A to check SQL and NAV services.
-MOD witnessed testing; no transaction interruptions observed.
-Unit was monitored and observed for at least 1 hour.
</t>
  </si>
  <si>
    <t xml:space="preserve">Confirmed POS A network connection stability.
</t>
  </si>
  <si>
    <t>FSBP00134176</t>
  </si>
  <si>
    <t>41-PH521</t>
  </si>
  <si>
    <t>POS B Printer experiencing slow printing of receipt</t>
  </si>
  <si>
    <t xml:space="preserve">Confirmed POS B network connection stability.
</t>
  </si>
  <si>
    <t>FSBP00133984</t>
  </si>
  <si>
    <t>KSM60520</t>
  </si>
  <si>
    <t>POS B Drawer 1- Won't open</t>
  </si>
  <si>
    <t>12/27 - Coordinate to MOD for POS B CD 1 checking
- Confirmed CD1 unable to open
- Proceed replacing of CD
- Test CD thru OPOS; ok
- Test cash transaction; ok CD 1 able to open
- Verify to MOD
- Work done</t>
  </si>
  <si>
    <t xml:space="preserve"> Replace CD 1</t>
  </si>
  <si>
    <t>8:07 PM, 10:29 PM</t>
  </si>
  <si>
    <t>10:28 PM, 11:08 PM</t>
  </si>
  <si>
    <t>Diane Caños</t>
  </si>
  <si>
    <t>FSBP00134032</t>
  </si>
  <si>
    <t>PP050226</t>
  </si>
  <si>
    <t>POS A printer - Blurred print out/incomplete print out</t>
  </si>
  <si>
    <t xml:space="preserve">-Checked the reported unit; POS A printer is properly connected, but print output remains blurred.
-Cleaned the thermal head using alcohol; issue persisted.
-Verified physical condition; no visible damage or loose gears found.
-Noted that the printer paper cover needs to be compressed to produce a readable printout.
-Reco to Heritage
</t>
  </si>
  <si>
    <t>Reco to Heritage</t>
  </si>
  <si>
    <t>Allan Manzon</t>
  </si>
  <si>
    <t>FSBP00134187</t>
  </si>
  <si>
    <t>POS B Printer pull out (service unit)</t>
  </si>
  <si>
    <t>12/27 - Coordinate with MOD
- Proceed to pull out SU printer
- Verify to MOD
- Work done</t>
  </si>
  <si>
    <t>CJ LUIS</t>
  </si>
  <si>
    <t>FSBP00134035</t>
  </si>
  <si>
    <t>PPM80535</t>
  </si>
  <si>
    <t xml:space="preserve"> SU Printer Deployment (POS A Printer - Wont print)</t>
  </si>
  <si>
    <t>12/27 - Coordinate to MOD
- Check printer POS A
- Found broken hook
- Reco for heritage
- Pause time, waiting for SU printer
- Install SU printer
- Defective printer endorsed to MOD for heritage repair
- Test SU printer; good
- Work done</t>
  </si>
  <si>
    <t>1/2 pull out SU, repair by Heritage</t>
  </si>
  <si>
    <t>King Aaron</t>
  </si>
  <si>
    <t>Hanna Cleofe</t>
  </si>
  <si>
    <t>FSBP00134068</t>
  </si>
  <si>
    <t>VTV0X0FB</t>
  </si>
  <si>
    <t>BOS connectivity checking (All POS Error-Could not created a connection to the server)</t>
  </si>
  <si>
    <t xml:space="preserve">12/27 -Upon arrival, coordinated with the MOD to verify the reported issue.
-Checked all POS by pinging through MWS; POS units were online.
-MOD confirmed that the store breaker was turned off on December 26, 2025 (night).
-Prior to FE arrival, MOD force-shutdown the BOS and powered it back on.
-Encountered RTO during ping testing.
-Checked PC performance using Task Manager.
-Reviewed system logs using Event Viewer.
-Checked hard disk health using HDD Sentinel.
-Identified Content PC issue.
-Coordinated with PASI to resolve the Content PC issue.
-Content PC issue resolved successfully.
-PASI confirmed BOS accessibility.
-Advised MOD and store partners that turning off the breaker and force-restarting the BOS is strictly prohibited to prevent server conflicts.
</t>
  </si>
  <si>
    <t xml:space="preserve">Store was advised that turning off the breaker and force-restarting the BOS is strictly prohibited to avoid server-related issues.
</t>
  </si>
  <si>
    <t>12:15 PM,  1:50 PM</t>
  </si>
  <si>
    <t>1:45 PM, 2:15 PM</t>
  </si>
  <si>
    <t>Lawrence Earl Kuan</t>
  </si>
  <si>
    <t>FSBP00133842</t>
  </si>
  <si>
    <t>41MC984</t>
  </si>
  <si>
    <t>POS A cover is open</t>
  </si>
  <si>
    <t>12/27 - Coordinate with MOD
- Locate and verify the reported unit
- Secure cables and close POS cover
- Checked by MOD and approved</t>
  </si>
  <si>
    <t>secure cables and close POS cover</t>
  </si>
  <si>
    <t>Gaby Zab Alfero</t>
  </si>
  <si>
    <t>FSBP00134183</t>
  </si>
  <si>
    <t>41MD275</t>
  </si>
  <si>
    <t>POS B cover is open</t>
  </si>
  <si>
    <t>FSBP00133866</t>
  </si>
  <si>
    <t>PC0QW7V9</t>
  </si>
  <si>
    <t>BOS Auto Shutdown</t>
  </si>
  <si>
    <t>12/27 - Coordinate to MOD
- Checked temperature, 50 to 60 degrees celsius, no overheating encountered.
- Secured cables and cleaned vents.
- Confirmed from MOD SM Admin replaced line connection of UPS
- Check UPS power outlet BOS connected; Normal voltage
- Check UPS power MWS connected; Normal voltage
- Performed overall BOS checking hardware components and settings
- Checked event viewer logs, confirmed unexpected shutdown
- POS Connection; stable
- Speed test with Cont ping dns; Encountering RTO
- Disk and Memory Util; Normal
- Memory Capacity; 8GB only
- HD Sentinel Status; 100% Health
- Server disk Partition; Normal
- Observed for 30 mins
- Work Done
Final Resolution
- Secure cables and connection to UPS Power
- Check voltage reading; normal
- For reco checking confirmation of facilities replaced line connection of Main UPS device
- For reco checking trends intermittent RTO both WAN ISP</t>
  </si>
  <si>
    <t>For Checking Main Line UPS Connection c/o Facilities
- For Checking WAN ISP Connection intermittent RTO c/o Trends</t>
  </si>
  <si>
    <t>Jenifer T. Veras</t>
  </si>
  <si>
    <t>FSBP00134106</t>
  </si>
  <si>
    <t>0KHJHNQXB00020V</t>
  </si>
  <si>
    <t>MENU A - DISCONNECTED</t>
  </si>
  <si>
    <t xml:space="preserve">12/27 -Coordinated with the MOD and checked MENU A status.
-Verified that MENU A was powered off.
-Powered on MENU A and checked the display.
-Coordinated with Sir Vince to confirm MENU A connection status.
-Checked the UPS; found that it was not charging and shuts down once unplugged from the power outlet.
-Temporarily connected MENU A directly to the power outlet as advised.
</t>
  </si>
  <si>
    <t xml:space="preserve">MENU A successfully powered on.
</t>
  </si>
  <si>
    <t>Christine Bayhonan</t>
  </si>
  <si>
    <t>FSBP00134094</t>
  </si>
  <si>
    <t>EliteDesk</t>
  </si>
  <si>
    <t>4CE9241XXX</t>
  </si>
  <si>
    <t>BOS - Both POS No Service Tier</t>
  </si>
  <si>
    <t xml:space="preserve">12/27 -Upon arrival, coordinated with MOD.
-MOD confirmed that all POS units and BOS are up and operational.
-Pinged POS units from BOS; all responded successfully.
-Observed system operations; no issues detected.
-Work Done:
</t>
  </si>
  <si>
    <t xml:space="preserve">All devices confirmed accessible; network connectivity verified.
</t>
  </si>
  <si>
    <t xml:space="preserve"> Roque Villa</t>
  </si>
  <si>
    <t>FSBP00134112</t>
  </si>
  <si>
    <t>POS B – Drawer 1 and 2 Not Automatically Opening</t>
  </si>
  <si>
    <t xml:space="preserve">12/27 -Upon arrival, coordinated with MOD.
-MOD reported that the issue has been ongoing since Monday.
-Found loose Y-cable causing the drawers to malfunction.
-Secured and fixed the cable; drawers tested and functioning properly.
</t>
  </si>
  <si>
    <t>Loose cable secured; POS B drawers are functioning normally.</t>
  </si>
  <si>
    <t>FSBP00133341</t>
  </si>
  <si>
    <t>HA1LGKQA</t>
  </si>
  <si>
    <t xml:space="preserve"> Store Tablet for configuration</t>
  </si>
  <si>
    <t xml:space="preserve">12/27 -Checked the store tablet; applications were installed and connected to Starbux Delivery Wi-Fi.
-MOD reported that The Scoop and The Bulletin files were not accessible, only viewable in minimized form.
-Verified the Scoop and Bulletin applications and reviewed file access procedures.
-Assisted and demonstrated by locating and downloading each file for proper viewing.
-MOD confirmed that files are now accessible.
-Cross-checked all applications; confirmed they are properly installed and fully functional.
</t>
  </si>
  <si>
    <t xml:space="preserve">Cross-checked all applications; confirmed they are properly installed and fully functional.
</t>
  </si>
  <si>
    <t>Raissa Del Mundo</t>
  </si>
  <si>
    <t>FSBP00134089</t>
  </si>
  <si>
    <t>KSJA0903</t>
  </si>
  <si>
    <t xml:space="preserve">HD AB - Store POS A was already up when FE arrived (note)
12/27 - -Upon arrival, coordinated with the MOD.
-Checked and pinged all connected devices.
-Verified that all devices were operational and reachable.
-Confirmed BOS internet speed at 1 Gbps.
-MOD confirmed that all devices were working properly.
-Issue verified with MOD; work completed.
</t>
  </si>
  <si>
    <t xml:space="preserve">All devices successfully pinged and verified as operational.
</t>
  </si>
  <si>
    <t>Jenn Aga</t>
  </si>
  <si>
    <t>FSBP00133913</t>
  </si>
  <si>
    <t>SB578</t>
  </si>
  <si>
    <t>MACARTHUR CORNER GUERERRO SAN FERNANDO LA UNION</t>
  </si>
  <si>
    <t>TB-X3O6X</t>
  </si>
  <si>
    <t>HA1LFR2J(22)</t>
  </si>
  <si>
    <t>Store Tablet - Factory to Reset</t>
  </si>
  <si>
    <t>12/28 - Coordinate reported issue to MOD /partners
- Upon checking, device is back to to default
- Conduct Bypass, Factory reset, install apps and config, test by partners - OK
- Endorsed device to partners</t>
  </si>
  <si>
    <t>Conduct Bypass, Factory reset, install apps and config, test by partners - OK</t>
  </si>
  <si>
    <t>Thaddeus Benedict Macabitas</t>
  </si>
  <si>
    <t>FSBP00133697</t>
  </si>
  <si>
    <t>HA1QKDHP</t>
  </si>
  <si>
    <t>Store Tablet - unable to open due to wrong password</t>
  </si>
  <si>
    <t xml:space="preserve">12/28 -Upon arrival, coordinated with the MOD.
-Checked the store tablet and verified the reported issue.
-Bypassed the tablet to proceed with reconfiguration.
-Set up the tablet and installed all required applications.
-Configured the authenticator.
-Verified functionality with the MOD; approval received.
-Work completed.
</t>
  </si>
  <si>
    <t xml:space="preserve">Tablet was reset and fully reconfigured; applications and authenticator set up successfully.
</t>
  </si>
  <si>
    <t>William Loyola</t>
  </si>
  <si>
    <t>FSBP00133696</t>
  </si>
  <si>
    <t>HVA1N295</t>
  </si>
  <si>
    <t>Store tablet - No internet connection</t>
  </si>
  <si>
    <t xml:space="preserve">12/28 -Upon arrival, coordinated with the MOD.
-Checked the store tablet status.
-Bypassed the tablet to proceed with reconfiguration.
-Set up the tablet and installed all required applications.
-Verified functionality with MOD; approval received.
-Work completed.
</t>
  </si>
  <si>
    <t xml:space="preserve">Tablet was reset and fully reconfigured; applications installed and working properly.
</t>
  </si>
  <si>
    <t>FSBP00134158</t>
  </si>
  <si>
    <t>HVA1N4XW</t>
  </si>
  <si>
    <t>Store Tablet — Not updated / To check &amp; update Store Tablet for access of Store Bulletin, Scoop and etc.</t>
  </si>
  <si>
    <t>12/28 - Coordinate to MOD
- Proceed to reset/factory reset and continue to log in gmail/account
- Trying the new account until we reach to install and test applications etc.,
- Coordinate with RCOC team; revoke email/signout MWS and login scan;
- Tested and endorsed the device to MOD; good.
- Work done.</t>
  </si>
  <si>
    <t>Camile Angue</t>
  </si>
  <si>
    <t>FSBP00134079</t>
  </si>
  <si>
    <t>41VA558</t>
  </si>
  <si>
    <t>POS B Suddenly Shutdown</t>
  </si>
  <si>
    <t xml:space="preserve">12/28 -Upon arrival, coordinated with the MOD regarding the reported issue.
-Checked POS B disk integrity using CHKDSK; no bad sectors found.
-Scanned OS; Windows Resource Protection found corrupt files and successfully repaired them.
-Verified network connectivity at 1 Gbps.
-Checked POS B power outlet; no power fluctuations detected.
-Checked POS B power adapter; unit shuts down when the adapter cable is slightly moved.
-Performed ping test from the server to POS B; unit is pingable.
-Observed store partners during POS usage.
</t>
  </si>
  <si>
    <t xml:space="preserve">Improved cable management of the POS B power adapter.
</t>
  </si>
  <si>
    <t>5:10:00 PM, 6:50 PM</t>
  </si>
  <si>
    <t>5:30 PM, 7:58 PM</t>
  </si>
  <si>
    <t xml:space="preserve"> Apple Cordova</t>
  </si>
  <si>
    <t xml:space="preserve">FSBP00134223 </t>
  </si>
  <si>
    <t>POS B PULL OUT</t>
  </si>
  <si>
    <t xml:space="preserve">12/28 -Upon arrival, coordinated with the MOD.
-Tested the repaired printer; unit is functioning properly.
-MOD approved the installation.
-Installed the repaired printer.
-Pulled out the SU printer.
-Work completed.
</t>
  </si>
  <si>
    <t xml:space="preserve">Pulled out the SU printer.
</t>
  </si>
  <si>
    <t xml:space="preserve"> Juvila Roque</t>
  </si>
  <si>
    <t>POS A PULL OUT</t>
  </si>
  <si>
    <t xml:space="preserve">FSBP00134228 </t>
  </si>
  <si>
    <t xml:space="preserve">12/28 -Coordinated with the MOD upon arrival.
-Installed the store printer (S/N: PP040863).
-During testing, the issue persisted; paper was not feeding properly.
-Installed the service unit (SU) printer.
-Informed the MOD that the defective printer will be endorsed to Heritage for checking.
</t>
  </si>
  <si>
    <t xml:space="preserve">Service unit printer installed and tested; unit is operational.
</t>
  </si>
  <si>
    <t>Carlo Ramos</t>
  </si>
  <si>
    <t xml:space="preserve">FSBP00134226 </t>
  </si>
  <si>
    <t xml:space="preserve">12/28 Upon arrival, coordinated with the MOD.
Checked POS A store printer; confirmed it was already repaired.
Set up the store printer and verified proper operation.
Performed test printing; output was normal and confirmed by the MOD.
Pulled out the service unit (SU) printer.
Work completed.
</t>
  </si>
  <si>
    <t xml:space="preserve">Service unit printer successfully pulled out after confirming store printer functionality.
</t>
  </si>
  <si>
    <t>FSBP00134289</t>
  </si>
  <si>
    <t>SB214</t>
  </si>
  <si>
    <t>I2 POINT BLDG - CEBU</t>
  </si>
  <si>
    <t>PPPB1287</t>
  </si>
  <si>
    <t>12/28 - Coordinate with MOD
- Locate and verify service unit printer; handed over by the MOD
- Coordinate with asset for SU printer pull out
- Tested the repaired printer; working properly</t>
  </si>
  <si>
    <t>Jhay Chu</t>
  </si>
  <si>
    <t>May Joy Catague</t>
  </si>
  <si>
    <t>FSBP00134203</t>
  </si>
  <si>
    <t>PC0D6YZ8</t>
  </si>
  <si>
    <t xml:space="preserve"> BOS both POS unable to connect to server</t>
  </si>
  <si>
    <t xml:space="preserve">12/28 -Coordinated with the MOD upon arrival; both POS units were already online.
-Checked the BOS and performed ping tests to both POS units and the MWS.
-Verified network connection status.
-Coordinated with PASI for TeamViewer checking and validation.
</t>
  </si>
  <si>
    <t>Network connection verified; ping tests from BOS to both POS units and MWS were successful.</t>
  </si>
  <si>
    <t>SD KING AARON</t>
  </si>
  <si>
    <t>Yan Castillo</t>
  </si>
  <si>
    <t>FSBP00134102</t>
  </si>
  <si>
    <t>PPP51133</t>
  </si>
  <si>
    <t>12/29 - Checked the reported unit; thermal head won't cut
- Proceeded with the deployment of Service Unit printer.
- Conducted testing thru OPOS and NAV
- SU Printer is working properly, confirmed by the MOD
- Endorsed defective printer to MOD for safekeeping and repair of Heritage.</t>
  </si>
  <si>
    <t>Win Galho</t>
  </si>
  <si>
    <t>FSBP00134200</t>
  </si>
  <si>
    <t xml:space="preserve">HVA1N4VR
</t>
  </si>
  <si>
    <t>12/29 - Coordinate with MOD
- Proceed to check tablet
- Bypass tablet
- Proceed to setup and install all applications
- Set up authenticator
- Verify to MOD; approved
- Work done</t>
  </si>
  <si>
    <t>Reset tablet and setup</t>
  </si>
  <si>
    <t>FSBP00134269</t>
  </si>
  <si>
    <t>PCOJRPT1</t>
  </si>
  <si>
    <t>BOS — Network status shows 100 Mbps only</t>
  </si>
  <si>
    <t>12/29 - Coordinate with MOD
- Paused time due to high volume of customer
- Checked BOS; 100 mbps
- Recrimp end to end lan cable; BOS is now 1 gbps
- Tested by MOD; Good
- Ping test on BOS thru MWS
- Ping test on both POS thru MWS
- Capture BOS connection speed
- HD Sentinel on BOS
- BOS Memory Capacity
- Disk and Memory Utilization on Task manager
- Coordinate to PASI in parallel DBMP and Memory allocation
- Standby for 30 mins; store is stable
- Work done</t>
  </si>
  <si>
    <t>Recrimp end to end lan cable</t>
  </si>
  <si>
    <t xml:space="preserve"> Yna De Jesus</t>
  </si>
  <si>
    <t>FSBP00134270</t>
  </si>
  <si>
    <t>GLOBE/HUAWEI</t>
  </si>
  <si>
    <t>2S2320017732Y</t>
  </si>
  <si>
    <t xml:space="preserve">12/29 - Coordinate with MOD
- Standalone test new Globe fiber internet and perform speedtest,
- Remove converge uplink in primary internet port
- Remove PLDT DSL in secondary internet port, and connect Converge uplink
- Perform end-to-end testing
- Test all SSID and perform speedtest
- Globe is now connected confirmed by Sir Bryan
</t>
  </si>
  <si>
    <t>connect Globe uplink to internet port 1</t>
  </si>
  <si>
    <t>Jayson Gabiola</t>
  </si>
  <si>
    <t>FSBP00134264</t>
  </si>
  <si>
    <t>POS A PRINTER - Unable to Print</t>
  </si>
  <si>
    <t>12/29 - While onsite and working on another ticket- MOD reported that they can’t use their POS due to printer defective
- Checking the printer suddenly hangs.
- Coordinate with the team regarding deployment of SU printer
- Deliver and install SU printer
- Test print good.
- Endorsed defective printer to MOD and advise to safekeep for heritage repair and checking
- Work done</t>
  </si>
  <si>
    <t>FSBP00134232</t>
  </si>
  <si>
    <t>15153B1E63</t>
  </si>
  <si>
    <t>POS A Barcode Scanner - No power</t>
  </si>
  <si>
    <t xml:space="preserve">12/29 - Coordinate with MOD and check barcode scanner
- Upon checking cable has a cut.
- Replace barcode scanner
- Test scanner; good
- Pullout defective barcode scanner
- Work done </t>
  </si>
  <si>
    <t>replace barcode scanner</t>
  </si>
  <si>
    <t>15153B1E62</t>
  </si>
  <si>
    <t>Elvis Ignacio</t>
  </si>
  <si>
    <t>FSBP00134291</t>
  </si>
  <si>
    <t>BOS TeamViewer — Monitored Offline</t>
  </si>
  <si>
    <t>12/29 - Requested PASI TV access for BOS
- Tried to access BOS via TV; connection failed
- Requested PASI TV access for MWS
- Tried to access MWS; successful
- Performed ping test from MWS to BOS; pingable/OK
- Tried to remote BOS via VNC; unable to connect
- Tried Remote Desktop Connection to BOS; successful
- Checked TV application on BOS; found corrupted
- Performed clean reinstallation of TV; complete
- Uninstall VNC on both BOS and MWS; complete
- Testing remote access via VNC (vice versa); accessible
- Testing remote access to BOS; accessible
- Conducted parallel testing with PASI; OK
- Work complete</t>
  </si>
  <si>
    <t>Uninstall/Reinstall TV in MWS &amp; BOS</t>
  </si>
  <si>
    <t>FSBP00134301</t>
  </si>
  <si>
    <t>BOS Shows 100 MBPS</t>
  </si>
  <si>
    <t>12/30 Coordinate with MOD / Partners, check device, internet speed is at 100mbps
- Replaced LAN Cable, check internet speed, 1GBps
- Test both POS A and B , OK</t>
  </si>
  <si>
    <t>replaced LAN cable</t>
  </si>
  <si>
    <t>Shiena Florendo</t>
  </si>
  <si>
    <t>FSBP00130118</t>
  </si>
  <si>
    <t>SB607</t>
  </si>
  <si>
    <t>ONE TECHNO PLACE - ILOILO</t>
  </si>
  <si>
    <t>TML-90</t>
  </si>
  <si>
    <t>TPJF032635</t>
  </si>
  <si>
    <t>Espresso Labeler Printer - won't print</t>
  </si>
  <si>
    <t>12/30 -Upon arrival coordinated with MOD.
-Replaced all the labelers printers one by one as per MOD.
-Installed drivers for both POS.
-PASI configured labelers in both POS.
-Testprint Labeler printers.
-Other labelers have a problem of cut off printing.
-Advised MOD and partners to exactly place the thermal paper to the right side of the printer for accurate printing to not cut off.
-Observed for an hour and MOD witnessed that all labelers are working good.</t>
  </si>
  <si>
    <t>Install new 4 labelers</t>
  </si>
  <si>
    <t>Labelers</t>
  </si>
  <si>
    <t xml:space="preserve"> CYBN8KA25070045/CYBN8KA25070048/CYBN8KA25070075/CYBN8KA25070054</t>
  </si>
  <si>
    <t xml:space="preserve">TPJF021670/TPJF032635/TPJF032639/TPJF032637
</t>
  </si>
  <si>
    <t>TS Lance</t>
  </si>
  <si>
    <t>Ralph Montoyo</t>
  </si>
  <si>
    <t>Mybelle Calusay</t>
  </si>
  <si>
    <t>FSBP00134316</t>
  </si>
  <si>
    <t xml:space="preserve"> V3B0252C20145</t>
  </si>
  <si>
    <t xml:space="preserve">MOP- The screen is just loading (no error message) and cannot locate their Store on the app
</t>
  </si>
  <si>
    <t>12/30 -Upon arrival, Coordinate to MOD
-Checking App
-Check connectivity
-MOP is working but can't select location
-tried to connect hotspot; still same no location
-Advise MOD to email DCE team led by Ms Estee Go to escalate the issue
-Inform MOD to email : technology Service Desk team, and they agree
-Get store manager number - nierrr colantes +639157958227
-Work done.</t>
  </si>
  <si>
    <t>Check App, Device and Connectivity, escalte to proper vendor</t>
  </si>
  <si>
    <t>Cherrly Salvana</t>
  </si>
  <si>
    <t>FSBP00134329</t>
  </si>
  <si>
    <t>PP050267</t>
  </si>
  <si>
    <t>POS B Printer - won't Print with error ""the device is not connected"</t>
  </si>
  <si>
    <t>12/30  Upon arrival, coordinated with the MOD regarding the reported POS B printer issue.
-  upon arrival, the POS B printer was already printing normally
- Verified printer status onsite; POS B printer detected properly by the POS system.
- Checked all printer connections and ensured the power adapter was securely plugged into the printer and power socket.
- Inspected USB/data cable connection between POS and printer; reseated cables to ensure proper connection.
- Performed printer self-test; test print completed successfully.
- Conducted POS transaction print test; receipt printed without errors.
- Confirmed with MOD that the issue was a minor and intermittent error and the POS B printer is now functioning normally.</t>
  </si>
  <si>
    <t>reseated cables to ensure proper connection</t>
  </si>
  <si>
    <t xml:space="preserve"> Patricia Serveo</t>
  </si>
  <si>
    <t>FSBP00133440</t>
  </si>
  <si>
    <t>Noise concern</t>
  </si>
  <si>
    <t>41NY899</t>
  </si>
  <si>
    <t>POS B - Producing loud noise, like a fan inside</t>
  </si>
  <si>
    <t>12/30 - Upon arrival, coordinated with the MOD regarding the reported loud noise coming from POS B.
- Verified the issue onsite and confirmed abnormal loud noise during POS operation.
- Powered down POS B and safely disconnected all connected peripherals.
- Opened the POS unit and removed the back plate for internal inspection.
- Identified that the HDD SATA cable was improperly routed and rubbing against the internal cooling fan, causing the loud noise.
- Repositioned and properly secured the SATA cable away from the fan path.
- Ensured all internal cables were neatly arranged and fastened to prevent future contact with moving components.
- Reassembled the POS unit and reconnected all peripherals.
- Powered on POS B and monitored operation; confirmed the loud noise was no longer present.
- Testing of Maya, cash drawer, scanners,printer
- Performed basic functionality check and ensured POS B was operating normally.
- Updated MOD regarding findings and resolution; MOD confirmed the issue was resolved.</t>
  </si>
  <si>
    <t xml:space="preserve"> Repositioned and properly secured the SATA cable </t>
  </si>
  <si>
    <t>Aley Ambra Timboy</t>
  </si>
  <si>
    <t>FSBP00134330</t>
  </si>
  <si>
    <t xml:space="preserve"> 41MB061</t>
  </si>
  <si>
    <t xml:space="preserve"> POS A - stuck in "Manage PC boot"
</t>
  </si>
  <si>
    <t xml:space="preserve">1230 - Coordinate to MOD for POS A checking
- Found HDD health 35% health only
- Replace HDD
- Set up computer details and network IP
- Coordinate to PASI for configuration 
- Tried to damain; unable to domain
- Test transaction; ok
- Verify to MOD
- Work done
</t>
  </si>
  <si>
    <t>S2AXZTXW</t>
  </si>
  <si>
    <t>WMAYP0JAHLJA</t>
  </si>
  <si>
    <t>12:36 PM, 3:50 PM</t>
  </si>
  <si>
    <t>3:37 PM, 5:56 PM</t>
  </si>
  <si>
    <t xml:space="preserve"> Jazz Larinay</t>
  </si>
  <si>
    <t xml:space="preserve">FSBP00134338 </t>
  </si>
  <si>
    <t>SB211</t>
  </si>
  <si>
    <t>THE PORTAL</t>
  </si>
  <si>
    <t>41NY908</t>
  </si>
  <si>
    <t>POS A — Auto shutdown and POS not turning-on</t>
  </si>
  <si>
    <t>12/29 -Upon Arrival, POS is shutdown
-Checked POS power cable not properly plug in
-Plug in properly POS is now up
-Tested by MOD; good
-Standby for 30 mins
-Work done</t>
  </si>
  <si>
    <t xml:space="preserve">Plug in properly </t>
  </si>
  <si>
    <t>Cha Dionisio</t>
  </si>
  <si>
    <t xml:space="preserve">FSBP00134336 </t>
  </si>
  <si>
    <t>SB648</t>
  </si>
  <si>
    <t xml:space="preserve"> INFINITY ANGELES</t>
  </si>
  <si>
    <t>CDNBI566</t>
  </si>
  <si>
    <t>DT Barcode scanner - No power</t>
  </si>
  <si>
    <t>12/30 -Coordinate to MOD regarding the issue, DT Barcode Scanner - no power.
-L2 Perform trouble shooting, found out, no power.
-L2 Unplug and Replug to another USB port 2
-MOD Testing to scanned using Starbucks Card.
-After test, Scanner is working.
Final Resolution:
-Unplug and Replug to another USB Port Scanner
-MOD Testing Scanned Starbucks Card</t>
  </si>
  <si>
    <t>Unplug and Replug to another USB Port</t>
  </si>
  <si>
    <t>Alexis Marie Lozano</t>
  </si>
  <si>
    <t>FSBP00133918</t>
  </si>
  <si>
    <t>SB240</t>
  </si>
  <si>
    <t xml:space="preserve"> WORLDWIDE CORPORATE CENTER -SHAW BLVD.</t>
  </si>
  <si>
    <t>41NY943</t>
  </si>
  <si>
    <t>POS B MSR - ID swiping displays the password screen but does not grant access unless multiple attempts are made</t>
  </si>
  <si>
    <t>12/30 for onsite support PASI worklogs updated
Coordinate with MOD and check MSR
- Upon checking found out that incomplete  ID details, Displayed only the password no userID
- wait for parts delivery
- Replace MSR
- Test with MOD, working</t>
  </si>
  <si>
    <t xml:space="preserve"> replace MSR</t>
  </si>
  <si>
    <t>11S9634953YK11AR661159</t>
  </si>
  <si>
    <t xml:space="preserve"> 11S9634953YK11AR661170</t>
  </si>
  <si>
    <t>Kat Ruance</t>
  </si>
  <si>
    <t>FSBP00134358</t>
  </si>
  <si>
    <t>JR2Q874</t>
  </si>
  <si>
    <t>BOS TeamViewer — When attempting to connect remotely, it only displays a black screen</t>
  </si>
  <si>
    <t>12/30 -Upon Arrival, checked BOS
-Plug HDMI to monitor
-Capture TeamViewer credentials and send to PASI
-Advised PASI and they acknowledge
-Work done</t>
  </si>
  <si>
    <t>Plug HDMI to monitor</t>
  </si>
  <si>
    <t>14:$5</t>
  </si>
  <si>
    <t>Joel L</t>
  </si>
  <si>
    <t xml:space="preserve"> FSBP00134369</t>
  </si>
  <si>
    <t>PP7600x-tb</t>
  </si>
  <si>
    <t>PPM92002</t>
  </si>
  <si>
    <t xml:space="preserve"> POS B printer turning off
</t>
  </si>
  <si>
    <t>12/30 -Upon arrival coordinate mod 
-Upon checking, the power cable to the adapter was disconnected. 
-I cleaned the thermal head with wipes because it seems unable to cut the paper properly.
-Secure and reconnect it back ,wrap with cable tie.
-Power up and perform self test (ok)
-Endorsed mod and testing multiple times no error
-pos b printer is working normally 
-check warranty date issued: 12/20/2023
-Work done
-Call Closed</t>
  </si>
  <si>
    <t xml:space="preserve"> Reconnect the power cord and the adapter  and secure</t>
  </si>
  <si>
    <t>12:05 PM, 1:30 PM</t>
  </si>
  <si>
    <t>12:30 PM, 1:40 PM</t>
  </si>
  <si>
    <t xml:space="preserve">MOD Ansley </t>
  </si>
  <si>
    <t>Ansley Catigan</t>
  </si>
  <si>
    <t>FSBP00134392</t>
  </si>
  <si>
    <t>POS D PULL OUT</t>
  </si>
  <si>
    <t>12/30 -Coordinate to MOD regarding for Pull Out SU Printer
-L2 Receive SU Printer from MOD</t>
  </si>
  <si>
    <t>Pull - Out SU Printer</t>
  </si>
  <si>
    <t xml:space="preserve">Miko Santiago </t>
  </si>
  <si>
    <t xml:space="preserve"> FSBP00134390</t>
  </si>
  <si>
    <t>FSBP00134031</t>
  </si>
  <si>
    <t>HVA1N4VJ</t>
  </si>
  <si>
    <t>Store Tablet - experiencing difficulty connecting to the internet</t>
  </si>
  <si>
    <t>12/31 - Coor to MOD for store tablet checking
- Found store tablet on default setup
- Proceed factory reset
- Install required apps
- Connect to starbucks delivery wifi
- Setup store tablet
- Verify to MOD
- Work done</t>
  </si>
  <si>
    <t>Ronneil De Torres</t>
  </si>
  <si>
    <t>FSBP00134376</t>
  </si>
  <si>
    <t xml:space="preserve"> FILINVEST AXIS</t>
  </si>
  <si>
    <t>HA1QJR2H</t>
  </si>
  <si>
    <t>Store Tablet- Keeps on Factory reset</t>
  </si>
  <si>
    <t>12/31 -factory reset.
-scan qr code.
-set pin.
-installed apps and tested.
-revoke email.
-tested by mod authenticator.
-work done.</t>
  </si>
  <si>
    <t>Store Tablet Reset &amp; Setup.</t>
  </si>
  <si>
    <t>Faye Ybanez</t>
  </si>
  <si>
    <t>FSBP00134377</t>
  </si>
  <si>
    <t xml:space="preserve">HVA1N4T2 </t>
  </si>
  <si>
    <t>FSBP00134397</t>
  </si>
  <si>
    <t>Maya Terminal Error</t>
  </si>
  <si>
    <t>41 - MD298</t>
  </si>
  <si>
    <t>POS B Maya terminal - unable to proceed/ communication timeout</t>
  </si>
  <si>
    <t>12/30 - Reseat maya cables; issue still persist
- Reinstall maya driver; issue still persist
- Restart POS and Maya terminal; issue still persist
- Reco for maya checking
- Verify to MOD
- Work done</t>
  </si>
  <si>
    <t>Reinstall drivers and reseat cables</t>
  </si>
  <si>
    <t>MOD Jazz</t>
  </si>
  <si>
    <t xml:space="preserve">  Jazz Larinay</t>
  </si>
  <si>
    <t xml:space="preserve">FSBP00134409 </t>
  </si>
  <si>
    <t xml:space="preserve"> 41PV897</t>
  </si>
  <si>
    <t xml:space="preserve"> POS B — Auto shutdown / When turning on, it proceed to Windows Log-In but suddenly will turn-off</t>
  </si>
  <si>
    <t xml:space="preserve">12/31 -Upon arrival, Coordinate to MOD
-PosB is up and working upon arrival
-Proceed to test
-Check ethernet speed;good
-Hdd sentinel;good
-Chkdsk;good
-Restart; suddenly shutdown and can't continue to OS
-Loose data sata cable;fix
-Restart multiple times;good and MOD approved
-Observe in case of problems occur
Work done.
</t>
  </si>
  <si>
    <t xml:space="preserve"> Secure all cables and fix on the bios</t>
  </si>
  <si>
    <t>Sophia shagun</t>
  </si>
  <si>
    <t xml:space="preserve"> FSBP00133345</t>
  </si>
  <si>
    <t xml:space="preserve"> HA1PFY3M</t>
  </si>
  <si>
    <t>Store Tablets - Cannot connect to the Starbucks Delivery WIFI and tablets not set-up for RCOC files</t>
  </si>
  <si>
    <t xml:space="preserve">12/31 -Coordinated with MOD upon arrival
-Checked store tablet; confirmed it was reset to default settings
-Performed factory reset
-Connected tablet to technician’s Wi-Fi
-Set up tablet configuration
-Set device password to 123456
-Downloaded required files
-Coordinated with RCOC for MAC address binding
-Saved Starbucks Delivery configuration
-Set up authenticator; confirmed working with MOD
-Work completed
</t>
  </si>
  <si>
    <t xml:space="preserve">Store tablet restored to imaged version. Starbucks Delivery successfully saved
</t>
  </si>
  <si>
    <t xml:space="preserve">Francisco T. Sevilla III	</t>
  </si>
  <si>
    <t>Gabriel Nadado</t>
  </si>
  <si>
    <t>FSBP00134422</t>
  </si>
  <si>
    <t xml:space="preserve"> HVA1P65E</t>
  </si>
  <si>
    <t>FSBP00132777</t>
  </si>
  <si>
    <t>41-PH520</t>
  </si>
  <si>
    <t xml:space="preserve">POS B Request to adjust time to be aligned with the actual-time clock
</t>
  </si>
  <si>
    <t>12/31 -Coordinated with MOD for POS B checking
-Confirmed POS B date and time were incorrect
-Adjusted date and time through BIOS
-Restarted the machine; date and time are now accurate
-Verified correction with MOD
-Work completed</t>
  </si>
  <si>
    <t xml:space="preserve">Date and time adjusted through BIOS
</t>
  </si>
  <si>
    <t>Jassan De Gollo</t>
  </si>
  <si>
    <t>FSBP00134441</t>
  </si>
  <si>
    <t>HVA1N4MQ</t>
  </si>
  <si>
    <t>1/1 - Coordinate to MOD for store tablet checking
- Confirmed store tablet set to default
- Proceed factory reset
- Install required apps
- Setup authenticator
- Verify to MOD
- Work done</t>
  </si>
  <si>
    <t>FSBP00132927</t>
  </si>
  <si>
    <t>CURIOPLAYER</t>
  </si>
  <si>
    <t>2012H0FG07693</t>
  </si>
  <si>
    <t>Curio player - unable to access website but playing outside</t>
  </si>
  <si>
    <t xml:space="preserve">1/1 - Upon arrival, Coordinate to MOD
- Ping IP test; RTO
- Port10 has no light
- Connect LAN cable to curio
- Ping test; good
- Player UI can't proceed to dashboard
- Request to bind curio
- Connectivity of curio; good
- Work done.
</t>
  </si>
  <si>
    <t>Connect LAN cable to curio</t>
  </si>
  <si>
    <t>Lenny Cacharo</t>
  </si>
  <si>
    <t>FSBP00134484</t>
  </si>
  <si>
    <t>41-MD764</t>
  </si>
  <si>
    <t xml:space="preserve"> POS A - No Power</t>
  </si>
  <si>
    <t>1/1 - Coordinated with the MOD.
- BOS and POS are up and running.
- Secured cable connections.
- MOD advised that their breaker switch is loose.
- Confirmed the problem.
- Checked BOS and POS all stable.
- Advised MOD to report it to facilities.</t>
  </si>
  <si>
    <t>NFT - for Facilities checking</t>
  </si>
  <si>
    <t>FSBP00134487</t>
  </si>
  <si>
    <t>41-MD292</t>
  </si>
  <si>
    <t xml:space="preserve"> POS B - No Power</t>
  </si>
  <si>
    <t>FSBP00133883</t>
  </si>
  <si>
    <t>SB512</t>
  </si>
  <si>
    <t>ROBERTSON PLAZA</t>
  </si>
  <si>
    <t>HVA1P63P</t>
  </si>
  <si>
    <t>Store Tablet — Tablet Reset</t>
  </si>
  <si>
    <t xml:space="preserve">1/1 -Performed factory reset
-Scanned QR code
-Connected to Starbucks Delivery Wi-Fi
-Set device PIN
-Installed required applications and conducted testing
-Revoked email access
-Tested authenticator with MOD
-Work completed successfully
</t>
  </si>
  <si>
    <t xml:space="preserve">Store tablet reset and fully set up
</t>
  </si>
  <si>
    <t>Hannah Iruguin</t>
  </si>
  <si>
    <t>FSBP00134491</t>
  </si>
  <si>
    <t>Printer not detected</t>
  </si>
  <si>
    <t>POS A Printer - OPOS_Timeout</t>
  </si>
  <si>
    <t xml:space="preserve">1/1 -Coordinated with MOD upon arrival
-Checked POS A printer connection
-Identified defective USB ports on POS A
-Requested motherboard (MOBO) replacement from assets
-Replaced POS motherboard
-Performed PASI configuration
-Verified printer functionality
-Testing confirmed and approved by MOD
-Work completed
</t>
  </si>
  <si>
    <t xml:space="preserve">Replaced motherboard of POS A
</t>
  </si>
  <si>
    <t>FSBP00133269</t>
  </si>
  <si>
    <t xml:space="preserve"> MEGA ONE BUILDING</t>
  </si>
  <si>
    <t>HAVA1N48G</t>
  </si>
  <si>
    <t xml:space="preserve"> Store Tablet — No portal</t>
  </si>
  <si>
    <t>1/2 - Upon arrival, coordinated with the MOD regarding the reported issue of missing portal and RCOC applications.
- Verified the tablet status and confirmed that required company applications were not available.
- Recorded the model and serial number of the device by accessing Settings &gt; About Tablet and documented via photo prior to reset.
- Performed factory reset using hardware key method (Volume Up + Volume Down + Power).
- Selected Wipe data / factory reset and confirmed successful completion (“Data wipe complete”).
- Rebooted the device and proceeded to initial setup until the “Hi there” screen appeared.
- Accessed Wi-Fi setup without pressing Start and connected to Starbucks Delivery network.
- Scanned the official company QR code to initiate standard device provisioning.
- Logged in using the assigned company email and completed 2-step verification via backup code coordinated with RCOC.
- Accepted company policies and allowed deployment of required work applications.
- Completed kiosk mode setup, including screen lock configuration (PIN: 123456).
- Configured device settings:
Enabled battery percentage
Set screen timeout to 30 minutes
Disabled unnecessary sounds and vibrations
Confirmed WLAN advanced settings set to Use Device MAC
- Verified and configured required applications:
QR Scanner (camera permissions enabled)
RCOC Learning Academy
Files (full file access enabled)
OneDrive
TeamViewer QuickSupport (Add-On enabled; ID recorded)
SP Connect (OPS Communication SharePoint configured)
RizePoint
Microsoft Authenticator (QR-based authentication completed)
- Confirmed standard company applications were successfully installed and fully accessible.
- Verified and recorded MAC Address and IMEI for asset reference.
- Performed final validation with MOD to confirm tablet functionality and portal access.</t>
  </si>
  <si>
    <t xml:space="preserve">tablet  factory reset, reconfigured, </t>
  </si>
  <si>
    <t>Joshua Balabbo</t>
  </si>
  <si>
    <t>FSBP00134514</t>
  </si>
  <si>
    <t>PP040953</t>
  </si>
  <si>
    <t>POS B printer not printer after replacement of thermal Paper</t>
  </si>
  <si>
    <t>1/1  - Upon arrival coordinated with MOD
-Check POS B printer; found broken printer hook
-Coordinated with asset for service unit
-Wait for service unit delivery
-Received the printer
-Isolate store printer
-Setup service unit printer
-Installed drivers
-Test print; good, printing, confirmed by MOD
-Work done</t>
  </si>
  <si>
    <t>Temporarily replaced store printer with service unit printer</t>
  </si>
  <si>
    <t xml:space="preserve"> PP040953</t>
  </si>
  <si>
    <t>Daryl Paloa</t>
  </si>
  <si>
    <t>FSBP00134288</t>
  </si>
  <si>
    <t>SB661</t>
  </si>
  <si>
    <t>TPLEX ROUNDABOUT</t>
  </si>
  <si>
    <t xml:space="preserve"> 1YQQ874</t>
  </si>
  <si>
    <t>1/2 - Upon arrival, store is fully operational.
- Coordinated with the MOD.
- Checked BOS, internet speed is at 100mbps.
- Waited for permission to re-crimp/replace LAN cable.
- Re-crimped LAN cable, destination host not found.
- Tested with the LAN tester, cable is ok.
- Re-crimped again, still at 100mbps.
- Replaced LAN Cable and checked internet speed.
- BOS speed is now at 1GBPS.
- Tested both POS and observed. 
- All devices are ok, confirmed by the MOD.</t>
  </si>
  <si>
    <t>recrimped Lan</t>
  </si>
  <si>
    <t>11:30 AM, 12:30 PM</t>
  </si>
  <si>
    <t>12:00 PM, 1:06 PM</t>
  </si>
  <si>
    <t xml:space="preserve"> Denese Generao </t>
  </si>
  <si>
    <t>FSBP00134529</t>
  </si>
  <si>
    <t>10FG</t>
  </si>
  <si>
    <t xml:space="preserve"> PC0D6YXT</t>
  </si>
  <si>
    <t>BOS: Both POS - No Service Tier Available</t>
  </si>
  <si>
    <t xml:space="preserve">1/2 -Upon arrival, Coordinate to MOD
-Both POS has no service tier
-Proceed and check Server
-Meraki port3 has no light, BOS has no light
-Secure power cable check power voltage and switch to normal outlet; BOS still has no light
-Requesting for parts, Psu,Mobo with ram
-Waiting for parts
-Install and detached PSU;good BOS is now up
-POS A,B open Ls Nav;good but scanner and printer is not working; restart both POS and reseat scanner;good all working
-Observe in case of problem occur
-Pull out defective PSU
-Reco for checking of electricities to facilities
Work done. </t>
  </si>
  <si>
    <t>replaced new powersupply</t>
  </si>
  <si>
    <t>PowerSupply</t>
  </si>
  <si>
    <t xml:space="preserve"> 8SSP50D92832F1SH62J002B</t>
  </si>
  <si>
    <t>: 8SSP50H29452L162GB9090M</t>
  </si>
  <si>
    <t>10:49 AM, 12:11 PM</t>
  </si>
  <si>
    <t>11:44 AM, 1:00 PM</t>
  </si>
  <si>
    <t xml:space="preserve"> Ian Murro</t>
  </si>
  <si>
    <t>FSBP00134586</t>
  </si>
  <si>
    <t xml:space="preserve">1/2 -Coordinated with the MOD upon arrival
-Verified all SU printer details prior to pull-out
-Confirmed no defective parts on the SU printer
-Ensured device details were aligned with deployment records
-Work completed
</t>
  </si>
  <si>
    <t xml:space="preserve">SU printer successfully pulled out
</t>
  </si>
  <si>
    <t>TS NJ</t>
  </si>
  <si>
    <t xml:space="preserve"> Hannah Cleofe</t>
  </si>
  <si>
    <t>FSBP00134576</t>
  </si>
  <si>
    <t>1/2  -Upon arrival, coordinated with the MOD regarding the scheduled SU printer pull-out activity.
-Verified and checked the SU printer unit status prior to removal.
-Gathered and recorded complete SU printer details (brand, model, and serial number).
-Confirmed that only the printer unit is included for pull-out; power adaptor and USB cable were not included as per MOD
-Pulled out the SU printer unit as instructed.
-Confirmed the unit is for FE keep and properly secured for transport.
-Updated MOD regarding the completion of the pull-out activity.</t>
  </si>
  <si>
    <t>Pull out SU</t>
  </si>
  <si>
    <t xml:space="preserve"> Pow Barredo</t>
  </si>
  <si>
    <t>FSBP00134536</t>
  </si>
  <si>
    <t xml:space="preserve">340 EDSA CALOOCAN </t>
  </si>
  <si>
    <t>PPP81946</t>
  </si>
  <si>
    <t>POS B printer not working</t>
  </si>
  <si>
    <t xml:space="preserve">1/2 -Coordinated with the MOD upon arrival regarding the POS B printer issue
-Tested POS B printer; confirmed it was not responding and unable to print or dispense receipts
-Checked power supply, cables, and printer components
-Verified USB port connection; properly connected but printer remained unresponsive
-Determined POS B printer was defective
-Recommended Heritage for further checking and repair
-Informed MOD (Steven Mel Wenceslao) and advised to keep the defective POS B printer secured
-Requested a Service Unit (SU) printer
-Installed SU printer upon arrival and performed test printing
-Observed printer operation for 20 minutes with no issues encountered
-POS B printer restored to proper working condition using SU
-Work completed
</t>
  </si>
  <si>
    <t xml:space="preserve">Installed Service Unit (SU) printer to restore operations
</t>
  </si>
  <si>
    <t>Service Unit</t>
  </si>
  <si>
    <t>Steven Mel Wenceslao</t>
  </si>
  <si>
    <t>FSBP00133018</t>
  </si>
  <si>
    <t>HA1PDR62</t>
  </si>
  <si>
    <t>Store Tablet - Does not have scoop and bulletin</t>
  </si>
  <si>
    <t xml:space="preserve">1/2 -Performed factory reset
-Installed and configured required applications
-Verified Scoop and Bulletin access
-Connected tablet to Starbucks Delivery SSID
-Tested and validated tablet functionality with MOD; approved
</t>
  </si>
  <si>
    <t xml:space="preserve">Performed factory reset and installed and configured required applications
</t>
  </si>
  <si>
    <t>Jhosa Espiritu</t>
  </si>
  <si>
    <t>FSBP00134554</t>
  </si>
  <si>
    <t>SB598</t>
  </si>
  <si>
    <t>COMMONWEALTH AVE CORNER PESETA</t>
  </si>
  <si>
    <t>HA1PFNCA</t>
  </si>
  <si>
    <t xml:space="preserve"> Store tablet unable to connect to WiFi, preventing it from completing a recent update, despite using the correct Starbucks Delivery WiFi password</t>
  </si>
  <si>
    <t xml:space="preserve">1/2 -Coordinated with the MOD upon arrival
-Checked the tablet and confirmed it was not connected to Wi-Fi
-Exited kiosk mode
-Connected to Starbucks Delivery Wi-Fi
-Returned to kiosk mode; tablet automatically restarted and reverted to default settings
-Performed factory reset
-Set up the tablet
-Reconnected to Starbucks Delivery Wi-Fi and verified connectivity
-Set tablet password
-Downloaded and installed all required store tablet applications
-Set up the authenticator and verified functionality, confirmed by MOD
-Work completed
</t>
  </si>
  <si>
    <t xml:space="preserve">Store tablet reimaged and fully configured
</t>
  </si>
  <si>
    <t>Bianca Balang</t>
  </si>
  <si>
    <t>FSBP00132954</t>
  </si>
  <si>
    <t>Galaxy Tab A9+</t>
  </si>
  <si>
    <t>Store Tablet - No Scoop and Bulletin icons</t>
  </si>
  <si>
    <t xml:space="preserve">1/2 -Coordinated with the MOD upon arrival
-Checked the tablet and confirmed Scoop and Bulletin were not available
-Attempted system factory reset; IT Admin permission required
-Performed hard factory reset; unable to access recovery mode
-Attempted multiple reset methods based on online troubleshooting guides; issue persisted
-Informed MOD of the encountered limitation; acknowledged
</t>
  </si>
  <si>
    <t xml:space="preserve">For further checking and guidance from RCOC Technical Support
</t>
  </si>
  <si>
    <t xml:space="preserve"> Mario Fulgar</t>
  </si>
  <si>
    <t>FSBP00134607</t>
  </si>
  <si>
    <t xml:space="preserve">MERCEDES RESIDENCES
</t>
  </si>
  <si>
    <t xml:space="preserve">PP-7600X-TB </t>
  </si>
  <si>
    <t xml:space="preserve"> POS B: Printer Won't Print
</t>
  </si>
  <si>
    <t xml:space="preserve">1/3 -Upon arrival, coordinated with the Manager on Duty (MOD).
-Identified issue: broken printer hook causing printing failure.
-Waited for replacement parts.
-Installed new S.U. printer and required drivers.
-Conducted multiple test prints; results approved by MOD.
-Endorsed defective printer to MOD (Mark Vincent Bernas). Heritage will visit the store to check the defective unit.
-Observed printer operation to ensure proper functionality.
</t>
  </si>
  <si>
    <t xml:space="preserve">Installed a new S.U. printer.
</t>
  </si>
  <si>
    <t>FSBP00134611</t>
  </si>
  <si>
    <t>7580-G</t>
  </si>
  <si>
    <t>15154B0C12</t>
  </si>
  <si>
    <t xml:space="preserve"> POS B Scanner - Won't Scan</t>
  </si>
  <si>
    <t>1/3 - Upon arrival, coordinated with the MOD regarding the reported POS B scanner issue.
- As per MOD, the scanner had earlier encountered a minor error but was already functioning normally upon arrival.
- Verified the scanner status onsite and observed that the device was responsive.
- Performed repeated dummy card scanning tests on POS B for approximately 3 minutes to validate consistency.
- Scanner successfully read multiple scans without delay or failure during testing.
- Checked scanner cable connection and ensured it was properly seated on both scanner and POS ports.
- MOD confirmed POS B scanner is currently working properly.</t>
  </si>
  <si>
    <t>NFT - checked scanner cable connection: properly seated</t>
  </si>
  <si>
    <t>Regine Ferrer</t>
  </si>
  <si>
    <t>FSBP00134587</t>
  </si>
  <si>
    <t>RTO51928</t>
  </si>
  <si>
    <t>POS B - VFD Display not working</t>
  </si>
  <si>
    <t>1/3 - Upon arrival coordinate to MOD
- Check POS B line display
- Reseat line display
- Down all pin
- Restart
- Check in OPOS, test ok
- Back number 3 pin,
- Restart and check OPOS, test ok
- Observed
- Work done</t>
  </si>
  <si>
    <t xml:space="preserve"> reseat line display, down all pin, and back to default number 3 up</t>
  </si>
  <si>
    <t>Pauline Acedo</t>
  </si>
  <si>
    <t xml:space="preserve">FSBP00134423 </t>
  </si>
  <si>
    <t>PP 7600x-TB</t>
  </si>
  <si>
    <t>PP040050</t>
  </si>
  <si>
    <t>1/3 - Coordinate with MOD
- Checked the reported unit, POS A printer broken hook
- Deployed SU printer and config drivers
- Test print in LSnav, MOD witnessed SU printer is working
- Advised MOD to safe keep printer- for checking/repair of appropriate vendor</t>
  </si>
  <si>
    <t>Jolo Bunye</t>
  </si>
  <si>
    <t>FSBP00133931</t>
  </si>
  <si>
    <t>HVA4MHQ6</t>
  </si>
  <si>
    <t>Store tablet - went to factory reset</t>
  </si>
  <si>
    <t xml:space="preserve">1/3 -Upon arrival, coordinated with the Manager on Duty (MOD) regarding the reported tablet issue.
-Verified the tablet status and confirmed that the device had been factory reset.
-Accessed Settings &gt; About Tablet to verify and document the device information, including serial number, prior to configuration.
-Initiated standard tablet setup starting from the initial “Hi there” screen.
-Connected the tablet to Starbucks Delivery WiFi during setup.
-Scanned the official company QR code to begin standard tablet provisioning.
-Logged in using assigned company credentials and completed required verification steps.
-Accepted company policies and allowed automatic deployment of required corporate applications.
-Completed kiosk mode setup and standard configuration based on company guidelines.
-Configured device settings according to standard:
*Enabled battery percentage display
*Adjusted screen timeout settings
*Disabled unnecessary system sounds
*Verified that all required company applications were successfully installed and accessible
-Confirmed tablet functionality and application access with the MOD.
</t>
  </si>
  <si>
    <t xml:space="preserve">Store tablet was successfully reconfigured following standard company installation and provisioning procedures after factory reset.
</t>
  </si>
  <si>
    <t xml:space="preserve">FSBP00134676 </t>
  </si>
  <si>
    <t>Store Tablet - reset to default</t>
  </si>
  <si>
    <t xml:space="preserve">1/4 - Upon arrival coordinate to MOD
- Check tablet
- Performed factory reset
- Setup tablet
- Connected to Starbucks Delivery; good
- Set password for tablet; 123456
- Downloaded all apps for store tablet; good
- Setup Authenticator; good, confirmed by MOD
- Work done
</t>
  </si>
  <si>
    <t>Store tablet factory reset and setup</t>
  </si>
  <si>
    <t>Shaira Medina</t>
  </si>
  <si>
    <t>FSBP00134684</t>
  </si>
  <si>
    <t>SB640</t>
  </si>
  <si>
    <t>MACARTHUR HIGHWAY MALINTA</t>
  </si>
  <si>
    <t xml:space="preserve">  POS D Printer - keeps on beeping and not printing receipt (red light error)</t>
  </si>
  <si>
    <t>1/4 - Upon arrival coordinate to MOD
- MOD said printer is working fine
- Check POS D printer model/serial same in reported
- Test reprint POS D printer, working fine
- Observed
- Work done</t>
  </si>
  <si>
    <t xml:space="preserve"> Robin Adern</t>
  </si>
  <si>
    <t xml:space="preserve">FSBP00134690 </t>
  </si>
  <si>
    <t>CYBN8KA25070058</t>
  </si>
  <si>
    <t>Espresso Labeler - inconsistently printing orders</t>
  </si>
  <si>
    <t xml:space="preserve">1/4 - Upon arrival coordinate with MOD
- Proceed to check espresso labeler
- Ping all labeler; pingable (normal ms)
- According to MOD espresso labeler now okay and working properly
- Observe for 30 minutes incase of problem
- Verify to MOD
- Work done
</t>
  </si>
  <si>
    <t>ping and check labeler</t>
  </si>
  <si>
    <t>FSBP00134701</t>
  </si>
  <si>
    <t>PC03XJ7H</t>
  </si>
  <si>
    <t>MWS - Error "Window failed to restart"</t>
  </si>
  <si>
    <t>1/4 -Upon arrival, coordinated with MOD regarding the reported MWS boot issue
-As per MOD, the MWS was previously stuck at the boot selection screen
-Confirmed that the issue had already been resolved by Action Labs personnel onsite prior to further intervention
-Verified the current operational status of the MWS and confirmed successful boot into Windows
-Performed basic post-recovery validation, including:
*Ping test of all connected devices
*Verification of network connectivity
*Basic system responsiveness check
-Checked storage status and confirmed HDD health is within normal operating condition
-Assessed probable root cause and determined the issue may have been caused by an improper system shutdown or forced restart, resulting in the boot selection error
-Noted MOD’s request regarding MWS hardware upgrade</t>
  </si>
  <si>
    <t xml:space="preserve">MWS successfully booted into Windows and validated to be fully operational
</t>
  </si>
  <si>
    <t>Eve Nem</t>
  </si>
  <si>
    <t>FSBP00134709</t>
  </si>
  <si>
    <t xml:space="preserve"> BELMONT HOTEL MANILA</t>
  </si>
  <si>
    <t>41PV897</t>
  </si>
  <si>
    <t xml:space="preserve"> POS B - Auto Shutdown</t>
  </si>
  <si>
    <t>1/4 -Coordinated with MOD for POS B checking
-Confirmed POS B was unable to proceed to Windows and was auto-shutting down
-Reseated all internal components
-Cleaned RAM
-Restarted system multiple times; no errors observed
-Checked HDD health via Sentinel: 100% OK
-Ran Memory Diagnostic: No errors found
-Ran CHKDSK: No bad sectors found
-Ran SFC /scannow: Corrupted files detected
-Proceeded with system reimage
-Coordinated with PASI for system configuration
-Restarted system multiple times; no errors observed
-Performed test transaction: OK
-Attempted domain connection: Unable to join domain
-Verified resolution with MOD
-Work completed</t>
  </si>
  <si>
    <t xml:space="preserve">Cleaned RAM, Reimaged system, Reseated cables
</t>
  </si>
  <si>
    <t>Khrystelle Harion</t>
  </si>
  <si>
    <t>FSBP00134715</t>
  </si>
  <si>
    <t>41PW050</t>
  </si>
  <si>
    <t>POS A- Only shows 100 MBPS</t>
  </si>
  <si>
    <t>1/4 -Upon arrival, coordinated with MOD regarding the reported issue
-Verified POS A internet connectivity: 100 Mbps
-Tightened RJ45 LAN port connection on POS A using a crimper
-Rechecked POS A internet connectivity: 1 Gbps
-Informed MOD that POS A internet connectivity is now 1 Gbps and confirmed resolution</t>
  </si>
  <si>
    <t xml:space="preserve">Tightened RJ45 LAN port connection on POS A
</t>
  </si>
  <si>
    <t xml:space="preserve">Jhay Alphonsus Chu	</t>
  </si>
  <si>
    <t>Kenneith Yap</t>
  </si>
  <si>
    <t>FSBP00134716</t>
  </si>
  <si>
    <t>POS B- Disconnected on Port 6</t>
  </si>
  <si>
    <t>1/4 -Upon arrival, coordinated with MOD regarding the reported issue
-Checked POS B status: No service tier available / No internet connection
-Verified POS B status in Meraki: Offline
-Tested POS B LAN cable on both ends using a cable tester: Incomplete readings
-Re-crimped POS B LAN cable on both ends
-Retested LAN cable: Complete readings
-Performed ping test to verify connectivity: Online
-Checked internet connectivity: 1 Gbps
-Informed MOD and requested POS B testing; confirmed working</t>
  </si>
  <si>
    <t xml:space="preserve">Re-crimped POS B LAN cable on both ends
</t>
  </si>
  <si>
    <t xml:space="preserve">FSBP00134685 </t>
  </si>
  <si>
    <t>CID</t>
  </si>
  <si>
    <t>PPN72112</t>
  </si>
  <si>
    <t xml:space="preserve"> POS B Printer - not functioning properly (Specific issue not mentioned)</t>
  </si>
  <si>
    <t>1/4 -Delivered and installed SU printer
-Performed test print: Successful
-Advised MOD that Heritage will repair the original printer
-Advised MOD to keep the original printer for safekeeping under Sir Charlie
-Work completed</t>
  </si>
  <si>
    <t xml:space="preserve">Deployed Service Unit
</t>
  </si>
  <si>
    <t>SU</t>
  </si>
  <si>
    <t>Charlie Ladone</t>
  </si>
  <si>
    <t>FSBP00134759</t>
  </si>
  <si>
    <t>POS-E70</t>
  </si>
  <si>
    <t>41-MD004</t>
  </si>
  <si>
    <t xml:space="preserve">1/4-Upon arrival, the POS A LSNAV application was observed to be hanging.
-Isolated the POS based on the reported error.
-Secured and tested all I/O peripherals and internal components.
-Verified that the printer, cash drawer, barcode scanner, and MAYA terminal were all functioning properly.
-Checked HDD health: no bad sectors found; 100% health status.
-Performed test transactions on POS A for 30 minutes with no errors encountered.
</t>
  </si>
  <si>
    <t xml:space="preserve">Checked HDD health: no bad sectors found; 100% health status.
</t>
  </si>
  <si>
    <t>Miguel Ballister</t>
  </si>
  <si>
    <t>FSBP00134761</t>
  </si>
  <si>
    <t>Store Tablet: went to Factory reset</t>
  </si>
  <si>
    <t xml:space="preserve">1/5 -  Upon arrival coordinate with MOD 
- Set-up tablet; enter given email, Scan the qr code
- Set-up all apps; QR scanner,RCOC learning,files, one drive, quick support 
- Set-up authenticator; test by MOD witness that authenticator is properly working 
- Reset tablet
- Set-up tablet
- Set-up all applications 
- Test authenticator by MOD; approved </t>
  </si>
  <si>
    <t>Mark Soret</t>
  </si>
  <si>
    <t xml:space="preserve"> FSBP00134778 </t>
  </si>
  <si>
    <t>PC0QWTTE</t>
  </si>
  <si>
    <t>1/5 -upon arrival, bos net speed is 100mbps only.
-recrimp bos lan cable at both ends.
-bos net speed is now 1gbps.
-ping pos A &amp; B continuous.
-work done.</t>
  </si>
  <si>
    <t>Cristy Rosales</t>
  </si>
  <si>
    <t xml:space="preserve"> FSBP00134777</t>
  </si>
  <si>
    <t>KSM60577</t>
  </si>
  <si>
    <t>POS A — Intermittent connection and lagging / Found RTO during ping test</t>
  </si>
  <si>
    <t>1/5 -upon arrival, posA net speed is 100mbps only.
-recrimppos A lan cable.
-PosA net speed is now 1gbps.
-ping pos A continuous.
-observed pos A.
-work done.</t>
  </si>
  <si>
    <t>FSBP00134575</t>
  </si>
  <si>
    <t>POS B Printer (Located in POS A Area)- Is not printing receipt</t>
  </si>
  <si>
    <t xml:space="preserve">1/5 -Delivered and installed a SU printer.
-Performed test printing; results were successful.
-Informed the MOD that Heritage will handle the repair of the original defective printer.
-Advised the MOD to keep the original printer secured and endorsed it to Ma’am Jewel for safekeeping.
-Work completed.
</t>
  </si>
  <si>
    <t>Deployed Service Unit.</t>
  </si>
  <si>
    <t>RCOC Niel</t>
  </si>
  <si>
    <t>Jewel Madamba</t>
  </si>
  <si>
    <t>FSBP00134866</t>
  </si>
  <si>
    <t>RTO51780</t>
  </si>
  <si>
    <t xml:space="preserve"> POS D has no power</t>
  </si>
  <si>
    <t>1/6 - Upon arrival coordinate with MOD
- Per checking; POS D has no power
- Found detached power cable to it's adapter
- Secure power cable
- Check outlet reading; normal
- Ping test for 30mins; stable no RTO found
- Check connectivity; 1GBPS
- Test and witness by MOD</t>
  </si>
  <si>
    <t>Plugged power cable; secure cable</t>
  </si>
  <si>
    <t>Jomel Clavecillas</t>
  </si>
  <si>
    <t>FSBP00134876</t>
  </si>
  <si>
    <t>411B649</t>
  </si>
  <si>
    <t>POS A - Won't Open (Has Power)</t>
  </si>
  <si>
    <t xml:space="preserve">1/6 -Upon arrival, Coordinate to MOD
-PosA blackscreen
-Clean ram
-Secure sata cable
-Clean tailgate and detached
-Pos still black screen
-Waiting for parts
-Install new mobo;good
-Observe
Work done. </t>
  </si>
  <si>
    <t>install new motherboard</t>
  </si>
  <si>
    <t>3AA00825300YK10PS78K014</t>
  </si>
  <si>
    <t>3AA00825300YK10PSY3K1CH</t>
  </si>
  <si>
    <t>11:00 AM, 2:00 PM</t>
  </si>
  <si>
    <t xml:space="preserve"> Juanna cinco</t>
  </si>
  <si>
    <t xml:space="preserve">FSBP00134912 </t>
  </si>
  <si>
    <t xml:space="preserve"> 088XHNTN200019F</t>
  </si>
  <si>
    <t>DT PANEL MENU B DISCONNECTED</t>
  </si>
  <si>
    <t>1/6 - Coor to MOD for DT PANEL B checking
- Confirmed PANEL B unreachable 
- Reseat lan cable in MS; issue still persist
- Reseat lan cable in DT panel b; ok reachable but randomly RTO
- Recrimp DT panel b lan cable; ok no RTO occur
- Observe; no RTO occur
- Verify to MOD
- Work done</t>
  </si>
  <si>
    <t xml:space="preserve"> Recrimp DT panel B </t>
  </si>
  <si>
    <t xml:space="preserve"> Ariel Mabini</t>
  </si>
  <si>
    <t>FSBP00134916</t>
  </si>
  <si>
    <t xml:space="preserve">088XHNKM700011F
</t>
  </si>
  <si>
    <t>DT PANEL MENU C DISCONNECTED</t>
  </si>
  <si>
    <t>1/6 - Per checking on panel menu C LAN cable connected in wrong IO port (LAN OUT).
- LAN connection good in tester.
- Transfer LAN cable from LAN OUT to LAN IN IO port.
- Ping IP, No RTO, and dashboard is up confirmed by Sir Vince.
- MOD concerned was darkspots area on pre menu, PANEL A, B, C. 
- Advise for checking of proper vendor .</t>
  </si>
  <si>
    <t>Transfer LAN cable</t>
  </si>
  <si>
    <t>Karl Joseph Almonte,</t>
  </si>
  <si>
    <t>LHOI BALTAZAR</t>
  </si>
  <si>
    <t>FSBP00134917</t>
  </si>
  <si>
    <t xml:space="preserve"> EVIA - DAANG HARI</t>
  </si>
  <si>
    <t>0KHJHNQT100008R</t>
  </si>
  <si>
    <t>DT PANEL MENU A DISCONNECTED</t>
  </si>
  <si>
    <t>1/6 -upon arrival, DT Panel Menu A power off.
-unplug/replug power chord.
-menu A is now up.
-ping Menu A continous.
-work done.</t>
  </si>
  <si>
    <t>unplug/replug Power chord.</t>
  </si>
  <si>
    <t>Karl Bacolcol</t>
  </si>
  <si>
    <t>FSBP00134919</t>
  </si>
  <si>
    <t>088XHNTN200001R</t>
  </si>
  <si>
    <t>1/6 - upon arrival coor to mod
- Proceed to check Menu c
- Reseat all cables
- All working
- Verify to mod 
- Work done</t>
  </si>
  <si>
    <t>reseat cables</t>
  </si>
  <si>
    <t>Arjay Garcia</t>
  </si>
  <si>
    <t>FSBP00134107</t>
  </si>
  <si>
    <t>088XHNTN200020K</t>
  </si>
  <si>
    <t>MENU B - DISCONNECTED</t>
  </si>
  <si>
    <t>1/6 - upon arrival coor to mod
- Proceed to check Menu b
- Upon checking menu b cable is unplugged
- Plug cable
- All working
- Verify to mod 
- Work done</t>
  </si>
  <si>
    <t>plug in cable</t>
  </si>
  <si>
    <t>FSBP00134818</t>
  </si>
  <si>
    <t>1/6 - Upon arrival coordinated with MOD
- Check DT Panels; found Menu B is turned off
- Check UPS and outlets; found defective UPS
- Connected Menu B panel directly to the outlet; good, Menu B is now turned on
- Waited for DT panels to load; good, all DT panels are working properly confirmed by MOD
- Ping DT panels; good, stable and pingable
- Work done</t>
  </si>
  <si>
    <t>c/o Francis</t>
  </si>
  <si>
    <t>FSBP00134922</t>
  </si>
  <si>
    <t>0KHJHNQY300030L</t>
  </si>
  <si>
    <t xml:space="preserve">1/6 -upon arrival coordinate to mod
-check DT panel menu A and B
-upon checking the connection on dt menu is in lan out, change to lan in
-test lan cable connection , goods
-check ping goods
-as per rcoc menu a and b is up
-As Per Store partner, Display Menu is updated
-work done
</t>
  </si>
  <si>
    <t xml:space="preserve">change connection slot in DT </t>
  </si>
  <si>
    <t>Jasmin Sarobelo</t>
  </si>
  <si>
    <t>FSBP00134994</t>
  </si>
  <si>
    <t>0KHJHNQY300020T</t>
  </si>
  <si>
    <t>FSBP00134924</t>
  </si>
  <si>
    <t>ROSARIO TPLEX ROUNDABOUT</t>
  </si>
  <si>
    <t>0KHJHNQY400068E</t>
  </si>
  <si>
    <t>DT PANEL Pre-MENU DISCONNECTED</t>
  </si>
  <si>
    <t>1/6 - Coordinate with MOD, confirmed Store Code,  check device
- No Internet connection,  check LAN cable, clean port, tighten LAN port, check using lan tester - OK
- Resocket connection, check connection on MWS, DT Panel Pre-Menu IP's is now reachable
- Check status (Pre-Menu), up and working confirmed by RCOC</t>
  </si>
  <si>
    <t>Resocket connection</t>
  </si>
  <si>
    <t>Christian Penafiel</t>
  </si>
  <si>
    <t>FSBP00134926</t>
  </si>
  <si>
    <t xml:space="preserve"> PP040102</t>
  </si>
  <si>
    <t xml:space="preserve">1/6 - Coordinate to MOD and Check Printer
- Upon checking found out that printer has broken hook
- Advice MOD that no available S.U printer and Heritage will be onsite to check and repair printer
</t>
  </si>
  <si>
    <t>broken hook - no SU available to deploy - reco to Heritage for checking and repair</t>
  </si>
  <si>
    <t>FSBP00134968</t>
  </si>
  <si>
    <t xml:space="preserve"> PP040868</t>
  </si>
  <si>
    <t>POS B Printer - Cut print out</t>
  </si>
  <si>
    <t xml:space="preserve">1/6 - Upon arrival coordinate with MOD 
- Per checking; weak hook
- Wait for delivery of parts
- Replace with service unit printer
- Install latest drivers;
- Remote and set up by PASI
- Test and witness by MOD
- Endorse defective printer to MOD; 
</t>
  </si>
  <si>
    <t>1/6 Deploy SU Printer, reco to heritage</t>
  </si>
  <si>
    <t>PP040868</t>
  </si>
  <si>
    <t>10:23 AM, 11:00 AM, 12:00 PM</t>
  </si>
  <si>
    <t>11:00 AM, 12:59 PM, 1:00 PM</t>
  </si>
  <si>
    <t>MOD Marc</t>
  </si>
  <si>
    <t xml:space="preserve">1/6 - Coordinate with MOD
- Install store printer SN: PP040863
- Upon testing error still persist, paper not feeding and all red light then printer hang same error since Dec 28, 2025
- Install service unit printer
- Advice MOD that printer will check by heritage
</t>
  </si>
  <si>
    <t>unable to pullout SU as still in use - store printer still defective for Heritage checking</t>
  </si>
  <si>
    <t>FSBP00134943</t>
  </si>
  <si>
    <t xml:space="preserve"> GREEN COURT - F. REYES ST.</t>
  </si>
  <si>
    <t>41NW157</t>
  </si>
  <si>
    <t xml:space="preserve"> POS A — During transaction, POS prompts blue screen and auto shutdown</t>
  </si>
  <si>
    <t>1/6 - Upon arrival, checked POS A is shutdown
- Tried booting it; POS is up
- Check disk; no error
- Check Sentinel; 100 percent health
- Check event viewer; no critical
- Advised MOD to use the POS.
- Standby for checking if problem occur
- POS is stable
- Work done</t>
  </si>
  <si>
    <t>boot up POS; overall check- no error found</t>
  </si>
  <si>
    <t>FSBP00134993</t>
  </si>
  <si>
    <t xml:space="preserve"> KSJA0947</t>
  </si>
  <si>
    <t xml:space="preserve"> POS B SLOW CONNECTION AND LAGGING
</t>
  </si>
  <si>
    <t>1/6 - upon arrival coor to mod
- Proceed to check pos b
- Upon checking pos b is 100 mbps
- Recrimp cable
- Now 1gbps 
- Verify to mod 
- Work done</t>
  </si>
  <si>
    <t>recrimp pos b cable</t>
  </si>
  <si>
    <t>MOD Arjay</t>
  </si>
  <si>
    <t>FSBP00134929</t>
  </si>
  <si>
    <t>POS C Barcode Scanner</t>
  </si>
  <si>
    <t>DT Barcode scanner - Loose cable</t>
  </si>
  <si>
    <t>1/6 - Coordinate to MOD for POS D barcode scanner checking
- Confirmed damaged scanner cable
- Proceed replacement
- Test new barcode scanner; ok working properly
- Test transaction; ok
- Verify to MOD
- Work done</t>
  </si>
  <si>
    <t>Replace barcode scanner</t>
  </si>
  <si>
    <t>CDNBI524</t>
  </si>
  <si>
    <t>May Emma</t>
  </si>
  <si>
    <t xml:space="preserve"> FSBP00134775</t>
  </si>
  <si>
    <t>PP050193</t>
  </si>
  <si>
    <t>POS B Printer — Blurred print-out</t>
  </si>
  <si>
    <t>1/7 -Upon arrival, MOD coordinated about POS B Printer not printing.
-Verified onsite and confirmed that the POS B printer was not printing.
-Inspected the printer and found a broken cover hook, causing the printer cover not to lock properly.
-Applied a temporary fix using a rubber band to secure the printer cover and maintain proper contact with the thermal head.
-Performed a self-test print; printing was successful.
-Conducted a transaction print test from POS B; printer functioned normally.
-Gathered and recorded printer details for reference.
-Updated MOD regarding the temporary fix.</t>
  </si>
  <si>
    <t>temporary used rubber band</t>
  </si>
  <si>
    <t>MOD Christine</t>
  </si>
  <si>
    <t>FSBP00127190</t>
  </si>
  <si>
    <t>Q3AL-H89F-M5F8</t>
  </si>
  <si>
    <t>Relocate the AP to FOH area</t>
  </si>
  <si>
    <t xml:space="preserve">1/7 -Upon arrival, Coordinate to MOD
-Locate lan cable end to end
-Found 1 but defective
-Tried menuboard lan cable;same defective
-As per sir bryan need new cable
-Reco to facilities rewiring
-Observe
Work done. 
</t>
  </si>
  <si>
    <t>Crimp end to end lan cable multiple times, reco to facilities</t>
  </si>
  <si>
    <t>Grace mandawe</t>
  </si>
  <si>
    <t xml:space="preserve"> FSBP00134764</t>
  </si>
  <si>
    <t>KSJA0860</t>
  </si>
  <si>
    <t>POS A: Grounded Wirings</t>
  </si>
  <si>
    <t xml:space="preserve">1/7 - Coor to MOD for POS A power cable checking
- Confirmed loose power cable
- Check power voltage; ok 237V
- Reseat power cable
- Observe for 30 mins; no random shutdown occurred 
- Verify to MOD
- Work done
</t>
  </si>
  <si>
    <t xml:space="preserve"> Reseat power cable</t>
  </si>
  <si>
    <t xml:space="preserve"> Erika Garcia</t>
  </si>
  <si>
    <t>FSBP00134343</t>
  </si>
  <si>
    <t>ALLEGRO BLDG - PASONG TAMO</t>
  </si>
  <si>
    <t xml:space="preserve"> HVA1P63А</t>
  </si>
  <si>
    <t>Store Tablet - asking for google account verification</t>
  </si>
  <si>
    <t>1/7 -  Upon arrival coordinate with MOD
-Unable to login with gmail;
-Bypass tablet
- Proceed to reset tablet
- Set-up tablet; enter given email, Scan the qr code
- Set-up all apps; QR scanner,RCOC learning,files, one drive, quick support
- Set-up authenticator; test by MOD witness that authenticator is properly working
- Reset tablet
- Set-up tablet
- Set-up all applications
- Test authenticator by MOD; approved</t>
  </si>
  <si>
    <t>Ming Medel</t>
  </si>
  <si>
    <t>FSBP00134812</t>
  </si>
  <si>
    <t>PC0QW7UW</t>
  </si>
  <si>
    <t>MWS TeamViewer App. - Monitored offline</t>
  </si>
  <si>
    <t>c/o Marlon</t>
  </si>
  <si>
    <t>FSBP00135010</t>
  </si>
  <si>
    <t>0KHJHNJTA00006K</t>
  </si>
  <si>
    <t>1/7 -upon arrival, checked by lan tester all lan cables for DTO panel.
-recrimp lan cable both end with Camera 1 taggjng.
-customer view in PosC has now display.
-recrimp other end of spare lan cables and tested by lan tester.
-4 lan cables for DTO Panel with tagging Orderpoint 1, Orderpoint 2, Customer 1, Customer 2 are working and tested end to end.
-work done.</t>
  </si>
  <si>
    <t>Recrimp and tested Lan Cables</t>
  </si>
  <si>
    <t>Jovelle Real</t>
  </si>
  <si>
    <t>FSBP00134977</t>
  </si>
  <si>
    <t xml:space="preserve">PC0D6YXG </t>
  </si>
  <si>
    <t>BOS- ALL POS A and B Hang and delayed</t>
  </si>
  <si>
    <t xml:space="preserve">1?7 - Coordinated with the MOD.
- Upon arrival, checked the BOS network speed and observed it was running at 1 Mbps instead of 1 Gbps.
- Performed ping tests on POS A and POS B, which showed a consistent 1 ms latency; however, pinging 8.8.8.8 resulted in higher latency with intermittent RTO.
- Cross-checked the BOS and POS HDD, memory, and disk usage to identify any high resource utilization; no issues were found.
- Re-crimped the BOS network cable, after which the network speed was restored to 1 Gbps.
-Requested Pasi to conduct a parallel check on DBMP and SQL memory allocation.
- Action was approved by the MOD.
- Task completed. 
PASI Action Taken:
- SQL memory allocation has been adjusted from 4100 to 4200.
-DB maintenance Plan needs to be reconfigured in RCOC due to an error. </t>
  </si>
  <si>
    <t xml:space="preserve"> Recrimp of BOS </t>
  </si>
  <si>
    <t>12:02 PM, 12:38 PM</t>
  </si>
  <si>
    <t>12:24 PM, 1:11 PM</t>
  </si>
  <si>
    <t xml:space="preserve"> James Remuel E. Poblete </t>
  </si>
  <si>
    <t>Ronalyn Naval</t>
  </si>
  <si>
    <t>FSBP00134671</t>
  </si>
  <si>
    <t xml:space="preserve"> DAANG MAHARLIKA TAGUM CITY</t>
  </si>
  <si>
    <t>HA1PG39F</t>
  </si>
  <si>
    <t>Store Tablet - all applications were lost</t>
  </si>
  <si>
    <t>c/o Rex</t>
  </si>
  <si>
    <t>FSBP00135041</t>
  </si>
  <si>
    <t xml:space="preserve"> SOLENAD 3 - NUVALI</t>
  </si>
  <si>
    <t>HA1RDXL7</t>
  </si>
  <si>
    <t>Store Tablet - Cannot access and License Agreement "Please agree to the following to start using your tablet."</t>
  </si>
  <si>
    <t>c/o Millard</t>
  </si>
  <si>
    <t>FSBP00135043</t>
  </si>
  <si>
    <t>BOS black screen display upon remote VNC &amp; Teamviewer</t>
  </si>
  <si>
    <t>c/o Mark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</si>
</sst>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quot;:&quot;mm&quot; &quot;AM/PM"/>
    <numFmt numFmtId="165" formatCode="hh:mm"/>
    <numFmt numFmtId="166" formatCode="m/d/yy"/>
  </numFmts>
  <fonts count="9">
    <font>
      <sz val="10.0"/>
      <color rgb="FF000000"/>
      <name val="Arial"/>
      <scheme val="minor"/>
    </font>
    <font>
      <b/>
      <color rgb="FFFFFFFF"/>
      <name val="Calibri"/>
    </font>
    <font>
      <color theme="1"/>
      <name val="Calibri"/>
    </font>
    <font>
      <color theme="1"/>
      <name val="Arial"/>
    </font>
    <font>
      <b/>
      <color theme="1"/>
      <name val="Calibri"/>
    </font>
    <font>
      <color rgb="FF222222"/>
      <name val="Calibri"/>
    </font>
    <font>
      <color rgb="FFFFFFFF"/>
      <name val="Calibri"/>
    </font>
    <font>
      <color rgb="FFFF0000"/>
      <name val="Calibri"/>
    </font>
    <font>
      <sz val="11.0"/>
      <color theme="1"/>
      <name val="Consolas"/>
    </font>
  </fonts>
  <fills count="13">
    <fill>
      <patternFill patternType="none"/>
    </fill>
    <fill>
      <patternFill patternType="lightGray"/>
    </fill>
    <fill>
      <patternFill patternType="solid">
        <fgColor rgb="FF0070C0"/>
        <bgColor rgb="FF0070C0"/>
      </patternFill>
    </fill>
    <fill>
      <patternFill patternType="solid">
        <fgColor rgb="FF0B5394"/>
        <bgColor rgb="FF0B5394"/>
      </patternFill>
    </fill>
    <fill>
      <patternFill patternType="solid">
        <fgColor rgb="FFFFFFFF"/>
        <bgColor rgb="FFFFFFFF"/>
      </patternFill>
    </fill>
    <fill>
      <patternFill patternType="solid">
        <fgColor rgb="FFF3FAFF"/>
        <bgColor rgb="FFF3FAFF"/>
      </patternFill>
    </fill>
    <fill>
      <patternFill patternType="solid">
        <fgColor rgb="FFB7B7B7"/>
        <bgColor rgb="FFB7B7B7"/>
      </patternFill>
    </fill>
    <fill>
      <patternFill patternType="solid">
        <fgColor rgb="FFB7E1CD"/>
        <bgColor rgb="FFB7E1CD"/>
      </patternFill>
    </fill>
    <fill>
      <patternFill patternType="solid">
        <fgColor rgb="FFFFFFA9"/>
        <bgColor rgb="FFFFFFA9"/>
      </patternFill>
    </fill>
    <fill>
      <patternFill patternType="solid">
        <fgColor rgb="FFFF9900"/>
        <bgColor rgb="FFFF9900"/>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s>
  <borders count="19">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B559D"/>
      </left>
      <right style="thin">
        <color rgb="FF000000"/>
      </right>
      <top style="thin">
        <color rgb="FF000000"/>
      </top>
      <bottom style="thin">
        <color rgb="FF000000"/>
      </bottom>
    </border>
    <border>
      <left style="thin">
        <color rgb="FF000000"/>
      </left>
      <right style="thick">
        <color rgb="FF0070C0"/>
      </right>
      <top style="thin">
        <color rgb="FF000000"/>
      </top>
      <bottom style="thin">
        <color rgb="FF000000"/>
      </bottom>
    </border>
    <border>
      <left/>
      <right/>
      <top/>
      <bottom/>
    </border>
    <border>
      <left style="medium">
        <color rgb="FF0B559D"/>
      </left>
    </border>
    <border>
      <right style="thick">
        <color rgb="FF0070C0"/>
      </right>
    </border>
    <border>
      <top style="thick">
        <color rgb="FF0070C0"/>
      </top>
    </border>
    <border>
      <left/>
      <right/>
      <top style="thick">
        <color rgb="FF0070C0"/>
      </top>
      <bottom/>
    </border>
    <border>
      <left style="medium">
        <color rgb="FF0B559D"/>
      </left>
      <top style="thick">
        <color rgb="FF0070C0"/>
      </top>
    </border>
    <border>
      <right style="thick">
        <color rgb="FF0070C0"/>
      </right>
      <top style="thick">
        <color rgb="FF0070C0"/>
      </top>
    </border>
    <border>
      <left style="medium">
        <color rgb="FF0B559D"/>
      </left>
      <right/>
      <top/>
      <bottom/>
    </border>
    <border>
      <left/>
      <right style="thick">
        <color rgb="FF0070C0"/>
      </right>
      <top/>
      <bottom/>
    </border>
    <border>
      <left style="medium">
        <color rgb="FF0B559D"/>
      </left>
      <right/>
      <top style="thick">
        <color rgb="FF0070C0"/>
      </top>
      <bottom/>
    </border>
    <border>
      <left/>
      <right style="thick">
        <color rgb="FF0070C0"/>
      </right>
      <top style="thick">
        <color rgb="FF0070C0"/>
      </top>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14" xfId="0" applyAlignment="1" applyBorder="1" applyFill="1" applyFont="1" applyNumberFormat="1">
      <alignment horizontal="center" shrinkToFit="0" wrapText="1"/>
    </xf>
    <xf borderId="1" fillId="2" fontId="1" numFmtId="164" xfId="0" applyAlignment="1" applyBorder="1" applyFont="1" applyNumberFormat="1">
      <alignment horizontal="center" shrinkToFit="0" wrapText="1"/>
    </xf>
    <xf borderId="2" fillId="3" fontId="1" numFmtId="14" xfId="0" applyAlignment="1" applyBorder="1" applyFill="1" applyFont="1" applyNumberFormat="1">
      <alignment horizontal="center" shrinkToFit="0" wrapText="1"/>
    </xf>
    <xf borderId="2" fillId="3" fontId="1" numFmtId="164" xfId="0" applyAlignment="1" applyBorder="1" applyFont="1" applyNumberFormat="1">
      <alignment horizontal="center" shrinkToFit="0" wrapText="1"/>
    </xf>
    <xf borderId="1" fillId="2" fontId="1" numFmtId="0" xfId="0" applyAlignment="1" applyBorder="1" applyFont="1">
      <alignment horizontal="center"/>
    </xf>
    <xf borderId="3" fillId="2" fontId="1" numFmtId="0" xfId="0" applyAlignment="1" applyBorder="1" applyFont="1">
      <alignment horizontal="center"/>
    </xf>
    <xf borderId="3" fillId="2" fontId="1" numFmtId="0" xfId="0" applyAlignment="1" applyBorder="1" applyFont="1">
      <alignment horizontal="center" shrinkToFit="0" wrapText="1"/>
    </xf>
    <xf borderId="4" fillId="3" fontId="1" numFmtId="0" xfId="0" applyAlignment="1" applyBorder="1" applyFont="1">
      <alignment horizontal="center"/>
    </xf>
    <xf borderId="4" fillId="2" fontId="1" numFmtId="0" xfId="0" applyAlignment="1" applyBorder="1" applyFont="1">
      <alignment horizontal="center"/>
    </xf>
    <xf borderId="5" fillId="2" fontId="1" numFmtId="0" xfId="0" applyAlignment="1" applyBorder="1" applyFont="1">
      <alignment horizontal="center"/>
    </xf>
    <xf borderId="3" fillId="3" fontId="1" numFmtId="0" xfId="0" applyAlignment="1" applyBorder="1" applyFont="1">
      <alignment horizontal="center"/>
    </xf>
    <xf borderId="3" fillId="3" fontId="1" numFmtId="164" xfId="0" applyAlignment="1" applyBorder="1" applyFont="1" applyNumberFormat="1">
      <alignment horizontal="center"/>
    </xf>
    <xf borderId="3" fillId="2" fontId="1" numFmtId="14" xfId="0" applyAlignment="1" applyBorder="1" applyFont="1" applyNumberFormat="1">
      <alignment horizontal="center"/>
    </xf>
    <xf borderId="3" fillId="2" fontId="1" numFmtId="164" xfId="0" applyAlignment="1" applyBorder="1" applyFont="1" applyNumberFormat="1">
      <alignment horizontal="center"/>
    </xf>
    <xf borderId="4" fillId="3" fontId="1" numFmtId="164" xfId="0" applyAlignment="1" applyBorder="1" applyFont="1" applyNumberFormat="1">
      <alignment horizontal="center"/>
    </xf>
    <xf borderId="6" fillId="2" fontId="1" numFmtId="0" xfId="0" applyAlignment="1" applyBorder="1" applyFont="1">
      <alignment horizontal="center"/>
    </xf>
    <xf borderId="7" fillId="2" fontId="1" numFmtId="0" xfId="0" applyAlignment="1" applyBorder="1" applyFont="1">
      <alignment horizontal="center"/>
    </xf>
    <xf borderId="0" fillId="0" fontId="2" numFmtId="14" xfId="0" applyAlignment="1" applyFont="1" applyNumberFormat="1">
      <alignment horizontal="center"/>
    </xf>
    <xf borderId="0" fillId="0" fontId="3" numFmtId="164" xfId="0" applyFont="1" applyNumberFormat="1"/>
    <xf borderId="0" fillId="0" fontId="2" numFmtId="164" xfId="0" applyAlignment="1" applyFont="1" applyNumberFormat="1">
      <alignment horizontal="center"/>
    </xf>
    <xf borderId="8" fillId="4" fontId="2" numFmtId="0" xfId="0" applyAlignment="1" applyBorder="1" applyFill="1" applyFont="1">
      <alignment horizontal="center"/>
    </xf>
    <xf borderId="0" fillId="0" fontId="2" numFmtId="0" xfId="0" applyAlignment="1" applyFont="1">
      <alignment horizontal="center"/>
    </xf>
    <xf borderId="0" fillId="0" fontId="2" numFmtId="0" xfId="0" applyFont="1"/>
    <xf borderId="8" fillId="5" fontId="2" numFmtId="0" xfId="0" applyAlignment="1" applyBorder="1" applyFill="1" applyFont="1">
      <alignment horizontal="center"/>
    </xf>
    <xf borderId="8" fillId="5" fontId="2" numFmtId="164" xfId="0" applyAlignment="1" applyBorder="1" applyFont="1" applyNumberFormat="1">
      <alignment horizontal="center"/>
    </xf>
    <xf borderId="9" fillId="0" fontId="2" numFmtId="165" xfId="0" applyAlignment="1" applyBorder="1" applyFont="1" applyNumberFormat="1">
      <alignment horizontal="center"/>
    </xf>
    <xf borderId="8" fillId="5" fontId="2" numFmtId="165" xfId="0" applyAlignment="1" applyBorder="1" applyFont="1" applyNumberFormat="1">
      <alignment horizontal="center"/>
    </xf>
    <xf borderId="10" fillId="0" fontId="2" numFmtId="0" xfId="0" applyAlignment="1" applyBorder="1" applyFont="1">
      <alignment horizontal="center"/>
    </xf>
    <xf borderId="8" fillId="5" fontId="3" numFmtId="164" xfId="0" applyBorder="1" applyFont="1" applyNumberFormat="1"/>
    <xf borderId="0" fillId="0" fontId="3" numFmtId="0" xfId="0" applyAlignment="1" applyFont="1">
      <alignment vertical="bottom"/>
    </xf>
    <xf borderId="0" fillId="0" fontId="3" numFmtId="0" xfId="0" applyFont="1"/>
    <xf borderId="11" fillId="0" fontId="2" numFmtId="14" xfId="0" applyAlignment="1" applyBorder="1" applyFont="1" applyNumberFormat="1">
      <alignment horizontal="center"/>
    </xf>
    <xf borderId="11" fillId="0" fontId="3" numFmtId="164" xfId="0" applyBorder="1" applyFont="1" applyNumberFormat="1"/>
    <xf borderId="11" fillId="0" fontId="2" numFmtId="164" xfId="0" applyAlignment="1" applyBorder="1" applyFont="1" applyNumberFormat="1">
      <alignment horizontal="center"/>
    </xf>
    <xf borderId="12" fillId="4" fontId="2" numFmtId="0" xfId="0" applyAlignment="1" applyBorder="1" applyFont="1">
      <alignment horizontal="center"/>
    </xf>
    <xf borderId="11" fillId="0" fontId="2" numFmtId="0" xfId="0" applyAlignment="1" applyBorder="1" applyFont="1">
      <alignment horizontal="center"/>
    </xf>
    <xf borderId="11" fillId="0" fontId="3" numFmtId="0" xfId="0" applyBorder="1" applyFont="1"/>
    <xf borderId="11" fillId="0" fontId="2" numFmtId="0" xfId="0" applyBorder="1" applyFont="1"/>
    <xf borderId="12" fillId="5" fontId="2" numFmtId="0" xfId="0" applyAlignment="1" applyBorder="1" applyFont="1">
      <alignment horizontal="center"/>
    </xf>
    <xf borderId="12" fillId="5" fontId="3" numFmtId="164" xfId="0" applyBorder="1" applyFont="1" applyNumberFormat="1"/>
    <xf borderId="12" fillId="5" fontId="2" numFmtId="164" xfId="0" applyAlignment="1" applyBorder="1" applyFont="1" applyNumberFormat="1">
      <alignment horizontal="center"/>
    </xf>
    <xf borderId="13" fillId="0" fontId="2" numFmtId="165" xfId="0" applyAlignment="1" applyBorder="1" applyFont="1" applyNumberFormat="1">
      <alignment horizontal="center"/>
    </xf>
    <xf borderId="12" fillId="5" fontId="2" numFmtId="165" xfId="0" applyAlignment="1" applyBorder="1" applyFont="1" applyNumberFormat="1">
      <alignment horizontal="center"/>
    </xf>
    <xf borderId="14" fillId="0" fontId="2" numFmtId="0" xfId="0" applyAlignment="1" applyBorder="1" applyFont="1">
      <alignment horizontal="center"/>
    </xf>
    <xf borderId="8" fillId="4" fontId="2" numFmtId="14" xfId="0" applyAlignment="1" applyBorder="1" applyFont="1" applyNumberFormat="1">
      <alignment horizontal="center"/>
    </xf>
    <xf borderId="8" fillId="4" fontId="3" numFmtId="164" xfId="0" applyBorder="1" applyFont="1" applyNumberFormat="1"/>
    <xf borderId="8" fillId="4" fontId="3" numFmtId="0" xfId="0" applyBorder="1" applyFont="1"/>
    <xf borderId="8" fillId="4" fontId="2" numFmtId="0" xfId="0" applyBorder="1" applyFont="1"/>
    <xf borderId="8" fillId="4" fontId="2" numFmtId="164" xfId="0" applyAlignment="1" applyBorder="1" applyFont="1" applyNumberFormat="1">
      <alignment horizontal="center"/>
    </xf>
    <xf borderId="0" fillId="5" fontId="2" numFmtId="0" xfId="0" applyAlignment="1" applyFont="1">
      <alignment horizontal="center"/>
    </xf>
    <xf borderId="0" fillId="5" fontId="2" numFmtId="164" xfId="0" applyAlignment="1" applyFont="1" applyNumberFormat="1">
      <alignment horizontal="center"/>
    </xf>
    <xf borderId="0" fillId="0" fontId="3" numFmtId="14" xfId="0" applyFont="1" applyNumberFormat="1"/>
    <xf borderId="0" fillId="0" fontId="3" numFmtId="19" xfId="0" applyFont="1" applyNumberFormat="1"/>
    <xf borderId="0" fillId="5" fontId="3" numFmtId="164" xfId="0" applyFont="1" applyNumberFormat="1"/>
    <xf borderId="0" fillId="5" fontId="2" numFmtId="165" xfId="0" applyAlignment="1" applyFont="1" applyNumberFormat="1">
      <alignment horizontal="center"/>
    </xf>
    <xf borderId="0" fillId="0" fontId="4" numFmtId="0" xfId="0" applyAlignment="1" applyFont="1">
      <alignment horizontal="center"/>
    </xf>
    <xf borderId="8" fillId="4" fontId="5" numFmtId="0" xfId="0" applyAlignment="1" applyBorder="1" applyFont="1">
      <alignment horizontal="center"/>
    </xf>
    <xf borderId="0" fillId="0" fontId="5" numFmtId="0" xfId="0" applyAlignment="1" applyFont="1">
      <alignment horizontal="center"/>
    </xf>
    <xf borderId="0" fillId="0" fontId="2" numFmtId="165" xfId="0" applyAlignment="1" applyFont="1" applyNumberFormat="1">
      <alignment horizontal="center"/>
    </xf>
    <xf borderId="8" fillId="6" fontId="2" numFmtId="0" xfId="0" applyAlignment="1" applyBorder="1" applyFill="1" applyFont="1">
      <alignment horizontal="center"/>
    </xf>
    <xf borderId="8" fillId="4" fontId="5" numFmtId="164" xfId="0" applyAlignment="1" applyBorder="1" applyFont="1" applyNumberFormat="1">
      <alignment horizontal="center"/>
    </xf>
    <xf borderId="15" fillId="4" fontId="2" numFmtId="165" xfId="0" applyAlignment="1" applyBorder="1" applyFont="1" applyNumberFormat="1">
      <alignment horizontal="center"/>
    </xf>
    <xf borderId="16" fillId="4" fontId="2" numFmtId="0" xfId="0" applyAlignment="1" applyBorder="1" applyFont="1">
      <alignment horizontal="center"/>
    </xf>
    <xf borderId="15" fillId="4" fontId="3" numFmtId="165" xfId="0" applyBorder="1" applyFont="1" applyNumberFormat="1"/>
    <xf borderId="8" fillId="5" fontId="3" numFmtId="165" xfId="0" applyBorder="1" applyFont="1" applyNumberFormat="1"/>
    <xf borderId="16" fillId="4" fontId="3" numFmtId="0" xfId="0" applyBorder="1" applyFont="1"/>
    <xf borderId="8" fillId="4" fontId="2" numFmtId="165" xfId="0" applyAlignment="1" applyBorder="1" applyFont="1" applyNumberFormat="1">
      <alignment horizontal="center"/>
    </xf>
    <xf borderId="12" fillId="4" fontId="2" numFmtId="14" xfId="0" applyAlignment="1" applyBorder="1" applyFont="1" applyNumberFormat="1">
      <alignment horizontal="center"/>
    </xf>
    <xf borderId="8" fillId="4" fontId="3" numFmtId="14" xfId="0" applyBorder="1" applyFont="1" applyNumberFormat="1"/>
    <xf borderId="12" fillId="4" fontId="3" numFmtId="164" xfId="0" applyBorder="1" applyFont="1" applyNumberFormat="1"/>
    <xf borderId="12" fillId="4" fontId="2" numFmtId="164" xfId="0" applyAlignment="1" applyBorder="1" applyFont="1" applyNumberFormat="1">
      <alignment horizontal="center"/>
    </xf>
    <xf borderId="12" fillId="4" fontId="2" numFmtId="0" xfId="0" applyBorder="1" applyFont="1"/>
    <xf borderId="17" fillId="4" fontId="2" numFmtId="165" xfId="0" applyAlignment="1" applyBorder="1" applyFont="1" applyNumberFormat="1">
      <alignment horizontal="center"/>
    </xf>
    <xf borderId="18" fillId="4" fontId="2" numFmtId="0" xfId="0" applyAlignment="1" applyBorder="1" applyFont="1">
      <alignment horizontal="center"/>
    </xf>
    <xf borderId="0" fillId="0" fontId="2" numFmtId="18" xfId="0" applyAlignment="1" applyFont="1" applyNumberFormat="1">
      <alignment horizontal="center"/>
    </xf>
    <xf borderId="8" fillId="4" fontId="2" numFmtId="18" xfId="0" applyAlignment="1" applyBorder="1" applyFont="1" applyNumberFormat="1">
      <alignment horizontal="center"/>
    </xf>
    <xf borderId="0" fillId="5" fontId="2" numFmtId="18" xfId="0" applyAlignment="1" applyFont="1" applyNumberFormat="1">
      <alignment horizontal="center"/>
    </xf>
    <xf borderId="8" fillId="4" fontId="6" numFmtId="0" xfId="0" applyAlignment="1" applyBorder="1" applyFont="1">
      <alignment horizontal="center"/>
    </xf>
    <xf borderId="0" fillId="7" fontId="2" numFmtId="164" xfId="0" applyAlignment="1" applyFill="1" applyFont="1" applyNumberFormat="1">
      <alignment horizontal="center"/>
    </xf>
    <xf borderId="8" fillId="7" fontId="2" numFmtId="164" xfId="0" applyAlignment="1" applyBorder="1" applyFont="1" applyNumberFormat="1">
      <alignment horizontal="center"/>
    </xf>
    <xf borderId="9" fillId="0" fontId="3" numFmtId="165" xfId="0" applyBorder="1" applyFont="1" applyNumberFormat="1"/>
    <xf borderId="0" fillId="5" fontId="3" numFmtId="165" xfId="0" applyFont="1" applyNumberFormat="1"/>
    <xf borderId="10" fillId="0" fontId="3" numFmtId="0" xfId="0" applyBorder="1" applyFont="1"/>
    <xf borderId="0" fillId="0" fontId="7" numFmtId="0" xfId="0" applyAlignment="1" applyFont="1">
      <alignment horizontal="center"/>
    </xf>
    <xf borderId="8" fillId="5" fontId="2" numFmtId="18" xfId="0" applyAlignment="1" applyBorder="1" applyFont="1" applyNumberFormat="1">
      <alignment horizontal="center"/>
    </xf>
    <xf borderId="0" fillId="5" fontId="3" numFmtId="0" xfId="0" applyFont="1"/>
    <xf borderId="8" fillId="4" fontId="3" numFmtId="0" xfId="0" applyAlignment="1" applyBorder="1" applyFont="1">
      <alignment horizontal="center"/>
    </xf>
    <xf borderId="8" fillId="4" fontId="2" numFmtId="19" xfId="0" applyAlignment="1" applyBorder="1" applyFont="1" applyNumberFormat="1">
      <alignment horizontal="center"/>
    </xf>
    <xf borderId="8" fillId="5" fontId="2" numFmtId="49" xfId="0" applyAlignment="1" applyBorder="1" applyFont="1" applyNumberFormat="1">
      <alignment horizontal="center"/>
    </xf>
    <xf borderId="0" fillId="5" fontId="3" numFmtId="18" xfId="0" applyFont="1" applyNumberFormat="1"/>
    <xf borderId="8" fillId="8" fontId="7" numFmtId="164" xfId="0" applyAlignment="1" applyBorder="1" applyFill="1" applyFont="1" applyNumberFormat="1">
      <alignment horizontal="center"/>
    </xf>
    <xf borderId="8" fillId="5" fontId="3" numFmtId="0" xfId="0" applyBorder="1" applyFont="1"/>
    <xf borderId="8" fillId="4" fontId="7" numFmtId="164" xfId="0" applyAlignment="1" applyBorder="1" applyFont="1" applyNumberFormat="1">
      <alignment horizontal="center"/>
    </xf>
    <xf borderId="8" fillId="4" fontId="8" numFmtId="0" xfId="0" applyBorder="1" applyFont="1"/>
    <xf borderId="8" fillId="9" fontId="2" numFmtId="0" xfId="0" applyAlignment="1" applyBorder="1" applyFill="1" applyFont="1">
      <alignment horizontal="center"/>
    </xf>
    <xf borderId="8" fillId="4" fontId="4" numFmtId="0" xfId="0" applyAlignment="1" applyBorder="1" applyFont="1">
      <alignment horizontal="center"/>
    </xf>
    <xf borderId="3" fillId="4" fontId="2" numFmtId="0" xfId="0" applyAlignment="1" applyBorder="1" applyFont="1">
      <alignment horizontal="center"/>
    </xf>
    <xf borderId="0" fillId="0" fontId="7" numFmtId="164" xfId="0" applyAlignment="1" applyFont="1" applyNumberFormat="1">
      <alignment horizontal="center"/>
    </xf>
    <xf borderId="8" fillId="4" fontId="2" numFmtId="20" xfId="0" applyAlignment="1" applyBorder="1" applyFont="1" applyNumberFormat="1">
      <alignment horizontal="center"/>
    </xf>
    <xf borderId="8" fillId="5" fontId="2" numFmtId="20" xfId="0" applyAlignment="1" applyBorder="1" applyFont="1" applyNumberFormat="1">
      <alignment horizontal="center"/>
    </xf>
    <xf borderId="8" fillId="10" fontId="3" numFmtId="0" xfId="0" applyBorder="1" applyFill="1" applyFont="1"/>
    <xf borderId="8" fillId="11" fontId="2" numFmtId="0" xfId="0" applyAlignment="1" applyBorder="1" applyFill="1" applyFont="1">
      <alignment horizontal="center"/>
    </xf>
    <xf borderId="0" fillId="0" fontId="2" numFmtId="19" xfId="0" applyAlignment="1" applyFont="1" applyNumberFormat="1">
      <alignment horizontal="center"/>
    </xf>
    <xf borderId="0" fillId="0" fontId="2" numFmtId="14" xfId="0" applyAlignment="1" applyFont="1" applyNumberFormat="1">
      <alignment horizontal="center" vertical="bottom"/>
    </xf>
    <xf borderId="8" fillId="4" fontId="2" numFmtId="14" xfId="0" applyAlignment="1" applyBorder="1" applyFont="1" applyNumberFormat="1">
      <alignment horizontal="center" vertical="bottom"/>
    </xf>
    <xf borderId="8" fillId="4" fontId="2" numFmtId="0" xfId="0" applyAlignment="1" applyBorder="1" applyFont="1">
      <alignment horizontal="center" vertical="bottom"/>
    </xf>
    <xf borderId="0" fillId="0" fontId="2" numFmtId="0" xfId="0" applyAlignment="1" applyFont="1">
      <alignment horizontal="center" vertical="bottom"/>
    </xf>
    <xf borderId="15" fillId="4" fontId="2" numFmtId="165" xfId="0" applyAlignment="1" applyBorder="1" applyFont="1" applyNumberFormat="1">
      <alignment horizontal="center" vertical="bottom"/>
    </xf>
    <xf borderId="8" fillId="5" fontId="2" numFmtId="165" xfId="0" applyAlignment="1" applyBorder="1" applyFont="1" applyNumberFormat="1">
      <alignment horizontal="center" vertical="bottom"/>
    </xf>
    <xf borderId="16" fillId="4" fontId="2" numFmtId="0" xfId="0" applyAlignment="1" applyBorder="1" applyFont="1">
      <alignment horizontal="center" vertical="bottom"/>
    </xf>
    <xf borderId="9" fillId="0" fontId="2" numFmtId="165" xfId="0" applyAlignment="1" applyBorder="1" applyFont="1" applyNumberFormat="1">
      <alignment horizontal="center" vertical="bottom"/>
    </xf>
    <xf borderId="0" fillId="5" fontId="2" numFmtId="165" xfId="0" applyAlignment="1" applyFont="1" applyNumberFormat="1">
      <alignment horizontal="center" vertical="bottom"/>
    </xf>
    <xf borderId="10" fillId="0" fontId="2" numFmtId="0" xfId="0" applyAlignment="1" applyBorder="1" applyFont="1">
      <alignment horizontal="center" vertical="bottom"/>
    </xf>
    <xf borderId="0" fillId="0" fontId="2" numFmtId="166" xfId="0" applyAlignment="1" applyFont="1" applyNumberFormat="1">
      <alignment horizontal="center"/>
    </xf>
    <xf borderId="8" fillId="12" fontId="2" numFmtId="14" xfId="0" applyAlignment="1" applyBorder="1" applyFill="1" applyFont="1" applyNumberFormat="1">
      <alignment horizontal="center"/>
    </xf>
    <xf borderId="8" fillId="12" fontId="2" numFmtId="164" xfId="0" applyAlignment="1" applyBorder="1" applyFont="1" applyNumberFormat="1">
      <alignment horizontal="center"/>
    </xf>
    <xf borderId="8" fillId="12" fontId="2" numFmtId="0" xfId="0" applyAlignment="1" applyBorder="1" applyFont="1">
      <alignment horizontal="center"/>
    </xf>
    <xf borderId="8" fillId="12" fontId="2" numFmtId="0" xfId="0" applyAlignment="1" applyBorder="1" applyFont="1">
      <alignment shrinkToFit="0" wrapText="1"/>
    </xf>
    <xf borderId="15" fillId="12" fontId="2" numFmtId="165" xfId="0" applyAlignment="1" applyBorder="1" applyFont="1" applyNumberFormat="1">
      <alignment horizontal="center"/>
    </xf>
    <xf borderId="16" fillId="12" fontId="2" numFmtId="0" xfId="0" applyAlignment="1" applyBorder="1" applyFont="1">
      <alignment horizontal="center"/>
    </xf>
    <xf borderId="8" fillId="10" fontId="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c r="E1" s="5" t="s">
        <v>4</v>
      </c>
      <c r="F1" s="6" t="s">
        <v>5</v>
      </c>
      <c r="G1" s="6" t="s">
        <v>6</v>
      </c>
      <c r="H1" s="6" t="s">
        <v>7</v>
      </c>
      <c r="I1" s="6" t="s">
        <v>8</v>
      </c>
      <c r="J1" s="6" t="s">
        <v>9</v>
      </c>
      <c r="K1" s="6" t="s">
        <v>10</v>
      </c>
      <c r="L1" s="6" t="s">
        <v>11</v>
      </c>
      <c r="M1" s="6" t="s">
        <v>12</v>
      </c>
      <c r="N1" s="6" t="s">
        <v>13</v>
      </c>
      <c r="O1" s="6" t="s">
        <v>14</v>
      </c>
      <c r="P1" s="7" t="s">
        <v>15</v>
      </c>
      <c r="Q1" s="8" t="s">
        <v>16</v>
      </c>
      <c r="R1" s="9" t="s">
        <v>17</v>
      </c>
      <c r="S1" s="6" t="s">
        <v>18</v>
      </c>
      <c r="T1" s="10" t="s">
        <v>19</v>
      </c>
      <c r="U1" s="6" t="s">
        <v>20</v>
      </c>
      <c r="V1" s="6" t="s">
        <v>21</v>
      </c>
      <c r="W1" s="11" t="s">
        <v>22</v>
      </c>
      <c r="X1" s="12" t="s">
        <v>23</v>
      </c>
      <c r="Y1" s="13" t="s">
        <v>24</v>
      </c>
      <c r="Z1" s="14" t="s">
        <v>25</v>
      </c>
      <c r="AA1" s="14" t="s">
        <v>26</v>
      </c>
      <c r="AB1" s="15" t="s">
        <v>27</v>
      </c>
      <c r="AC1" s="15" t="s">
        <v>28</v>
      </c>
      <c r="AD1" s="15" t="s">
        <v>29</v>
      </c>
      <c r="AE1" s="13" t="s">
        <v>30</v>
      </c>
      <c r="AF1" s="6" t="s">
        <v>31</v>
      </c>
      <c r="AG1" s="6" t="s">
        <v>32</v>
      </c>
      <c r="AH1" s="9" t="s">
        <v>33</v>
      </c>
      <c r="AI1" s="16" t="s">
        <v>34</v>
      </c>
      <c r="AJ1" s="8" t="s">
        <v>35</v>
      </c>
      <c r="AK1" s="17" t="s">
        <v>36</v>
      </c>
    </row>
    <row r="2">
      <c r="A2" s="18">
        <v>45842.0</v>
      </c>
      <c r="B2" s="19"/>
      <c r="C2" s="18">
        <v>45842.0</v>
      </c>
      <c r="D2" s="20">
        <v>0.33819444444444446</v>
      </c>
      <c r="E2" s="21" t="s">
        <v>37</v>
      </c>
      <c r="F2" s="22" t="s">
        <v>38</v>
      </c>
      <c r="G2" s="22" t="s">
        <v>39</v>
      </c>
      <c r="H2" s="22" t="s">
        <v>40</v>
      </c>
      <c r="I2" s="22" t="s">
        <v>41</v>
      </c>
      <c r="J2" s="22" t="s">
        <v>42</v>
      </c>
      <c r="K2" s="22" t="s">
        <v>43</v>
      </c>
      <c r="L2" s="22" t="s">
        <v>44</v>
      </c>
      <c r="M2" s="22" t="s">
        <v>45</v>
      </c>
      <c r="N2" s="22" t="s">
        <v>46</v>
      </c>
      <c r="O2" s="23" t="s">
        <v>47</v>
      </c>
      <c r="P2" s="22" t="s">
        <v>48</v>
      </c>
      <c r="Q2" s="24" t="s">
        <v>49</v>
      </c>
      <c r="R2" s="22" t="s">
        <v>50</v>
      </c>
      <c r="S2" s="22" t="s">
        <v>51</v>
      </c>
      <c r="T2" s="22" t="s">
        <v>52</v>
      </c>
      <c r="U2" s="22" t="s">
        <v>52</v>
      </c>
      <c r="V2" s="22" t="s">
        <v>52</v>
      </c>
      <c r="W2" s="18">
        <v>45842.0</v>
      </c>
      <c r="X2" s="20">
        <v>0.33819444444444446</v>
      </c>
      <c r="Y2" s="18">
        <v>45842.0</v>
      </c>
      <c r="Z2" s="20">
        <v>0.4583333333333333</v>
      </c>
      <c r="AA2" s="20">
        <v>0.4652777777777778</v>
      </c>
      <c r="AB2" s="25">
        <v>0.5</v>
      </c>
      <c r="AC2" s="25">
        <v>0.53125</v>
      </c>
      <c r="AD2" s="25">
        <v>0.53125</v>
      </c>
      <c r="AE2" s="18">
        <v>45842.0</v>
      </c>
      <c r="AF2" s="22" t="s">
        <v>53</v>
      </c>
      <c r="AG2" s="22" t="s">
        <v>54</v>
      </c>
      <c r="AH2" s="22" t="s">
        <v>55</v>
      </c>
      <c r="AI2" s="26">
        <f t="shared" ref="AI2:AI99" si="1">IF(OR(D2="", AD2=""), "",
   (AD2 - D2)
   - IF(AND(AB2&lt;&gt;"", AC2&lt;&gt;""), (AC2 - AB2), 0)
)</f>
        <v>0.1618055556</v>
      </c>
      <c r="AJ2" s="27">
        <f t="shared" ref="AJ2:AJ99" si="2">IF(AI2="", "",
   MAX(0, AI2 -
     IF(Q2="Sev1", 4/24,
     IF(Q2="Sev2", 12/24,
     IF(Q2="Sev3", 24/24,
     IF(Q2="Sev4", 48/24, 0)))))
)</f>
        <v>0</v>
      </c>
      <c r="AK2" s="28" t="str">
        <f t="shared" ref="AK2:AK99" si="3">IF(AJ2="", "", IF(AJ2&gt;0, "Fail", "Pass"))</f>
        <v>Pass</v>
      </c>
    </row>
    <row r="3">
      <c r="A3" s="18">
        <v>45842.0</v>
      </c>
      <c r="B3" s="19"/>
      <c r="C3" s="18">
        <v>45842.0</v>
      </c>
      <c r="D3" s="20">
        <v>0.33958333333333335</v>
      </c>
      <c r="E3" s="21" t="s">
        <v>56</v>
      </c>
      <c r="F3" s="22" t="s">
        <v>57</v>
      </c>
      <c r="G3" s="22" t="s">
        <v>58</v>
      </c>
      <c r="H3" s="22" t="s">
        <v>59</v>
      </c>
      <c r="I3" s="22" t="s">
        <v>60</v>
      </c>
      <c r="J3" s="22" t="s">
        <v>42</v>
      </c>
      <c r="K3" s="22" t="s">
        <v>61</v>
      </c>
      <c r="L3" s="22">
        <v>4852.0</v>
      </c>
      <c r="M3" s="22" t="s">
        <v>62</v>
      </c>
      <c r="N3" s="22" t="s">
        <v>63</v>
      </c>
      <c r="O3" s="23" t="s">
        <v>64</v>
      </c>
      <c r="P3" s="22" t="s">
        <v>48</v>
      </c>
      <c r="Q3" s="24" t="s">
        <v>65</v>
      </c>
      <c r="R3" s="22" t="s">
        <v>66</v>
      </c>
      <c r="S3" s="22" t="s">
        <v>51</v>
      </c>
      <c r="T3" s="22" t="s">
        <v>52</v>
      </c>
      <c r="U3" s="22" t="s">
        <v>52</v>
      </c>
      <c r="V3" s="22" t="s">
        <v>52</v>
      </c>
      <c r="W3" s="18">
        <v>45842.0</v>
      </c>
      <c r="X3" s="20">
        <v>0.33958333333333335</v>
      </c>
      <c r="Y3" s="18">
        <v>45842.0</v>
      </c>
      <c r="Z3" s="20">
        <v>0.4201388888888889</v>
      </c>
      <c r="AA3" s="20">
        <v>0.42083333333333334</v>
      </c>
      <c r="AB3" s="29"/>
      <c r="AC3" s="29"/>
      <c r="AD3" s="25">
        <v>0.46319444444444446</v>
      </c>
      <c r="AE3" s="18">
        <v>45842.0</v>
      </c>
      <c r="AF3" s="22" t="s">
        <v>53</v>
      </c>
      <c r="AG3" s="22" t="s">
        <v>67</v>
      </c>
      <c r="AH3" s="22" t="s">
        <v>68</v>
      </c>
      <c r="AI3" s="26">
        <f t="shared" si="1"/>
        <v>0.1236111111</v>
      </c>
      <c r="AJ3" s="27">
        <f t="shared" si="2"/>
        <v>0</v>
      </c>
      <c r="AK3" s="28" t="str">
        <f t="shared" si="3"/>
        <v>Pass</v>
      </c>
    </row>
    <row r="4">
      <c r="A4" s="18">
        <v>45841.0</v>
      </c>
      <c r="B4" s="19"/>
      <c r="C4" s="18">
        <v>45842.0</v>
      </c>
      <c r="D4" s="20">
        <v>0.29375</v>
      </c>
      <c r="E4" s="21" t="s">
        <v>69</v>
      </c>
      <c r="F4" s="22" t="s">
        <v>70</v>
      </c>
      <c r="G4" s="22" t="s">
        <v>71</v>
      </c>
      <c r="H4" s="22" t="s">
        <v>59</v>
      </c>
      <c r="I4" s="22" t="s">
        <v>60</v>
      </c>
      <c r="J4" s="22" t="s">
        <v>42</v>
      </c>
      <c r="K4" s="22" t="s">
        <v>72</v>
      </c>
      <c r="L4" s="22" t="s">
        <v>52</v>
      </c>
      <c r="M4" s="22" t="s">
        <v>52</v>
      </c>
      <c r="N4" s="22" t="s">
        <v>73</v>
      </c>
      <c r="O4" s="23" t="s">
        <v>74</v>
      </c>
      <c r="P4" s="22" t="s">
        <v>75</v>
      </c>
      <c r="Q4" s="24" t="s">
        <v>65</v>
      </c>
      <c r="R4" s="22" t="s">
        <v>76</v>
      </c>
      <c r="S4" s="22" t="s">
        <v>51</v>
      </c>
      <c r="T4" s="22" t="s">
        <v>77</v>
      </c>
      <c r="U4" s="22">
        <v>16438.0</v>
      </c>
      <c r="V4" s="22">
        <v>43298.0</v>
      </c>
      <c r="W4" s="18">
        <v>45842.0</v>
      </c>
      <c r="X4" s="20">
        <v>0.29375</v>
      </c>
      <c r="Y4" s="18">
        <v>45842.0</v>
      </c>
      <c r="Z4" s="20">
        <v>0.75</v>
      </c>
      <c r="AA4" s="20">
        <v>0.84375</v>
      </c>
      <c r="AB4" s="25">
        <v>0.6145833333333334</v>
      </c>
      <c r="AC4" s="25">
        <v>0.8368055555555556</v>
      </c>
      <c r="AD4" s="25">
        <v>0.8541666666666666</v>
      </c>
      <c r="AE4" s="18">
        <v>45842.0</v>
      </c>
      <c r="AF4" s="22" t="s">
        <v>53</v>
      </c>
      <c r="AG4" s="22" t="s">
        <v>78</v>
      </c>
      <c r="AH4" s="22" t="s">
        <v>79</v>
      </c>
      <c r="AI4" s="26">
        <f t="shared" si="1"/>
        <v>0.3381944444</v>
      </c>
      <c r="AJ4" s="27">
        <f t="shared" si="2"/>
        <v>0</v>
      </c>
      <c r="AK4" s="28" t="str">
        <f t="shared" si="3"/>
        <v>Pass</v>
      </c>
    </row>
    <row r="5">
      <c r="A5" s="18">
        <v>45841.0</v>
      </c>
      <c r="B5" s="19"/>
      <c r="C5" s="18">
        <v>45841.0</v>
      </c>
      <c r="D5" s="20">
        <v>0.7638888888888888</v>
      </c>
      <c r="E5" s="21" t="s">
        <v>80</v>
      </c>
      <c r="F5" s="22" t="s">
        <v>81</v>
      </c>
      <c r="G5" s="22" t="s">
        <v>82</v>
      </c>
      <c r="H5" s="22" t="s">
        <v>83</v>
      </c>
      <c r="I5" s="22" t="s">
        <v>60</v>
      </c>
      <c r="J5" s="22" t="s">
        <v>42</v>
      </c>
      <c r="K5" s="22" t="s">
        <v>61</v>
      </c>
      <c r="L5" s="22" t="s">
        <v>84</v>
      </c>
      <c r="M5" s="22" t="s">
        <v>85</v>
      </c>
      <c r="N5" s="22" t="s">
        <v>86</v>
      </c>
      <c r="O5" s="23" t="s">
        <v>87</v>
      </c>
      <c r="P5" s="22" t="s">
        <v>75</v>
      </c>
      <c r="Q5" s="24" t="s">
        <v>65</v>
      </c>
      <c r="R5" s="22" t="s">
        <v>88</v>
      </c>
      <c r="S5" s="22" t="s">
        <v>51</v>
      </c>
      <c r="T5" s="22" t="s">
        <v>52</v>
      </c>
      <c r="U5" s="22" t="s">
        <v>52</v>
      </c>
      <c r="V5" s="22" t="s">
        <v>52</v>
      </c>
      <c r="W5" s="18">
        <v>45841.0</v>
      </c>
      <c r="X5" s="20">
        <v>0.7638888888888888</v>
      </c>
      <c r="Y5" s="18">
        <v>45842.0</v>
      </c>
      <c r="Z5" s="20">
        <v>0.4201388888888889</v>
      </c>
      <c r="AA5" s="20">
        <v>0.4236111111111111</v>
      </c>
      <c r="AB5" s="25">
        <v>0.7638888888888888</v>
      </c>
      <c r="AC5" s="25">
        <v>0.375</v>
      </c>
      <c r="AD5" s="25">
        <v>0.5159722222222223</v>
      </c>
      <c r="AE5" s="18">
        <v>45842.0</v>
      </c>
      <c r="AF5" s="22" t="s">
        <v>53</v>
      </c>
      <c r="AG5" s="22" t="s">
        <v>89</v>
      </c>
      <c r="AH5" s="22" t="s">
        <v>90</v>
      </c>
      <c r="AI5" s="26">
        <f t="shared" si="1"/>
        <v>0.1409722222</v>
      </c>
      <c r="AJ5" s="27">
        <f t="shared" si="2"/>
        <v>0</v>
      </c>
      <c r="AK5" s="28" t="str">
        <f t="shared" si="3"/>
        <v>Pass</v>
      </c>
    </row>
    <row r="6">
      <c r="A6" s="18">
        <v>45841.0</v>
      </c>
      <c r="B6" s="19"/>
      <c r="C6" s="18">
        <v>45842.0</v>
      </c>
      <c r="D6" s="20">
        <v>0.33819444444444446</v>
      </c>
      <c r="E6" s="21" t="s">
        <v>91</v>
      </c>
      <c r="F6" s="22" t="s">
        <v>92</v>
      </c>
      <c r="G6" s="22" t="s">
        <v>93</v>
      </c>
      <c r="H6" s="22" t="s">
        <v>40</v>
      </c>
      <c r="I6" s="22" t="s">
        <v>94</v>
      </c>
      <c r="J6" s="22" t="s">
        <v>95</v>
      </c>
      <c r="K6" s="22" t="s">
        <v>96</v>
      </c>
      <c r="L6" s="22" t="s">
        <v>97</v>
      </c>
      <c r="M6" s="22" t="s">
        <v>98</v>
      </c>
      <c r="N6" s="22" t="s">
        <v>99</v>
      </c>
      <c r="O6" s="23" t="s">
        <v>100</v>
      </c>
      <c r="P6" s="22" t="s">
        <v>48</v>
      </c>
      <c r="Q6" s="24" t="s">
        <v>49</v>
      </c>
      <c r="R6" s="22" t="s">
        <v>101</v>
      </c>
      <c r="S6" s="22" t="s">
        <v>51</v>
      </c>
      <c r="T6" s="22" t="s">
        <v>52</v>
      </c>
      <c r="U6" s="22" t="s">
        <v>52</v>
      </c>
      <c r="V6" s="22" t="s">
        <v>52</v>
      </c>
      <c r="W6" s="18">
        <v>45842.0</v>
      </c>
      <c r="X6" s="20">
        <v>0.33819444444444446</v>
      </c>
      <c r="Y6" s="18">
        <v>45842.0</v>
      </c>
      <c r="Z6" s="20">
        <v>0.36875</v>
      </c>
      <c r="AA6" s="20">
        <v>0.3715277777777778</v>
      </c>
      <c r="AB6" s="29"/>
      <c r="AC6" s="29"/>
      <c r="AD6" s="25">
        <v>0.4097222222222222</v>
      </c>
      <c r="AE6" s="18">
        <v>45842.0</v>
      </c>
      <c r="AF6" s="22" t="s">
        <v>53</v>
      </c>
      <c r="AG6" s="22" t="s">
        <v>102</v>
      </c>
      <c r="AH6" s="22" t="s">
        <v>103</v>
      </c>
      <c r="AI6" s="26">
        <f t="shared" si="1"/>
        <v>0.07152777778</v>
      </c>
      <c r="AJ6" s="27">
        <f t="shared" si="2"/>
        <v>0</v>
      </c>
      <c r="AK6" s="28" t="str">
        <f t="shared" si="3"/>
        <v>Pass</v>
      </c>
    </row>
    <row r="7">
      <c r="A7" s="18">
        <v>45842.0</v>
      </c>
      <c r="B7" s="19"/>
      <c r="C7" s="18">
        <v>45842.0</v>
      </c>
      <c r="D7" s="20">
        <v>0.7708333333333334</v>
      </c>
      <c r="E7" s="21" t="s">
        <v>104</v>
      </c>
      <c r="F7" s="22" t="s">
        <v>105</v>
      </c>
      <c r="G7" s="22" t="s">
        <v>106</v>
      </c>
      <c r="H7" s="22" t="s">
        <v>40</v>
      </c>
      <c r="I7" s="22" t="s">
        <v>107</v>
      </c>
      <c r="J7" s="22" t="s">
        <v>42</v>
      </c>
      <c r="K7" s="22" t="s">
        <v>43</v>
      </c>
      <c r="L7" s="22" t="s">
        <v>108</v>
      </c>
      <c r="M7" s="22" t="s">
        <v>109</v>
      </c>
      <c r="N7" s="22" t="s">
        <v>110</v>
      </c>
      <c r="O7" s="23" t="s">
        <v>111</v>
      </c>
      <c r="P7" s="22" t="s">
        <v>48</v>
      </c>
      <c r="Q7" s="24" t="s">
        <v>49</v>
      </c>
      <c r="R7" s="22" t="s">
        <v>112</v>
      </c>
      <c r="S7" s="22" t="s">
        <v>51</v>
      </c>
      <c r="T7" s="22" t="s">
        <v>52</v>
      </c>
      <c r="U7" s="22" t="s">
        <v>52</v>
      </c>
      <c r="V7" s="22" t="s">
        <v>52</v>
      </c>
      <c r="W7" s="18">
        <v>45842.0</v>
      </c>
      <c r="X7" s="20">
        <v>0.7708333333333334</v>
      </c>
      <c r="Y7" s="18">
        <v>45842.0</v>
      </c>
      <c r="Z7" s="20">
        <v>0.83125</v>
      </c>
      <c r="AA7" s="20">
        <v>0.8319444444444445</v>
      </c>
      <c r="AB7" s="29"/>
      <c r="AC7" s="29"/>
      <c r="AD7" s="25">
        <v>0.8541666666666666</v>
      </c>
      <c r="AE7" s="18">
        <v>45842.0</v>
      </c>
      <c r="AF7" s="22" t="s">
        <v>53</v>
      </c>
      <c r="AG7" s="22" t="s">
        <v>113</v>
      </c>
      <c r="AH7" s="22" t="s">
        <v>114</v>
      </c>
      <c r="AI7" s="26">
        <f t="shared" si="1"/>
        <v>0.08333333333</v>
      </c>
      <c r="AJ7" s="27">
        <f t="shared" si="2"/>
        <v>0</v>
      </c>
      <c r="AK7" s="28" t="str">
        <f t="shared" si="3"/>
        <v>Pass</v>
      </c>
    </row>
    <row r="8">
      <c r="A8" s="18">
        <v>45842.0</v>
      </c>
      <c r="B8" s="19"/>
      <c r="C8" s="18">
        <v>45843.0</v>
      </c>
      <c r="D8" s="20">
        <v>0.8791666666666667</v>
      </c>
      <c r="E8" s="21" t="s">
        <v>115</v>
      </c>
      <c r="F8" s="22" t="s">
        <v>116</v>
      </c>
      <c r="G8" s="22" t="s">
        <v>117</v>
      </c>
      <c r="H8" s="22" t="s">
        <v>59</v>
      </c>
      <c r="I8" s="22" t="s">
        <v>118</v>
      </c>
      <c r="J8" s="22" t="s">
        <v>119</v>
      </c>
      <c r="K8" s="22" t="s">
        <v>43</v>
      </c>
      <c r="L8" s="22" t="s">
        <v>120</v>
      </c>
      <c r="M8" s="22" t="s">
        <v>52</v>
      </c>
      <c r="N8" s="22" t="s">
        <v>121</v>
      </c>
      <c r="O8" s="23" t="s">
        <v>122</v>
      </c>
      <c r="P8" s="22" t="s">
        <v>75</v>
      </c>
      <c r="Q8" s="24" t="s">
        <v>65</v>
      </c>
      <c r="R8" s="22" t="s">
        <v>123</v>
      </c>
      <c r="S8" s="22" t="s">
        <v>51</v>
      </c>
      <c r="T8" s="22" t="s">
        <v>77</v>
      </c>
      <c r="U8" s="22" t="s">
        <v>124</v>
      </c>
      <c r="V8" s="22" t="s">
        <v>52</v>
      </c>
      <c r="W8" s="18">
        <v>45843.0</v>
      </c>
      <c r="X8" s="20">
        <v>0.8791666666666667</v>
      </c>
      <c r="Y8" s="18">
        <v>45843.0</v>
      </c>
      <c r="Z8" s="20">
        <v>0.4388888888888889</v>
      </c>
      <c r="AA8" s="20">
        <v>0.4409722222222222</v>
      </c>
      <c r="AB8" s="25">
        <v>0.8791666666666667</v>
      </c>
      <c r="AC8" s="25">
        <v>0.375</v>
      </c>
      <c r="AD8" s="25">
        <v>0.4666666666666667</v>
      </c>
      <c r="AE8" s="18">
        <v>45843.0</v>
      </c>
      <c r="AF8" s="22" t="s">
        <v>53</v>
      </c>
      <c r="AG8" s="22" t="s">
        <v>125</v>
      </c>
      <c r="AH8" s="22" t="s">
        <v>126</v>
      </c>
      <c r="AI8" s="26">
        <f t="shared" si="1"/>
        <v>0.09166666667</v>
      </c>
      <c r="AJ8" s="27">
        <f t="shared" si="2"/>
        <v>0</v>
      </c>
      <c r="AK8" s="28" t="str">
        <f t="shared" si="3"/>
        <v>Pass</v>
      </c>
    </row>
    <row r="9">
      <c r="A9" s="18">
        <v>45842.0</v>
      </c>
      <c r="B9" s="19"/>
      <c r="C9" s="18">
        <v>45843.0</v>
      </c>
      <c r="D9" s="20">
        <v>0.375</v>
      </c>
      <c r="E9" s="21" t="s">
        <v>127</v>
      </c>
      <c r="F9" s="22" t="s">
        <v>128</v>
      </c>
      <c r="G9" s="22" t="s">
        <v>129</v>
      </c>
      <c r="H9" s="22" t="s">
        <v>130</v>
      </c>
      <c r="I9" s="22" t="s">
        <v>131</v>
      </c>
      <c r="J9" s="22" t="s">
        <v>132</v>
      </c>
      <c r="K9" s="22" t="s">
        <v>43</v>
      </c>
      <c r="L9" s="22" t="s">
        <v>133</v>
      </c>
      <c r="M9" s="22" t="s">
        <v>134</v>
      </c>
      <c r="N9" s="22" t="s">
        <v>135</v>
      </c>
      <c r="O9" s="23" t="s">
        <v>136</v>
      </c>
      <c r="P9" s="22" t="s">
        <v>75</v>
      </c>
      <c r="Q9" s="24" t="s">
        <v>65</v>
      </c>
      <c r="R9" s="22" t="s">
        <v>137</v>
      </c>
      <c r="S9" s="22" t="s">
        <v>51</v>
      </c>
      <c r="T9" s="22" t="s">
        <v>52</v>
      </c>
      <c r="U9" s="22" t="s">
        <v>52</v>
      </c>
      <c r="V9" s="22" t="s">
        <v>52</v>
      </c>
      <c r="W9" s="18">
        <v>45843.0</v>
      </c>
      <c r="X9" s="20">
        <v>0.375</v>
      </c>
      <c r="Y9" s="18">
        <v>45843.0</v>
      </c>
      <c r="Z9" s="20">
        <v>0.425</v>
      </c>
      <c r="AA9" s="20">
        <v>0.4270833333333333</v>
      </c>
      <c r="AB9" s="29"/>
      <c r="AC9" s="29"/>
      <c r="AD9" s="25">
        <v>0.4409722222222222</v>
      </c>
      <c r="AE9" s="18">
        <v>45843.0</v>
      </c>
      <c r="AF9" s="22" t="s">
        <v>53</v>
      </c>
      <c r="AG9" s="22" t="s">
        <v>113</v>
      </c>
      <c r="AH9" s="22" t="s">
        <v>138</v>
      </c>
      <c r="AI9" s="26">
        <f t="shared" si="1"/>
        <v>0.06597222222</v>
      </c>
      <c r="AJ9" s="27">
        <f t="shared" si="2"/>
        <v>0</v>
      </c>
      <c r="AK9" s="28" t="str">
        <f t="shared" si="3"/>
        <v>Pass</v>
      </c>
    </row>
    <row r="10">
      <c r="A10" s="18">
        <v>45842.0</v>
      </c>
      <c r="B10" s="19"/>
      <c r="C10" s="18">
        <v>45842.0</v>
      </c>
      <c r="D10" s="20">
        <v>0.6541666666666667</v>
      </c>
      <c r="E10" s="21" t="s">
        <v>139</v>
      </c>
      <c r="F10" s="22" t="s">
        <v>140</v>
      </c>
      <c r="G10" s="22" t="s">
        <v>141</v>
      </c>
      <c r="H10" s="22" t="s">
        <v>142</v>
      </c>
      <c r="I10" s="22" t="s">
        <v>95</v>
      </c>
      <c r="J10" s="22" t="s">
        <v>95</v>
      </c>
      <c r="K10" s="22" t="s">
        <v>143</v>
      </c>
      <c r="L10" s="22" t="s">
        <v>144</v>
      </c>
      <c r="M10" s="22" t="s">
        <v>145</v>
      </c>
      <c r="N10" s="22" t="s">
        <v>146</v>
      </c>
      <c r="O10" s="23" t="s">
        <v>147</v>
      </c>
      <c r="P10" s="22" t="s">
        <v>75</v>
      </c>
      <c r="Q10" s="24" t="s">
        <v>49</v>
      </c>
      <c r="R10" s="22" t="s">
        <v>148</v>
      </c>
      <c r="S10" s="22" t="s">
        <v>51</v>
      </c>
      <c r="T10" s="22" t="s">
        <v>149</v>
      </c>
      <c r="U10" s="22" t="s">
        <v>150</v>
      </c>
      <c r="V10" s="22" t="s">
        <v>52</v>
      </c>
      <c r="W10" s="18">
        <v>45842.0</v>
      </c>
      <c r="X10" s="20">
        <v>0.6541666666666667</v>
      </c>
      <c r="Y10" s="18">
        <v>45843.0</v>
      </c>
      <c r="Z10" s="20">
        <v>0.5972222222222222</v>
      </c>
      <c r="AA10" s="20">
        <v>0.6</v>
      </c>
      <c r="AB10" s="29"/>
      <c r="AC10" s="29"/>
      <c r="AD10" s="25">
        <v>0.7083333333333334</v>
      </c>
      <c r="AE10" s="18">
        <v>45843.0</v>
      </c>
      <c r="AF10" s="22" t="s">
        <v>53</v>
      </c>
      <c r="AG10" s="22" t="s">
        <v>151</v>
      </c>
      <c r="AH10" s="22" t="s">
        <v>152</v>
      </c>
      <c r="AI10" s="26">
        <f t="shared" si="1"/>
        <v>0.05416666667</v>
      </c>
      <c r="AJ10" s="27">
        <f t="shared" si="2"/>
        <v>0</v>
      </c>
      <c r="AK10" s="28" t="str">
        <f t="shared" si="3"/>
        <v>Pass</v>
      </c>
    </row>
    <row r="11">
      <c r="A11" s="18">
        <v>45843.0</v>
      </c>
      <c r="B11" s="19"/>
      <c r="C11" s="18">
        <v>45844.0</v>
      </c>
      <c r="D11" s="20">
        <v>0.42916666666666664</v>
      </c>
      <c r="E11" s="21" t="s">
        <v>153</v>
      </c>
      <c r="F11" s="22" t="s">
        <v>154</v>
      </c>
      <c r="G11" s="22" t="s">
        <v>155</v>
      </c>
      <c r="H11" s="22" t="s">
        <v>156</v>
      </c>
      <c r="I11" s="22" t="s">
        <v>131</v>
      </c>
      <c r="J11" s="22" t="s">
        <v>132</v>
      </c>
      <c r="K11" s="22" t="s">
        <v>43</v>
      </c>
      <c r="L11" s="22" t="s">
        <v>157</v>
      </c>
      <c r="M11" s="22" t="s">
        <v>158</v>
      </c>
      <c r="N11" s="22" t="s">
        <v>159</v>
      </c>
      <c r="O11" s="23" t="s">
        <v>160</v>
      </c>
      <c r="P11" s="22" t="s">
        <v>75</v>
      </c>
      <c r="Q11" s="24" t="s">
        <v>65</v>
      </c>
      <c r="R11" s="22" t="s">
        <v>161</v>
      </c>
      <c r="S11" s="22" t="s">
        <v>51</v>
      </c>
      <c r="T11" s="22" t="s">
        <v>52</v>
      </c>
      <c r="U11" s="22" t="s">
        <v>52</v>
      </c>
      <c r="V11" s="22" t="s">
        <v>52</v>
      </c>
      <c r="W11" s="18">
        <v>45844.0</v>
      </c>
      <c r="X11" s="20">
        <v>0.42916666666666664</v>
      </c>
      <c r="Y11" s="18">
        <v>45844.0</v>
      </c>
      <c r="Z11" s="20">
        <v>0.5138888888888888</v>
      </c>
      <c r="AA11" s="20">
        <v>0.5145833333333333</v>
      </c>
      <c r="AB11" s="29"/>
      <c r="AC11" s="29"/>
      <c r="AD11" s="25">
        <v>0.5208333333333334</v>
      </c>
      <c r="AE11" s="18">
        <v>45844.0</v>
      </c>
      <c r="AF11" s="22" t="s">
        <v>53</v>
      </c>
      <c r="AG11" s="22" t="s">
        <v>162</v>
      </c>
      <c r="AH11" s="22" t="s">
        <v>163</v>
      </c>
      <c r="AI11" s="26">
        <f t="shared" si="1"/>
        <v>0.09166666667</v>
      </c>
      <c r="AJ11" s="27">
        <f t="shared" si="2"/>
        <v>0</v>
      </c>
      <c r="AK11" s="28" t="str">
        <f t="shared" si="3"/>
        <v>Pass</v>
      </c>
    </row>
    <row r="12">
      <c r="A12" s="18">
        <v>45843.0</v>
      </c>
      <c r="B12" s="19"/>
      <c r="C12" s="18">
        <v>45844.0</v>
      </c>
      <c r="D12" s="20">
        <v>0.6493055555555556</v>
      </c>
      <c r="E12" s="21" t="s">
        <v>164</v>
      </c>
      <c r="F12" s="22" t="s">
        <v>165</v>
      </c>
      <c r="G12" s="22" t="s">
        <v>166</v>
      </c>
      <c r="H12" s="22" t="s">
        <v>167</v>
      </c>
      <c r="I12" s="22" t="s">
        <v>168</v>
      </c>
      <c r="J12" s="22" t="s">
        <v>169</v>
      </c>
      <c r="K12" s="22" t="s">
        <v>43</v>
      </c>
      <c r="L12" s="22" t="s">
        <v>170</v>
      </c>
      <c r="M12" s="22" t="s">
        <v>171</v>
      </c>
      <c r="N12" s="22" t="s">
        <v>172</v>
      </c>
      <c r="O12" s="23" t="s">
        <v>173</v>
      </c>
      <c r="P12" s="22" t="s">
        <v>75</v>
      </c>
      <c r="Q12" s="24" t="s">
        <v>65</v>
      </c>
      <c r="R12" s="22" t="s">
        <v>174</v>
      </c>
      <c r="S12" s="22" t="s">
        <v>51</v>
      </c>
      <c r="T12" s="22" t="s">
        <v>169</v>
      </c>
      <c r="U12" s="22" t="s">
        <v>175</v>
      </c>
      <c r="V12" s="22" t="s">
        <v>176</v>
      </c>
      <c r="W12" s="18">
        <v>45844.0</v>
      </c>
      <c r="X12" s="20">
        <v>0.6493055555555556</v>
      </c>
      <c r="Y12" s="18">
        <v>45844.0</v>
      </c>
      <c r="Z12" s="20">
        <v>0.7263888888888889</v>
      </c>
      <c r="AA12" s="20">
        <v>0.7395833333333334</v>
      </c>
      <c r="AB12" s="25">
        <v>0.7847222222222222</v>
      </c>
      <c r="AC12" s="25">
        <v>0.8263888888888888</v>
      </c>
      <c r="AD12" s="25">
        <v>0.8666666666666667</v>
      </c>
      <c r="AE12" s="18">
        <v>45844.0</v>
      </c>
      <c r="AF12" s="22" t="s">
        <v>53</v>
      </c>
      <c r="AG12" s="22" t="s">
        <v>177</v>
      </c>
      <c r="AH12" s="22" t="s">
        <v>178</v>
      </c>
      <c r="AI12" s="26">
        <f t="shared" si="1"/>
        <v>0.1756944444</v>
      </c>
      <c r="AJ12" s="27">
        <f t="shared" si="2"/>
        <v>0</v>
      </c>
      <c r="AK12" s="28" t="str">
        <f t="shared" si="3"/>
        <v>Pass</v>
      </c>
    </row>
    <row r="13">
      <c r="A13" s="18">
        <v>45845.0</v>
      </c>
      <c r="B13" s="19"/>
      <c r="C13" s="18">
        <v>45845.0</v>
      </c>
      <c r="D13" s="20">
        <v>0.43194444444444446</v>
      </c>
      <c r="E13" s="21" t="s">
        <v>179</v>
      </c>
      <c r="F13" s="22" t="s">
        <v>180</v>
      </c>
      <c r="G13" s="22" t="s">
        <v>181</v>
      </c>
      <c r="H13" s="22" t="s">
        <v>182</v>
      </c>
      <c r="I13" s="22" t="s">
        <v>60</v>
      </c>
      <c r="J13" s="22" t="s">
        <v>42</v>
      </c>
      <c r="K13" s="22" t="s">
        <v>61</v>
      </c>
      <c r="L13" s="22" t="s">
        <v>183</v>
      </c>
      <c r="M13" s="22" t="s">
        <v>184</v>
      </c>
      <c r="N13" s="22" t="s">
        <v>185</v>
      </c>
      <c r="O13" s="23" t="s">
        <v>186</v>
      </c>
      <c r="P13" s="22" t="s">
        <v>187</v>
      </c>
      <c r="Q13" s="24" t="s">
        <v>65</v>
      </c>
      <c r="R13" s="22" t="s">
        <v>188</v>
      </c>
      <c r="S13" s="22" t="s">
        <v>51</v>
      </c>
      <c r="T13" s="22" t="s">
        <v>52</v>
      </c>
      <c r="U13" s="22" t="s">
        <v>52</v>
      </c>
      <c r="V13" s="22" t="s">
        <v>52</v>
      </c>
      <c r="W13" s="18">
        <v>45845.0</v>
      </c>
      <c r="X13" s="20">
        <v>0.43194444444444446</v>
      </c>
      <c r="Y13" s="18">
        <v>45845.0</v>
      </c>
      <c r="Z13" s="20">
        <v>0.5</v>
      </c>
      <c r="AA13" s="20">
        <v>0.5034722222222222</v>
      </c>
      <c r="AB13" s="29"/>
      <c r="AC13" s="29"/>
      <c r="AD13" s="25">
        <v>0.5625</v>
      </c>
      <c r="AE13" s="18">
        <v>45845.0</v>
      </c>
      <c r="AF13" s="22" t="s">
        <v>53</v>
      </c>
      <c r="AG13" s="22" t="s">
        <v>54</v>
      </c>
      <c r="AH13" s="22" t="s">
        <v>189</v>
      </c>
      <c r="AI13" s="26">
        <f t="shared" si="1"/>
        <v>0.1305555556</v>
      </c>
      <c r="AJ13" s="27">
        <f t="shared" si="2"/>
        <v>0</v>
      </c>
      <c r="AK13" s="28" t="str">
        <f t="shared" si="3"/>
        <v>Pass</v>
      </c>
    </row>
    <row r="14">
      <c r="A14" s="18">
        <v>45845.0</v>
      </c>
      <c r="B14" s="19"/>
      <c r="C14" s="18">
        <v>45845.0</v>
      </c>
      <c r="D14" s="20">
        <v>0.4361111111111111</v>
      </c>
      <c r="E14" s="21" t="s">
        <v>190</v>
      </c>
      <c r="F14" s="22" t="s">
        <v>191</v>
      </c>
      <c r="G14" s="22" t="s">
        <v>192</v>
      </c>
      <c r="H14" s="22" t="s">
        <v>193</v>
      </c>
      <c r="I14" s="22" t="s">
        <v>194</v>
      </c>
      <c r="J14" s="22" t="s">
        <v>195</v>
      </c>
      <c r="K14" s="22" t="s">
        <v>52</v>
      </c>
      <c r="L14" s="22" t="s">
        <v>52</v>
      </c>
      <c r="M14" s="22" t="s">
        <v>52</v>
      </c>
      <c r="N14" s="22" t="s">
        <v>196</v>
      </c>
      <c r="O14" s="23" t="s">
        <v>197</v>
      </c>
      <c r="P14" s="22" t="s">
        <v>75</v>
      </c>
      <c r="Q14" s="24" t="s">
        <v>198</v>
      </c>
      <c r="R14" s="22" t="s">
        <v>199</v>
      </c>
      <c r="S14" s="22" t="s">
        <v>51</v>
      </c>
      <c r="T14" s="22" t="s">
        <v>52</v>
      </c>
      <c r="U14" s="22" t="s">
        <v>52</v>
      </c>
      <c r="V14" s="22" t="s">
        <v>52</v>
      </c>
      <c r="W14" s="18">
        <v>45845.0</v>
      </c>
      <c r="X14" s="20">
        <v>0.4361111111111111</v>
      </c>
      <c r="Y14" s="18">
        <v>45845.0</v>
      </c>
      <c r="Z14" s="20">
        <v>0.5416666666666666</v>
      </c>
      <c r="AA14" s="20">
        <v>0.5625</v>
      </c>
      <c r="AB14" s="29"/>
      <c r="AC14" s="29"/>
      <c r="AD14" s="25">
        <v>0.5833333333333334</v>
      </c>
      <c r="AE14" s="18">
        <v>45845.0</v>
      </c>
      <c r="AF14" s="22" t="s">
        <v>53</v>
      </c>
      <c r="AG14" s="22" t="s">
        <v>78</v>
      </c>
      <c r="AH14" s="22" t="s">
        <v>200</v>
      </c>
      <c r="AI14" s="26">
        <f t="shared" si="1"/>
        <v>0.1472222222</v>
      </c>
      <c r="AJ14" s="27">
        <f t="shared" si="2"/>
        <v>0</v>
      </c>
      <c r="AK14" s="28" t="str">
        <f t="shared" si="3"/>
        <v>Pass</v>
      </c>
    </row>
    <row r="15">
      <c r="A15" s="18">
        <v>45845.0</v>
      </c>
      <c r="B15" s="19"/>
      <c r="C15" s="18">
        <v>45845.0</v>
      </c>
      <c r="D15" s="20">
        <v>0.48055555555555557</v>
      </c>
      <c r="E15" s="21" t="s">
        <v>201</v>
      </c>
      <c r="F15" s="22" t="s">
        <v>202</v>
      </c>
      <c r="G15" s="22" t="s">
        <v>203</v>
      </c>
      <c r="H15" s="22" t="s">
        <v>142</v>
      </c>
      <c r="I15" s="22" t="s">
        <v>41</v>
      </c>
      <c r="J15" s="22" t="s">
        <v>42</v>
      </c>
      <c r="K15" s="22" t="s">
        <v>43</v>
      </c>
      <c r="L15" s="22" t="s">
        <v>204</v>
      </c>
      <c r="M15" s="22" t="s">
        <v>205</v>
      </c>
      <c r="N15" s="22" t="s">
        <v>206</v>
      </c>
      <c r="O15" s="23" t="s">
        <v>207</v>
      </c>
      <c r="P15" s="22" t="s">
        <v>75</v>
      </c>
      <c r="Q15" s="24" t="s">
        <v>49</v>
      </c>
      <c r="R15" s="22" t="s">
        <v>208</v>
      </c>
      <c r="S15" s="22" t="s">
        <v>51</v>
      </c>
      <c r="T15" s="22" t="s">
        <v>52</v>
      </c>
      <c r="U15" s="22" t="s">
        <v>52</v>
      </c>
      <c r="V15" s="22" t="s">
        <v>52</v>
      </c>
      <c r="W15" s="18">
        <v>45845.0</v>
      </c>
      <c r="X15" s="20">
        <v>0.48055555555555557</v>
      </c>
      <c r="Y15" s="18">
        <v>45845.0</v>
      </c>
      <c r="Z15" s="20">
        <v>0.6180555555555556</v>
      </c>
      <c r="AA15" s="20">
        <v>0.6388888888888888</v>
      </c>
      <c r="AB15" s="25">
        <v>0.5</v>
      </c>
      <c r="AC15" s="25">
        <v>0.5520833333333334</v>
      </c>
      <c r="AD15" s="25">
        <v>0.6875</v>
      </c>
      <c r="AE15" s="18">
        <v>45845.0</v>
      </c>
      <c r="AF15" s="22" t="s">
        <v>53</v>
      </c>
      <c r="AG15" s="22" t="s">
        <v>209</v>
      </c>
      <c r="AH15" s="22" t="s">
        <v>210</v>
      </c>
      <c r="AI15" s="26">
        <f t="shared" si="1"/>
        <v>0.1548611111</v>
      </c>
      <c r="AJ15" s="27">
        <f t="shared" si="2"/>
        <v>0</v>
      </c>
      <c r="AK15" s="28" t="str">
        <f t="shared" si="3"/>
        <v>Pass</v>
      </c>
    </row>
    <row r="16">
      <c r="A16" s="18">
        <v>45845.0</v>
      </c>
      <c r="B16" s="19"/>
      <c r="C16" s="18">
        <v>45845.0</v>
      </c>
      <c r="D16" s="20">
        <v>0.6361111111111111</v>
      </c>
      <c r="E16" s="21" t="s">
        <v>211</v>
      </c>
      <c r="F16" s="22" t="s">
        <v>212</v>
      </c>
      <c r="G16" s="30" t="s">
        <v>213</v>
      </c>
      <c r="H16" s="22" t="s">
        <v>214</v>
      </c>
      <c r="I16" s="22" t="s">
        <v>215</v>
      </c>
      <c r="J16" s="22" t="s">
        <v>119</v>
      </c>
      <c r="K16" s="22" t="s">
        <v>72</v>
      </c>
      <c r="L16" s="22" t="s">
        <v>216</v>
      </c>
      <c r="M16" s="22" t="s">
        <v>217</v>
      </c>
      <c r="N16" s="22" t="s">
        <v>218</v>
      </c>
      <c r="O16" s="23" t="s">
        <v>219</v>
      </c>
      <c r="P16" s="22" t="s">
        <v>75</v>
      </c>
      <c r="Q16" s="24" t="s">
        <v>49</v>
      </c>
      <c r="R16" s="22" t="s">
        <v>220</v>
      </c>
      <c r="S16" s="22" t="s">
        <v>51</v>
      </c>
      <c r="T16" s="22" t="s">
        <v>77</v>
      </c>
      <c r="U16" s="22" t="s">
        <v>221</v>
      </c>
      <c r="V16" s="22" t="s">
        <v>217</v>
      </c>
      <c r="W16" s="18">
        <v>45845.0</v>
      </c>
      <c r="X16" s="20">
        <v>0.6361111111111111</v>
      </c>
      <c r="Y16" s="18">
        <v>45845.0</v>
      </c>
      <c r="Z16" s="20">
        <v>0.5972222222222222</v>
      </c>
      <c r="AA16" s="20">
        <v>0.6</v>
      </c>
      <c r="AB16" s="25">
        <v>0.6618055555555555</v>
      </c>
      <c r="AC16" s="25">
        <v>0.6979166666666666</v>
      </c>
      <c r="AD16" s="25">
        <v>0.7083333333333334</v>
      </c>
      <c r="AE16" s="18">
        <v>45845.0</v>
      </c>
      <c r="AF16" s="22" t="s">
        <v>53</v>
      </c>
      <c r="AG16" s="22" t="s">
        <v>151</v>
      </c>
      <c r="AH16" s="22" t="s">
        <v>222</v>
      </c>
      <c r="AI16" s="26">
        <f t="shared" si="1"/>
        <v>0.03611111111</v>
      </c>
      <c r="AJ16" s="27">
        <f t="shared" si="2"/>
        <v>0</v>
      </c>
      <c r="AK16" s="28" t="str">
        <f t="shared" si="3"/>
        <v>Pass</v>
      </c>
    </row>
    <row r="17">
      <c r="A17" s="18">
        <v>45845.0</v>
      </c>
      <c r="B17" s="19"/>
      <c r="C17" s="18">
        <v>45845.0</v>
      </c>
      <c r="D17" s="20">
        <v>0.6479166666666667</v>
      </c>
      <c r="E17" s="21" t="s">
        <v>223</v>
      </c>
      <c r="F17" s="22" t="s">
        <v>38</v>
      </c>
      <c r="G17" s="22" t="s">
        <v>39</v>
      </c>
      <c r="H17" s="22" t="s">
        <v>142</v>
      </c>
      <c r="I17" s="22" t="s">
        <v>95</v>
      </c>
      <c r="J17" s="31"/>
      <c r="K17" s="22" t="s">
        <v>143</v>
      </c>
      <c r="L17" s="22" t="s">
        <v>224</v>
      </c>
      <c r="M17" s="22" t="s">
        <v>225</v>
      </c>
      <c r="N17" s="22" t="s">
        <v>226</v>
      </c>
      <c r="O17" s="23" t="s">
        <v>227</v>
      </c>
      <c r="P17" s="22" t="s">
        <v>75</v>
      </c>
      <c r="Q17" s="24" t="s">
        <v>49</v>
      </c>
      <c r="R17" s="22" t="s">
        <v>228</v>
      </c>
      <c r="S17" s="22" t="s">
        <v>51</v>
      </c>
      <c r="T17" s="22" t="s">
        <v>52</v>
      </c>
      <c r="U17" s="22" t="s">
        <v>52</v>
      </c>
      <c r="V17" s="22" t="s">
        <v>52</v>
      </c>
      <c r="W17" s="18">
        <v>45845.0</v>
      </c>
      <c r="X17" s="20">
        <v>0.6479166666666667</v>
      </c>
      <c r="Y17" s="18">
        <v>45845.0</v>
      </c>
      <c r="Z17" s="20">
        <v>0.7666666666666667</v>
      </c>
      <c r="AA17" s="20">
        <v>0.7708333333333334</v>
      </c>
      <c r="AB17" s="25">
        <v>0.6479166666666667</v>
      </c>
      <c r="AC17" s="25">
        <v>0.7604166666666666</v>
      </c>
      <c r="AD17" s="25">
        <v>0.9166666666666666</v>
      </c>
      <c r="AE17" s="18">
        <v>45845.0</v>
      </c>
      <c r="AF17" s="22" t="s">
        <v>53</v>
      </c>
      <c r="AG17" s="22" t="s">
        <v>151</v>
      </c>
      <c r="AH17" s="22" t="s">
        <v>229</v>
      </c>
      <c r="AI17" s="26">
        <f t="shared" si="1"/>
        <v>0.15625</v>
      </c>
      <c r="AJ17" s="27">
        <f t="shared" si="2"/>
        <v>0</v>
      </c>
      <c r="AK17" s="28" t="str">
        <f t="shared" si="3"/>
        <v>Pass</v>
      </c>
    </row>
    <row r="18">
      <c r="A18" s="18">
        <v>45845.0</v>
      </c>
      <c r="B18" s="19"/>
      <c r="C18" s="18">
        <v>45845.0</v>
      </c>
      <c r="D18" s="20">
        <v>0.7694444444444445</v>
      </c>
      <c r="E18" s="21" t="s">
        <v>230</v>
      </c>
      <c r="F18" s="22" t="s">
        <v>231</v>
      </c>
      <c r="G18" s="30" t="s">
        <v>232</v>
      </c>
      <c r="H18" s="22" t="s">
        <v>233</v>
      </c>
      <c r="I18" s="22" t="s">
        <v>234</v>
      </c>
      <c r="J18" s="31"/>
      <c r="K18" s="22" t="s">
        <v>61</v>
      </c>
      <c r="L18" s="22" t="s">
        <v>183</v>
      </c>
      <c r="M18" s="22" t="s">
        <v>235</v>
      </c>
      <c r="N18" s="22" t="s">
        <v>236</v>
      </c>
      <c r="O18" s="23" t="s">
        <v>237</v>
      </c>
      <c r="P18" s="22" t="s">
        <v>75</v>
      </c>
      <c r="Q18" s="24" t="s">
        <v>65</v>
      </c>
      <c r="R18" s="22" t="s">
        <v>238</v>
      </c>
      <c r="S18" s="22" t="s">
        <v>51</v>
      </c>
      <c r="T18" s="22" t="s">
        <v>52</v>
      </c>
      <c r="U18" s="22" t="s">
        <v>52</v>
      </c>
      <c r="V18" s="22" t="s">
        <v>52</v>
      </c>
      <c r="W18" s="18">
        <v>45845.0</v>
      </c>
      <c r="X18" s="20">
        <v>0.7694444444444445</v>
      </c>
      <c r="Y18" s="18">
        <v>45845.0</v>
      </c>
      <c r="Z18" s="20">
        <v>0.8861111111111111</v>
      </c>
      <c r="AA18" s="20">
        <v>0.8861111111111111</v>
      </c>
      <c r="AB18" s="29"/>
      <c r="AC18" s="29"/>
      <c r="AD18" s="25">
        <v>0.9201388888888888</v>
      </c>
      <c r="AE18" s="18">
        <v>45845.0</v>
      </c>
      <c r="AF18" s="22" t="s">
        <v>53</v>
      </c>
      <c r="AG18" s="22" t="s">
        <v>239</v>
      </c>
      <c r="AH18" s="22" t="s">
        <v>240</v>
      </c>
      <c r="AI18" s="26">
        <f t="shared" si="1"/>
        <v>0.1506944444</v>
      </c>
      <c r="AJ18" s="27">
        <f t="shared" si="2"/>
        <v>0</v>
      </c>
      <c r="AK18" s="28" t="str">
        <f t="shared" si="3"/>
        <v>Pass</v>
      </c>
    </row>
    <row r="19">
      <c r="A19" s="18">
        <v>45843.0</v>
      </c>
      <c r="B19" s="19"/>
      <c r="C19" s="18">
        <v>45845.0</v>
      </c>
      <c r="D19" s="20">
        <v>0.48194444444444445</v>
      </c>
      <c r="E19" s="21" t="s">
        <v>241</v>
      </c>
      <c r="F19" s="22" t="s">
        <v>242</v>
      </c>
      <c r="G19" s="22" t="s">
        <v>243</v>
      </c>
      <c r="H19" s="22" t="s">
        <v>244</v>
      </c>
      <c r="I19" s="22" t="s">
        <v>95</v>
      </c>
      <c r="J19" s="31"/>
      <c r="K19" s="22" t="s">
        <v>143</v>
      </c>
      <c r="L19" s="22" t="s">
        <v>144</v>
      </c>
      <c r="M19" s="22" t="s">
        <v>245</v>
      </c>
      <c r="N19" s="22" t="s">
        <v>246</v>
      </c>
      <c r="O19" s="23" t="s">
        <v>247</v>
      </c>
      <c r="P19" s="22" t="s">
        <v>75</v>
      </c>
      <c r="Q19" s="24" t="s">
        <v>49</v>
      </c>
      <c r="R19" s="22" t="s">
        <v>248</v>
      </c>
      <c r="S19" s="22" t="s">
        <v>51</v>
      </c>
      <c r="T19" s="22" t="s">
        <v>52</v>
      </c>
      <c r="U19" s="22" t="s">
        <v>52</v>
      </c>
      <c r="V19" s="22" t="s">
        <v>52</v>
      </c>
      <c r="W19" s="18">
        <v>45845.0</v>
      </c>
      <c r="X19" s="20">
        <v>0.48194444444444445</v>
      </c>
      <c r="Y19" s="18">
        <v>45845.0</v>
      </c>
      <c r="Z19" s="20">
        <v>0.8986111111111111</v>
      </c>
      <c r="AA19" s="20">
        <v>0.9201388888888888</v>
      </c>
      <c r="AB19" s="25">
        <v>0.48194444444444445</v>
      </c>
      <c r="AC19" s="25">
        <v>0.9166666666666666</v>
      </c>
      <c r="AD19" s="25">
        <v>0.9513888888888888</v>
      </c>
      <c r="AE19" s="18">
        <v>45845.0</v>
      </c>
      <c r="AF19" s="22" t="s">
        <v>53</v>
      </c>
      <c r="AG19" s="22" t="s">
        <v>102</v>
      </c>
      <c r="AH19" s="22" t="s">
        <v>249</v>
      </c>
      <c r="AI19" s="26">
        <f t="shared" si="1"/>
        <v>0.03472222222</v>
      </c>
      <c r="AJ19" s="27">
        <f t="shared" si="2"/>
        <v>0</v>
      </c>
      <c r="AK19" s="28" t="str">
        <f t="shared" si="3"/>
        <v>Pass</v>
      </c>
    </row>
    <row r="20">
      <c r="A20" s="18">
        <v>45841.0</v>
      </c>
      <c r="B20" s="19"/>
      <c r="C20" s="18">
        <v>45841.0</v>
      </c>
      <c r="D20" s="20">
        <v>0.8256944444444444</v>
      </c>
      <c r="E20" s="21" t="s">
        <v>250</v>
      </c>
      <c r="F20" s="22" t="s">
        <v>251</v>
      </c>
      <c r="G20" s="22" t="s">
        <v>252</v>
      </c>
      <c r="H20" s="22" t="s">
        <v>253</v>
      </c>
      <c r="I20" s="31"/>
      <c r="J20" s="31"/>
      <c r="K20" s="31"/>
      <c r="L20" s="31"/>
      <c r="M20" s="31"/>
      <c r="N20" s="22" t="s">
        <v>254</v>
      </c>
      <c r="O20" s="23" t="s">
        <v>255</v>
      </c>
      <c r="P20" s="22" t="s">
        <v>48</v>
      </c>
      <c r="Q20" s="24" t="s">
        <v>65</v>
      </c>
      <c r="R20" s="22" t="s">
        <v>256</v>
      </c>
      <c r="S20" s="22" t="s">
        <v>51</v>
      </c>
      <c r="T20" s="22" t="s">
        <v>52</v>
      </c>
      <c r="U20" s="22" t="s">
        <v>52</v>
      </c>
      <c r="V20" s="22" t="s">
        <v>52</v>
      </c>
      <c r="W20" s="18">
        <v>45841.0</v>
      </c>
      <c r="X20" s="20">
        <v>0.8256944444444444</v>
      </c>
      <c r="Y20" s="18">
        <v>45845.0</v>
      </c>
      <c r="Z20" s="20">
        <v>0.875</v>
      </c>
      <c r="AA20" s="20">
        <v>0.9076388888888889</v>
      </c>
      <c r="AB20" s="25">
        <v>0.8256944444444444</v>
      </c>
      <c r="AC20" s="25">
        <v>0.875</v>
      </c>
      <c r="AD20" s="25">
        <v>0.09097222222222222</v>
      </c>
      <c r="AE20" s="18">
        <v>45846.0</v>
      </c>
      <c r="AF20" s="22" t="s">
        <v>53</v>
      </c>
      <c r="AG20" s="22" t="s">
        <v>89</v>
      </c>
      <c r="AH20" s="22" t="s">
        <v>257</v>
      </c>
      <c r="AI20" s="26">
        <f t="shared" si="1"/>
        <v>-0.7840277778</v>
      </c>
      <c r="AJ20" s="27">
        <f t="shared" si="2"/>
        <v>0</v>
      </c>
      <c r="AK20" s="28" t="str">
        <f t="shared" si="3"/>
        <v>Pass</v>
      </c>
    </row>
    <row r="21">
      <c r="A21" s="18">
        <v>45848.0</v>
      </c>
      <c r="B21" s="19"/>
      <c r="C21" s="18">
        <v>45848.0</v>
      </c>
      <c r="D21" s="20">
        <v>0.70625</v>
      </c>
      <c r="E21" s="21" t="s">
        <v>258</v>
      </c>
      <c r="F21" s="22" t="s">
        <v>259</v>
      </c>
      <c r="G21" s="22" t="s">
        <v>260</v>
      </c>
      <c r="H21" s="22" t="s">
        <v>261</v>
      </c>
      <c r="I21" s="22" t="s">
        <v>107</v>
      </c>
      <c r="J21" s="31"/>
      <c r="K21" s="22" t="s">
        <v>43</v>
      </c>
      <c r="L21" s="22" t="s">
        <v>204</v>
      </c>
      <c r="M21" s="22" t="s">
        <v>262</v>
      </c>
      <c r="N21" s="22" t="s">
        <v>263</v>
      </c>
      <c r="O21" s="23" t="s">
        <v>264</v>
      </c>
      <c r="P21" s="22" t="s">
        <v>75</v>
      </c>
      <c r="Q21" s="24" t="s">
        <v>65</v>
      </c>
      <c r="R21" s="22" t="s">
        <v>265</v>
      </c>
      <c r="S21" s="22" t="s">
        <v>51</v>
      </c>
      <c r="T21" s="22" t="s">
        <v>52</v>
      </c>
      <c r="U21" s="22" t="s">
        <v>52</v>
      </c>
      <c r="V21" s="22" t="s">
        <v>52</v>
      </c>
      <c r="W21" s="18">
        <v>45848.0</v>
      </c>
      <c r="X21" s="20">
        <v>0.70625</v>
      </c>
      <c r="Y21" s="18">
        <v>45848.0</v>
      </c>
      <c r="Z21" s="20">
        <v>0.8986111111111111</v>
      </c>
      <c r="AA21" s="20">
        <v>0.9027777777777778</v>
      </c>
      <c r="AB21" s="29"/>
      <c r="AC21" s="29"/>
      <c r="AD21" s="25">
        <v>0.06944444444444445</v>
      </c>
      <c r="AE21" s="18">
        <v>45849.0</v>
      </c>
      <c r="AF21" s="22" t="s">
        <v>53</v>
      </c>
      <c r="AG21" s="22" t="s">
        <v>239</v>
      </c>
      <c r="AH21" s="22" t="s">
        <v>266</v>
      </c>
      <c r="AI21" s="26">
        <f t="shared" si="1"/>
        <v>-0.6368055556</v>
      </c>
      <c r="AJ21" s="27">
        <f t="shared" si="2"/>
        <v>0</v>
      </c>
      <c r="AK21" s="28" t="str">
        <f t="shared" si="3"/>
        <v>Pass</v>
      </c>
    </row>
    <row r="22">
      <c r="A22" s="18">
        <v>45846.0</v>
      </c>
      <c r="B22" s="19"/>
      <c r="C22" s="18">
        <v>45846.0</v>
      </c>
      <c r="D22" s="20">
        <v>0.5208333333333334</v>
      </c>
      <c r="E22" s="21" t="s">
        <v>267</v>
      </c>
      <c r="F22" s="22" t="s">
        <v>268</v>
      </c>
      <c r="G22" s="22" t="s">
        <v>269</v>
      </c>
      <c r="H22" s="22" t="s">
        <v>270</v>
      </c>
      <c r="I22" s="22" t="s">
        <v>60</v>
      </c>
      <c r="J22" s="31"/>
      <c r="K22" s="22" t="s">
        <v>61</v>
      </c>
      <c r="L22" s="22" t="s">
        <v>183</v>
      </c>
      <c r="M22" s="22" t="s">
        <v>271</v>
      </c>
      <c r="N22" s="22" t="s">
        <v>272</v>
      </c>
      <c r="O22" s="23" t="s">
        <v>273</v>
      </c>
      <c r="P22" s="22" t="s">
        <v>75</v>
      </c>
      <c r="Q22" s="24" t="s">
        <v>65</v>
      </c>
      <c r="R22" s="22" t="s">
        <v>274</v>
      </c>
      <c r="S22" s="22" t="s">
        <v>51</v>
      </c>
      <c r="T22" s="22" t="s">
        <v>52</v>
      </c>
      <c r="U22" s="22" t="s">
        <v>52</v>
      </c>
      <c r="V22" s="22" t="s">
        <v>52</v>
      </c>
      <c r="W22" s="18">
        <v>45846.0</v>
      </c>
      <c r="X22" s="20">
        <v>0.5208333333333334</v>
      </c>
      <c r="Y22" s="18">
        <v>45846.0</v>
      </c>
      <c r="Z22" s="20">
        <v>0.5833333333333334</v>
      </c>
      <c r="AA22" s="20">
        <v>0.5868055555555556</v>
      </c>
      <c r="AB22" s="25">
        <v>0.5625</v>
      </c>
      <c r="AC22" s="25">
        <v>0.6388888888888888</v>
      </c>
      <c r="AD22" s="25">
        <v>0.6458333333333334</v>
      </c>
      <c r="AE22" s="18">
        <v>45846.0</v>
      </c>
      <c r="AF22" s="22" t="s">
        <v>53</v>
      </c>
      <c r="AG22" s="22" t="s">
        <v>275</v>
      </c>
      <c r="AH22" s="22" t="s">
        <v>276</v>
      </c>
      <c r="AI22" s="26">
        <f t="shared" si="1"/>
        <v>0.04861111111</v>
      </c>
      <c r="AJ22" s="27">
        <f t="shared" si="2"/>
        <v>0</v>
      </c>
      <c r="AK22" s="28" t="str">
        <f t="shared" si="3"/>
        <v>Pass</v>
      </c>
    </row>
    <row r="23">
      <c r="A23" s="18">
        <v>45846.0</v>
      </c>
      <c r="B23" s="19"/>
      <c r="C23" s="18">
        <v>45846.0</v>
      </c>
      <c r="D23" s="20">
        <v>0.7083333333333334</v>
      </c>
      <c r="E23" s="21" t="s">
        <v>277</v>
      </c>
      <c r="F23" s="22" t="s">
        <v>278</v>
      </c>
      <c r="G23" s="22" t="s">
        <v>279</v>
      </c>
      <c r="H23" s="22" t="s">
        <v>233</v>
      </c>
      <c r="I23" s="22" t="s">
        <v>234</v>
      </c>
      <c r="J23" s="31"/>
      <c r="K23" s="22" t="s">
        <v>61</v>
      </c>
      <c r="L23" s="22" t="s">
        <v>183</v>
      </c>
      <c r="M23" s="22" t="s">
        <v>280</v>
      </c>
      <c r="N23" s="22" t="s">
        <v>281</v>
      </c>
      <c r="O23" s="23" t="s">
        <v>282</v>
      </c>
      <c r="P23" s="22" t="s">
        <v>75</v>
      </c>
      <c r="Q23" s="24" t="s">
        <v>65</v>
      </c>
      <c r="R23" s="22" t="s">
        <v>283</v>
      </c>
      <c r="S23" s="22" t="s">
        <v>51</v>
      </c>
      <c r="T23" s="22" t="s">
        <v>52</v>
      </c>
      <c r="U23" s="22" t="s">
        <v>52</v>
      </c>
      <c r="V23" s="22" t="s">
        <v>52</v>
      </c>
      <c r="W23" s="18">
        <v>45846.0</v>
      </c>
      <c r="X23" s="20">
        <v>0.7083333333333334</v>
      </c>
      <c r="Y23" s="18">
        <v>45846.0</v>
      </c>
      <c r="Z23" s="20">
        <v>0.8534722222222222</v>
      </c>
      <c r="AA23" s="20">
        <v>0.8611111111111112</v>
      </c>
      <c r="AB23" s="29"/>
      <c r="AC23" s="29"/>
      <c r="AD23" s="25">
        <v>0.9166666666666666</v>
      </c>
      <c r="AE23" s="18">
        <v>45846.0</v>
      </c>
      <c r="AF23" s="22" t="s">
        <v>53</v>
      </c>
      <c r="AG23" s="22" t="s">
        <v>284</v>
      </c>
      <c r="AH23" s="22" t="s">
        <v>285</v>
      </c>
      <c r="AI23" s="26">
        <f t="shared" si="1"/>
        <v>0.2083333333</v>
      </c>
      <c r="AJ23" s="27">
        <f t="shared" si="2"/>
        <v>0</v>
      </c>
      <c r="AK23" s="28" t="str">
        <f t="shared" si="3"/>
        <v>Pass</v>
      </c>
    </row>
    <row r="24">
      <c r="A24" s="18">
        <v>45847.0</v>
      </c>
      <c r="B24" s="19"/>
      <c r="C24" s="18">
        <v>45847.0</v>
      </c>
      <c r="D24" s="20">
        <v>0.7361111111111112</v>
      </c>
      <c r="E24" s="21" t="s">
        <v>286</v>
      </c>
      <c r="F24" s="22" t="s">
        <v>287</v>
      </c>
      <c r="G24" s="22" t="s">
        <v>288</v>
      </c>
      <c r="H24" s="22" t="s">
        <v>289</v>
      </c>
      <c r="I24" s="22" t="s">
        <v>60</v>
      </c>
      <c r="J24" s="31"/>
      <c r="K24" s="22" t="s">
        <v>61</v>
      </c>
      <c r="L24" s="22" t="s">
        <v>183</v>
      </c>
      <c r="M24" s="22" t="s">
        <v>271</v>
      </c>
      <c r="N24" s="22" t="s">
        <v>290</v>
      </c>
      <c r="O24" s="23" t="s">
        <v>291</v>
      </c>
      <c r="P24" s="22" t="s">
        <v>75</v>
      </c>
      <c r="Q24" s="24" t="s">
        <v>65</v>
      </c>
      <c r="R24" s="22" t="s">
        <v>292</v>
      </c>
      <c r="S24" s="22" t="s">
        <v>51</v>
      </c>
      <c r="T24" s="22" t="s">
        <v>52</v>
      </c>
      <c r="U24" s="22" t="s">
        <v>52</v>
      </c>
      <c r="V24" s="22" t="s">
        <v>52</v>
      </c>
      <c r="W24" s="18">
        <v>45847.0</v>
      </c>
      <c r="X24" s="20">
        <v>0.7361111111111112</v>
      </c>
      <c r="Y24" s="18">
        <v>45847.0</v>
      </c>
      <c r="Z24" s="20">
        <v>0.8020833333333334</v>
      </c>
      <c r="AA24" s="20">
        <v>0.8055555555555556</v>
      </c>
      <c r="AB24" s="29"/>
      <c r="AC24" s="29"/>
      <c r="AD24" s="25">
        <v>0.84375</v>
      </c>
      <c r="AE24" s="18">
        <v>45847.0</v>
      </c>
      <c r="AF24" s="22" t="s">
        <v>53</v>
      </c>
      <c r="AG24" s="22" t="s">
        <v>293</v>
      </c>
      <c r="AH24" s="22" t="s">
        <v>294</v>
      </c>
      <c r="AI24" s="26">
        <f t="shared" si="1"/>
        <v>0.1076388889</v>
      </c>
      <c r="AJ24" s="27">
        <f t="shared" si="2"/>
        <v>0</v>
      </c>
      <c r="AK24" s="28" t="str">
        <f t="shared" si="3"/>
        <v>Pass</v>
      </c>
    </row>
    <row r="25">
      <c r="A25" s="18">
        <v>45847.0</v>
      </c>
      <c r="B25" s="19"/>
      <c r="C25" s="18">
        <v>45847.0</v>
      </c>
      <c r="D25" s="20">
        <v>0.33541666666666664</v>
      </c>
      <c r="E25" s="21" t="s">
        <v>295</v>
      </c>
      <c r="F25" s="22" t="s">
        <v>296</v>
      </c>
      <c r="G25" s="22" t="s">
        <v>297</v>
      </c>
      <c r="H25" s="22" t="s">
        <v>298</v>
      </c>
      <c r="I25" s="22" t="s">
        <v>299</v>
      </c>
      <c r="J25" s="31"/>
      <c r="K25" s="22" t="s">
        <v>43</v>
      </c>
      <c r="L25" s="22" t="s">
        <v>300</v>
      </c>
      <c r="M25" s="22" t="s">
        <v>301</v>
      </c>
      <c r="N25" s="22" t="s">
        <v>302</v>
      </c>
      <c r="O25" s="23" t="s">
        <v>303</v>
      </c>
      <c r="P25" s="22" t="s">
        <v>187</v>
      </c>
      <c r="Q25" s="24" t="s">
        <v>65</v>
      </c>
      <c r="R25" s="22" t="s">
        <v>304</v>
      </c>
      <c r="S25" s="22" t="s">
        <v>51</v>
      </c>
      <c r="T25" s="22" t="s">
        <v>52</v>
      </c>
      <c r="U25" s="22" t="s">
        <v>52</v>
      </c>
      <c r="V25" s="22" t="s">
        <v>52</v>
      </c>
      <c r="W25" s="18">
        <v>45847.0</v>
      </c>
      <c r="X25" s="20">
        <v>0.33541666666666664</v>
      </c>
      <c r="Y25" s="18">
        <v>45847.0</v>
      </c>
      <c r="Z25" s="20">
        <v>0.7152777777777778</v>
      </c>
      <c r="AA25" s="20">
        <v>0.7222222222222222</v>
      </c>
      <c r="AB25" s="25">
        <v>0.33541666666666664</v>
      </c>
      <c r="AC25" s="25">
        <v>0.7222222222222222</v>
      </c>
      <c r="AD25" s="25">
        <v>0.875</v>
      </c>
      <c r="AE25" s="18">
        <v>45847.0</v>
      </c>
      <c r="AF25" s="22" t="s">
        <v>53</v>
      </c>
      <c r="AG25" s="22" t="s">
        <v>305</v>
      </c>
      <c r="AH25" s="22" t="s">
        <v>306</v>
      </c>
      <c r="AI25" s="26">
        <f t="shared" si="1"/>
        <v>0.1527777778</v>
      </c>
      <c r="AJ25" s="27">
        <f t="shared" si="2"/>
        <v>0</v>
      </c>
      <c r="AK25" s="28" t="str">
        <f t="shared" si="3"/>
        <v>Pass</v>
      </c>
    </row>
    <row r="26">
      <c r="A26" s="32">
        <v>45851.0</v>
      </c>
      <c r="B26" s="33"/>
      <c r="C26" s="32">
        <v>45851.0</v>
      </c>
      <c r="D26" s="34">
        <v>0.36736111111111114</v>
      </c>
      <c r="E26" s="35" t="s">
        <v>307</v>
      </c>
      <c r="F26" s="36" t="s">
        <v>259</v>
      </c>
      <c r="G26" s="36" t="s">
        <v>260</v>
      </c>
      <c r="H26" s="36" t="s">
        <v>308</v>
      </c>
      <c r="I26" s="36" t="s">
        <v>309</v>
      </c>
      <c r="J26" s="37"/>
      <c r="K26" s="36" t="s">
        <v>52</v>
      </c>
      <c r="L26" s="36" t="s">
        <v>52</v>
      </c>
      <c r="M26" s="36" t="s">
        <v>52</v>
      </c>
      <c r="N26" s="36" t="s">
        <v>310</v>
      </c>
      <c r="O26" s="38" t="s">
        <v>311</v>
      </c>
      <c r="P26" s="36" t="s">
        <v>187</v>
      </c>
      <c r="Q26" s="39" t="s">
        <v>65</v>
      </c>
      <c r="R26" s="36" t="s">
        <v>312</v>
      </c>
      <c r="S26" s="36" t="s">
        <v>51</v>
      </c>
      <c r="T26" s="36" t="s">
        <v>52</v>
      </c>
      <c r="U26" s="36" t="s">
        <v>52</v>
      </c>
      <c r="V26" s="36" t="s">
        <v>52</v>
      </c>
      <c r="W26" s="32">
        <v>45851.0</v>
      </c>
      <c r="X26" s="34">
        <v>0.36736111111111114</v>
      </c>
      <c r="Y26" s="32">
        <v>45851.0</v>
      </c>
      <c r="Z26" s="34">
        <v>0.39305555555555555</v>
      </c>
      <c r="AA26" s="34">
        <v>0.3958333333333333</v>
      </c>
      <c r="AB26" s="40"/>
      <c r="AC26" s="40"/>
      <c r="AD26" s="41">
        <v>0.4423611111111111</v>
      </c>
      <c r="AE26" s="32">
        <v>45851.0</v>
      </c>
      <c r="AF26" s="36" t="s">
        <v>53</v>
      </c>
      <c r="AG26" s="36" t="s">
        <v>313</v>
      </c>
      <c r="AH26" s="36" t="s">
        <v>314</v>
      </c>
      <c r="AI26" s="42">
        <f t="shared" si="1"/>
        <v>0.075</v>
      </c>
      <c r="AJ26" s="43">
        <f t="shared" si="2"/>
        <v>0</v>
      </c>
      <c r="AK26" s="44" t="str">
        <f t="shared" si="3"/>
        <v>Pass</v>
      </c>
    </row>
    <row r="27">
      <c r="A27" s="18">
        <v>45851.0</v>
      </c>
      <c r="B27" s="19"/>
      <c r="C27" s="18">
        <v>45851.0</v>
      </c>
      <c r="D27" s="20">
        <v>0.6215277777777778</v>
      </c>
      <c r="E27" s="21" t="s">
        <v>315</v>
      </c>
      <c r="F27" s="22" t="s">
        <v>316</v>
      </c>
      <c r="G27" s="22" t="s">
        <v>317</v>
      </c>
      <c r="H27" s="22" t="s">
        <v>318</v>
      </c>
      <c r="I27" s="22" t="s">
        <v>234</v>
      </c>
      <c r="J27" s="31"/>
      <c r="K27" s="22" t="s">
        <v>319</v>
      </c>
      <c r="L27" s="22" t="s">
        <v>204</v>
      </c>
      <c r="M27" s="22" t="s">
        <v>320</v>
      </c>
      <c r="N27" s="22" t="s">
        <v>321</v>
      </c>
      <c r="O27" s="23" t="s">
        <v>322</v>
      </c>
      <c r="P27" s="22" t="s">
        <v>187</v>
      </c>
      <c r="Q27" s="24" t="s">
        <v>65</v>
      </c>
      <c r="R27" s="21" t="s">
        <v>323</v>
      </c>
      <c r="S27" s="22" t="s">
        <v>51</v>
      </c>
      <c r="T27" s="22" t="s">
        <v>324</v>
      </c>
      <c r="U27" s="22" t="s">
        <v>325</v>
      </c>
      <c r="V27" s="22" t="s">
        <v>326</v>
      </c>
      <c r="W27" s="18">
        <v>45851.0</v>
      </c>
      <c r="X27" s="20">
        <v>0.6215277777777778</v>
      </c>
      <c r="Y27" s="18">
        <v>45851.0</v>
      </c>
      <c r="Z27" s="20">
        <v>0.7486111111111111</v>
      </c>
      <c r="AA27" s="20">
        <v>0.7493055555555556</v>
      </c>
      <c r="AB27" s="25">
        <v>0.7958333333333333</v>
      </c>
      <c r="AC27" s="25">
        <v>0.9097222222222222</v>
      </c>
      <c r="AD27" s="25">
        <v>0.1111111111111111</v>
      </c>
      <c r="AE27" s="18">
        <v>45852.0</v>
      </c>
      <c r="AF27" s="22" t="s">
        <v>53</v>
      </c>
      <c r="AG27" s="22" t="s">
        <v>327</v>
      </c>
      <c r="AH27" s="22" t="s">
        <v>328</v>
      </c>
      <c r="AI27" s="26">
        <f t="shared" si="1"/>
        <v>-0.6243055556</v>
      </c>
      <c r="AJ27" s="27">
        <f t="shared" si="2"/>
        <v>0</v>
      </c>
      <c r="AK27" s="28" t="str">
        <f t="shared" si="3"/>
        <v>Pass</v>
      </c>
    </row>
    <row r="28">
      <c r="A28" s="18">
        <v>45852.0</v>
      </c>
      <c r="B28" s="19"/>
      <c r="C28" s="18">
        <v>45852.0</v>
      </c>
      <c r="D28" s="20">
        <v>0.25</v>
      </c>
      <c r="E28" s="21" t="s">
        <v>329</v>
      </c>
      <c r="F28" s="22" t="s">
        <v>330</v>
      </c>
      <c r="G28" s="22" t="s">
        <v>331</v>
      </c>
      <c r="H28" s="22" t="s">
        <v>253</v>
      </c>
      <c r="I28" s="22" t="s">
        <v>332</v>
      </c>
      <c r="J28" s="31"/>
      <c r="K28" s="22" t="s">
        <v>333</v>
      </c>
      <c r="L28" s="22" t="s">
        <v>334</v>
      </c>
      <c r="M28" s="22" t="s">
        <v>335</v>
      </c>
      <c r="N28" s="22" t="s">
        <v>336</v>
      </c>
      <c r="O28" s="23" t="s">
        <v>337</v>
      </c>
      <c r="P28" s="22" t="s">
        <v>75</v>
      </c>
      <c r="Q28" s="24" t="s">
        <v>198</v>
      </c>
      <c r="R28" s="22" t="s">
        <v>338</v>
      </c>
      <c r="S28" s="22" t="s">
        <v>51</v>
      </c>
      <c r="T28" s="22" t="s">
        <v>52</v>
      </c>
      <c r="U28" s="22" t="s">
        <v>52</v>
      </c>
      <c r="V28" s="22" t="s">
        <v>52</v>
      </c>
      <c r="W28" s="18">
        <v>45852.0</v>
      </c>
      <c r="X28" s="20">
        <v>0.25</v>
      </c>
      <c r="Y28" s="18">
        <v>45852.0</v>
      </c>
      <c r="Z28" s="20">
        <v>0.23680555555555555</v>
      </c>
      <c r="AA28" s="20">
        <v>0.2708333333333333</v>
      </c>
      <c r="AB28" s="29"/>
      <c r="AC28" s="29"/>
      <c r="AD28" s="25">
        <v>0.3333333333333333</v>
      </c>
      <c r="AE28" s="18">
        <v>45852.0</v>
      </c>
      <c r="AF28" s="22" t="s">
        <v>53</v>
      </c>
      <c r="AG28" s="22" t="s">
        <v>151</v>
      </c>
      <c r="AH28" s="22" t="s">
        <v>339</v>
      </c>
      <c r="AI28" s="26">
        <f t="shared" si="1"/>
        <v>0.08333333333</v>
      </c>
      <c r="AJ28" s="27">
        <f t="shared" si="2"/>
        <v>0</v>
      </c>
      <c r="AK28" s="28" t="str">
        <f t="shared" si="3"/>
        <v>Pass</v>
      </c>
    </row>
    <row r="29">
      <c r="A29" s="18">
        <v>45852.0</v>
      </c>
      <c r="B29" s="19"/>
      <c r="C29" s="18">
        <v>45851.0</v>
      </c>
      <c r="D29" s="20">
        <v>0.3145833333333333</v>
      </c>
      <c r="E29" s="21" t="s">
        <v>340</v>
      </c>
      <c r="F29" s="22" t="s">
        <v>341</v>
      </c>
      <c r="G29" s="22" t="s">
        <v>342</v>
      </c>
      <c r="H29" s="22" t="s">
        <v>343</v>
      </c>
      <c r="I29" s="22" t="s">
        <v>344</v>
      </c>
      <c r="J29" s="31"/>
      <c r="K29" s="22" t="s">
        <v>333</v>
      </c>
      <c r="L29" s="22" t="s">
        <v>345</v>
      </c>
      <c r="M29" s="22" t="s">
        <v>346</v>
      </c>
      <c r="N29" s="22" t="s">
        <v>347</v>
      </c>
      <c r="O29" s="23" t="s">
        <v>348</v>
      </c>
      <c r="P29" s="22" t="s">
        <v>187</v>
      </c>
      <c r="Q29" s="24" t="s">
        <v>65</v>
      </c>
      <c r="R29" s="22" t="s">
        <v>349</v>
      </c>
      <c r="S29" s="22" t="s">
        <v>51</v>
      </c>
      <c r="T29" s="22" t="s">
        <v>52</v>
      </c>
      <c r="U29" s="22" t="s">
        <v>52</v>
      </c>
      <c r="V29" s="22" t="s">
        <v>52</v>
      </c>
      <c r="W29" s="18">
        <v>45851.0</v>
      </c>
      <c r="X29" s="20">
        <v>0.3145833333333333</v>
      </c>
      <c r="Y29" s="18">
        <v>45852.0</v>
      </c>
      <c r="Z29" s="20">
        <v>0.34305555555555556</v>
      </c>
      <c r="AA29" s="20">
        <v>0.34375</v>
      </c>
      <c r="AB29" s="29"/>
      <c r="AC29" s="29"/>
      <c r="AD29" s="25">
        <v>0.375</v>
      </c>
      <c r="AE29" s="18">
        <v>45852.0</v>
      </c>
      <c r="AF29" s="22" t="s">
        <v>53</v>
      </c>
      <c r="AG29" s="22" t="s">
        <v>151</v>
      </c>
      <c r="AH29" s="22" t="s">
        <v>350</v>
      </c>
      <c r="AI29" s="26">
        <f t="shared" si="1"/>
        <v>0.06041666667</v>
      </c>
      <c r="AJ29" s="27">
        <f t="shared" si="2"/>
        <v>0</v>
      </c>
      <c r="AK29" s="28" t="str">
        <f t="shared" si="3"/>
        <v>Pass</v>
      </c>
    </row>
    <row r="30">
      <c r="A30" s="18">
        <v>45852.0</v>
      </c>
      <c r="B30" s="19"/>
      <c r="C30" s="18">
        <v>45851.0</v>
      </c>
      <c r="D30" s="20">
        <v>0.3541666666666667</v>
      </c>
      <c r="E30" s="21" t="s">
        <v>351</v>
      </c>
      <c r="F30" s="22" t="s">
        <v>352</v>
      </c>
      <c r="G30" s="22" t="s">
        <v>353</v>
      </c>
      <c r="H30" s="22" t="s">
        <v>354</v>
      </c>
      <c r="I30" s="22" t="s">
        <v>355</v>
      </c>
      <c r="J30" s="31"/>
      <c r="K30" s="22" t="s">
        <v>143</v>
      </c>
      <c r="L30" s="22" t="s">
        <v>356</v>
      </c>
      <c r="M30" s="22" t="s">
        <v>357</v>
      </c>
      <c r="N30" s="22" t="s">
        <v>358</v>
      </c>
      <c r="O30" s="23" t="s">
        <v>359</v>
      </c>
      <c r="P30" s="22" t="s">
        <v>75</v>
      </c>
      <c r="Q30" s="24" t="s">
        <v>65</v>
      </c>
      <c r="R30" s="22" t="s">
        <v>360</v>
      </c>
      <c r="S30" s="22" t="s">
        <v>51</v>
      </c>
      <c r="T30" s="22" t="s">
        <v>52</v>
      </c>
      <c r="U30" s="22" t="s">
        <v>52</v>
      </c>
      <c r="V30" s="22" t="s">
        <v>52</v>
      </c>
      <c r="W30" s="18">
        <v>45851.0</v>
      </c>
      <c r="X30" s="20">
        <v>0.3541666666666667</v>
      </c>
      <c r="Y30" s="18">
        <v>45852.0</v>
      </c>
      <c r="Z30" s="20">
        <v>0.3909722222222222</v>
      </c>
      <c r="AA30" s="20">
        <v>0.3958333333333333</v>
      </c>
      <c r="AB30" s="29"/>
      <c r="AC30" s="29"/>
      <c r="AD30" s="25">
        <v>0.4583333333333333</v>
      </c>
      <c r="AE30" s="18">
        <v>45852.0</v>
      </c>
      <c r="AF30" s="22" t="s">
        <v>53</v>
      </c>
      <c r="AG30" s="22" t="s">
        <v>151</v>
      </c>
      <c r="AH30" s="22" t="s">
        <v>361</v>
      </c>
      <c r="AI30" s="26">
        <f t="shared" si="1"/>
        <v>0.1041666667</v>
      </c>
      <c r="AJ30" s="27">
        <f t="shared" si="2"/>
        <v>0</v>
      </c>
      <c r="AK30" s="28" t="str">
        <f t="shared" si="3"/>
        <v>Pass</v>
      </c>
    </row>
    <row r="31">
      <c r="A31" s="45">
        <v>45852.0</v>
      </c>
      <c r="B31" s="46"/>
      <c r="C31" s="45">
        <v>45852.0</v>
      </c>
      <c r="D31" s="20">
        <v>0.46041666666666664</v>
      </c>
      <c r="E31" s="21" t="s">
        <v>362</v>
      </c>
      <c r="F31" s="21" t="s">
        <v>363</v>
      </c>
      <c r="G31" s="21" t="s">
        <v>364</v>
      </c>
      <c r="H31" s="21" t="s">
        <v>40</v>
      </c>
      <c r="I31" s="21" t="s">
        <v>365</v>
      </c>
      <c r="J31" s="47"/>
      <c r="K31" s="21" t="s">
        <v>333</v>
      </c>
      <c r="L31" s="21" t="s">
        <v>334</v>
      </c>
      <c r="M31" s="21" t="s">
        <v>366</v>
      </c>
      <c r="N31" s="21" t="s">
        <v>367</v>
      </c>
      <c r="O31" s="48" t="s">
        <v>368</v>
      </c>
      <c r="P31" s="22" t="s">
        <v>75</v>
      </c>
      <c r="Q31" s="24" t="s">
        <v>49</v>
      </c>
      <c r="R31" s="21" t="s">
        <v>369</v>
      </c>
      <c r="S31" s="21" t="s">
        <v>51</v>
      </c>
      <c r="T31" s="21" t="s">
        <v>324</v>
      </c>
      <c r="U31" s="21" t="s">
        <v>370</v>
      </c>
      <c r="V31" s="21" t="s">
        <v>371</v>
      </c>
      <c r="W31" s="45">
        <v>45852.0</v>
      </c>
      <c r="X31" s="49">
        <v>0.46041666666666664</v>
      </c>
      <c r="Y31" s="45">
        <v>45852.0</v>
      </c>
      <c r="Z31" s="49">
        <v>0.5381944444444444</v>
      </c>
      <c r="AA31" s="49">
        <v>0.5416666666666666</v>
      </c>
      <c r="AB31" s="25">
        <v>0.5208333333333334</v>
      </c>
      <c r="AC31" s="25">
        <v>0.8125</v>
      </c>
      <c r="AD31" s="25">
        <v>0.05486111111111111</v>
      </c>
      <c r="AE31" s="45">
        <v>45853.0</v>
      </c>
      <c r="AF31" s="21" t="s">
        <v>53</v>
      </c>
      <c r="AG31" s="21" t="s">
        <v>372</v>
      </c>
      <c r="AH31" s="21" t="s">
        <v>373</v>
      </c>
      <c r="AI31" s="26">
        <f t="shared" si="1"/>
        <v>-0.6972222222</v>
      </c>
      <c r="AJ31" s="27">
        <f t="shared" si="2"/>
        <v>0</v>
      </c>
      <c r="AK31" s="28" t="str">
        <f t="shared" si="3"/>
        <v>Pass</v>
      </c>
    </row>
    <row r="32">
      <c r="A32" s="18">
        <v>45852.0</v>
      </c>
      <c r="B32" s="46"/>
      <c r="C32" s="45">
        <v>45852.0</v>
      </c>
      <c r="D32" s="20">
        <v>0.5965277777777778</v>
      </c>
      <c r="E32" s="21" t="s">
        <v>374</v>
      </c>
      <c r="F32" s="22" t="s">
        <v>375</v>
      </c>
      <c r="G32" s="22" t="s">
        <v>376</v>
      </c>
      <c r="H32" s="22" t="s">
        <v>377</v>
      </c>
      <c r="I32" s="22" t="s">
        <v>60</v>
      </c>
      <c r="J32" s="31"/>
      <c r="K32" s="22" t="s">
        <v>61</v>
      </c>
      <c r="L32" s="22" t="s">
        <v>183</v>
      </c>
      <c r="M32" s="22" t="s">
        <v>378</v>
      </c>
      <c r="N32" s="22" t="s">
        <v>379</v>
      </c>
      <c r="O32" s="23" t="s">
        <v>380</v>
      </c>
      <c r="P32" s="22" t="s">
        <v>187</v>
      </c>
      <c r="Q32" s="24" t="s">
        <v>65</v>
      </c>
      <c r="R32" s="22" t="s">
        <v>381</v>
      </c>
      <c r="S32" s="22" t="s">
        <v>51</v>
      </c>
      <c r="T32" s="22" t="s">
        <v>52</v>
      </c>
      <c r="U32" s="22" t="s">
        <v>52</v>
      </c>
      <c r="V32" s="22" t="s">
        <v>52</v>
      </c>
      <c r="W32" s="18">
        <v>45852.0</v>
      </c>
      <c r="X32" s="20">
        <v>0.5965277777777778</v>
      </c>
      <c r="Y32" s="18">
        <v>45852.0</v>
      </c>
      <c r="Z32" s="20">
        <v>0.6465277777777778</v>
      </c>
      <c r="AA32" s="20">
        <v>0.6527777777777778</v>
      </c>
      <c r="AB32" s="29"/>
      <c r="AC32" s="29"/>
      <c r="AD32" s="25">
        <v>0.7916666666666666</v>
      </c>
      <c r="AE32" s="18">
        <v>45852.0</v>
      </c>
      <c r="AF32" s="22" t="s">
        <v>53</v>
      </c>
      <c r="AG32" s="22" t="s">
        <v>382</v>
      </c>
      <c r="AH32" s="22" t="s">
        <v>383</v>
      </c>
      <c r="AI32" s="26">
        <f t="shared" si="1"/>
        <v>0.1951388889</v>
      </c>
      <c r="AJ32" s="27">
        <f t="shared" si="2"/>
        <v>0</v>
      </c>
      <c r="AK32" s="28" t="str">
        <f t="shared" si="3"/>
        <v>Pass</v>
      </c>
    </row>
    <row r="33">
      <c r="A33" s="45">
        <v>45852.0</v>
      </c>
      <c r="B33" s="46"/>
      <c r="C33" s="45">
        <v>45852.0</v>
      </c>
      <c r="D33" s="20">
        <v>0.5152777777777777</v>
      </c>
      <c r="E33" s="21" t="s">
        <v>384</v>
      </c>
      <c r="F33" s="21" t="s">
        <v>116</v>
      </c>
      <c r="G33" s="21" t="s">
        <v>117</v>
      </c>
      <c r="H33" s="21" t="s">
        <v>253</v>
      </c>
      <c r="I33" s="21" t="s">
        <v>385</v>
      </c>
      <c r="J33" s="47"/>
      <c r="K33" s="21" t="s">
        <v>386</v>
      </c>
      <c r="L33" s="21" t="s">
        <v>387</v>
      </c>
      <c r="M33" s="21" t="s">
        <v>388</v>
      </c>
      <c r="N33" s="21" t="s">
        <v>389</v>
      </c>
      <c r="O33" s="48" t="s">
        <v>390</v>
      </c>
      <c r="P33" s="22" t="s">
        <v>187</v>
      </c>
      <c r="Q33" s="24" t="s">
        <v>198</v>
      </c>
      <c r="R33" s="21" t="s">
        <v>391</v>
      </c>
      <c r="S33" s="21" t="s">
        <v>51</v>
      </c>
      <c r="T33" s="21" t="s">
        <v>52</v>
      </c>
      <c r="U33" s="21" t="s">
        <v>52</v>
      </c>
      <c r="V33" s="21" t="s">
        <v>52</v>
      </c>
      <c r="W33" s="18">
        <v>45852.0</v>
      </c>
      <c r="X33" s="20">
        <v>0.5152777777777777</v>
      </c>
      <c r="Y33" s="18">
        <v>45853.0</v>
      </c>
      <c r="Z33" s="49">
        <v>0.006944444444444444</v>
      </c>
      <c r="AA33" s="49">
        <v>0.020833333333333332</v>
      </c>
      <c r="AB33" s="25">
        <v>0.5152777777777777</v>
      </c>
      <c r="AC33" s="25">
        <v>0.006944444444444444</v>
      </c>
      <c r="AD33" s="25">
        <v>0.10416666666666667</v>
      </c>
      <c r="AE33" s="45">
        <v>45853.0</v>
      </c>
      <c r="AF33" s="21" t="s">
        <v>53</v>
      </c>
      <c r="AG33" s="21" t="s">
        <v>392</v>
      </c>
      <c r="AH33" s="21" t="s">
        <v>393</v>
      </c>
      <c r="AI33" s="26">
        <f t="shared" si="1"/>
        <v>0.09722222222</v>
      </c>
      <c r="AJ33" s="27">
        <f t="shared" si="2"/>
        <v>0</v>
      </c>
      <c r="AK33" s="28" t="str">
        <f t="shared" si="3"/>
        <v>Pass</v>
      </c>
    </row>
    <row r="34">
      <c r="A34" s="45">
        <v>45853.0</v>
      </c>
      <c r="B34" s="46"/>
      <c r="C34" s="45">
        <v>45853.0</v>
      </c>
      <c r="D34" s="20">
        <v>0.37222222222222223</v>
      </c>
      <c r="E34" s="21" t="s">
        <v>394</v>
      </c>
      <c r="F34" s="21" t="s">
        <v>212</v>
      </c>
      <c r="G34" s="21" t="s">
        <v>213</v>
      </c>
      <c r="H34" s="21" t="s">
        <v>377</v>
      </c>
      <c r="I34" s="21" t="s">
        <v>395</v>
      </c>
      <c r="J34" s="47"/>
      <c r="K34" s="21" t="s">
        <v>61</v>
      </c>
      <c r="L34" s="21" t="s">
        <v>183</v>
      </c>
      <c r="M34" s="21" t="s">
        <v>396</v>
      </c>
      <c r="N34" s="21" t="s">
        <v>397</v>
      </c>
      <c r="O34" s="48" t="s">
        <v>398</v>
      </c>
      <c r="P34" s="22" t="s">
        <v>75</v>
      </c>
      <c r="Q34" s="24" t="s">
        <v>49</v>
      </c>
      <c r="R34" s="21" t="s">
        <v>399</v>
      </c>
      <c r="S34" s="21" t="s">
        <v>51</v>
      </c>
      <c r="T34" s="21" t="s">
        <v>52</v>
      </c>
      <c r="U34" s="21" t="s">
        <v>52</v>
      </c>
      <c r="V34" s="21" t="s">
        <v>52</v>
      </c>
      <c r="W34" s="45">
        <v>45853.0</v>
      </c>
      <c r="X34" s="49">
        <v>0.37222222222222223</v>
      </c>
      <c r="Y34" s="45">
        <v>45853.0</v>
      </c>
      <c r="Z34" s="49">
        <v>0.4305555555555556</v>
      </c>
      <c r="AA34" s="49">
        <v>0.4340277777777778</v>
      </c>
      <c r="AB34" s="25">
        <v>0.4444444444444444</v>
      </c>
      <c r="AC34" s="25">
        <v>0.4930555555555556</v>
      </c>
      <c r="AD34" s="25">
        <v>0.5138888888888888</v>
      </c>
      <c r="AE34" s="45">
        <v>45853.0</v>
      </c>
      <c r="AF34" s="21" t="s">
        <v>53</v>
      </c>
      <c r="AG34" s="21" t="s">
        <v>54</v>
      </c>
      <c r="AH34" s="21" t="s">
        <v>400</v>
      </c>
      <c r="AI34" s="26">
        <f t="shared" si="1"/>
        <v>0.09305555556</v>
      </c>
      <c r="AJ34" s="27">
        <f t="shared" si="2"/>
        <v>0</v>
      </c>
      <c r="AK34" s="28" t="str">
        <f t="shared" si="3"/>
        <v>Pass</v>
      </c>
    </row>
    <row r="35">
      <c r="A35" s="45">
        <v>45853.0</v>
      </c>
      <c r="B35" s="46"/>
      <c r="C35" s="45">
        <v>45853.0</v>
      </c>
      <c r="D35" s="20">
        <v>0.3138888888888889</v>
      </c>
      <c r="E35" s="21" t="s">
        <v>401</v>
      </c>
      <c r="F35" s="21" t="s">
        <v>363</v>
      </c>
      <c r="G35" s="21" t="s">
        <v>364</v>
      </c>
      <c r="H35" s="21" t="s">
        <v>402</v>
      </c>
      <c r="I35" s="21" t="s">
        <v>395</v>
      </c>
      <c r="J35" s="47"/>
      <c r="K35" s="21" t="s">
        <v>43</v>
      </c>
      <c r="L35" s="21" t="s">
        <v>204</v>
      </c>
      <c r="M35" s="21" t="s">
        <v>403</v>
      </c>
      <c r="N35" s="21" t="s">
        <v>404</v>
      </c>
      <c r="O35" s="48" t="s">
        <v>405</v>
      </c>
      <c r="P35" s="22" t="s">
        <v>187</v>
      </c>
      <c r="Q35" s="24" t="s">
        <v>49</v>
      </c>
      <c r="R35" s="21" t="s">
        <v>406</v>
      </c>
      <c r="S35" s="21" t="s">
        <v>51</v>
      </c>
      <c r="T35" s="21" t="s">
        <v>52</v>
      </c>
      <c r="U35" s="21" t="s">
        <v>52</v>
      </c>
      <c r="V35" s="21" t="s">
        <v>52</v>
      </c>
      <c r="W35" s="45">
        <v>45853.0</v>
      </c>
      <c r="X35" s="49">
        <v>0.3138888888888889</v>
      </c>
      <c r="Y35" s="45">
        <v>45853.0</v>
      </c>
      <c r="Z35" s="49">
        <v>0.4097222222222222</v>
      </c>
      <c r="AA35" s="49">
        <v>0.41041666666666665</v>
      </c>
      <c r="AB35" s="29"/>
      <c r="AC35" s="29"/>
      <c r="AD35" s="25">
        <v>0.4305555555555556</v>
      </c>
      <c r="AE35" s="45">
        <v>45853.0</v>
      </c>
      <c r="AF35" s="21" t="s">
        <v>53</v>
      </c>
      <c r="AG35" s="21" t="s">
        <v>89</v>
      </c>
      <c r="AH35" s="21" t="s">
        <v>407</v>
      </c>
      <c r="AI35" s="26">
        <f t="shared" si="1"/>
        <v>0.1166666667</v>
      </c>
      <c r="AJ35" s="27">
        <f t="shared" si="2"/>
        <v>0</v>
      </c>
      <c r="AK35" s="28" t="str">
        <f t="shared" si="3"/>
        <v>Pass</v>
      </c>
    </row>
    <row r="36">
      <c r="A36" s="45">
        <v>45853.0</v>
      </c>
      <c r="B36" s="46"/>
      <c r="C36" s="45">
        <v>45853.0</v>
      </c>
      <c r="D36" s="20">
        <v>0.4215277777777778</v>
      </c>
      <c r="E36" s="21" t="s">
        <v>408</v>
      </c>
      <c r="F36" s="21" t="s">
        <v>251</v>
      </c>
      <c r="G36" s="21" t="s">
        <v>409</v>
      </c>
      <c r="H36" s="21" t="s">
        <v>410</v>
      </c>
      <c r="I36" s="21" t="s">
        <v>194</v>
      </c>
      <c r="J36" s="47"/>
      <c r="K36" s="21" t="s">
        <v>411</v>
      </c>
      <c r="L36" s="21" t="s">
        <v>412</v>
      </c>
      <c r="M36" s="21" t="s">
        <v>413</v>
      </c>
      <c r="N36" s="21" t="s">
        <v>414</v>
      </c>
      <c r="O36" s="48" t="s">
        <v>415</v>
      </c>
      <c r="P36" s="22" t="s">
        <v>75</v>
      </c>
      <c r="Q36" s="24" t="s">
        <v>49</v>
      </c>
      <c r="R36" s="21" t="s">
        <v>416</v>
      </c>
      <c r="S36" s="21" t="s">
        <v>51</v>
      </c>
      <c r="T36" s="21" t="s">
        <v>52</v>
      </c>
      <c r="U36" s="21" t="s">
        <v>52</v>
      </c>
      <c r="V36" s="21" t="s">
        <v>52</v>
      </c>
      <c r="W36" s="45">
        <v>45853.0</v>
      </c>
      <c r="X36" s="49">
        <v>0.4215277777777778</v>
      </c>
      <c r="Y36" s="45">
        <v>45853.0</v>
      </c>
      <c r="Z36" s="49">
        <v>0.45416666666666666</v>
      </c>
      <c r="AA36" s="49">
        <v>0.4583333333333333</v>
      </c>
      <c r="AB36" s="29"/>
      <c r="AC36" s="29"/>
      <c r="AD36" s="25">
        <v>0.5</v>
      </c>
      <c r="AE36" s="45">
        <v>45853.0</v>
      </c>
      <c r="AF36" s="21" t="s">
        <v>53</v>
      </c>
      <c r="AG36" s="21" t="s">
        <v>313</v>
      </c>
      <c r="AH36" s="21" t="s">
        <v>417</v>
      </c>
      <c r="AI36" s="26">
        <f t="shared" si="1"/>
        <v>0.07847222222</v>
      </c>
      <c r="AJ36" s="27">
        <f t="shared" si="2"/>
        <v>0</v>
      </c>
      <c r="AK36" s="28" t="str">
        <f t="shared" si="3"/>
        <v>Pass</v>
      </c>
    </row>
    <row r="37">
      <c r="A37" s="45">
        <v>45853.0</v>
      </c>
      <c r="B37" s="46"/>
      <c r="C37" s="45">
        <v>45853.0</v>
      </c>
      <c r="D37" s="20">
        <v>0.37222222222222223</v>
      </c>
      <c r="E37" s="21" t="s">
        <v>418</v>
      </c>
      <c r="F37" s="21" t="s">
        <v>212</v>
      </c>
      <c r="G37" s="21" t="s">
        <v>213</v>
      </c>
      <c r="H37" s="21" t="s">
        <v>419</v>
      </c>
      <c r="I37" s="21" t="s">
        <v>420</v>
      </c>
      <c r="J37" s="47"/>
      <c r="K37" s="21" t="s">
        <v>421</v>
      </c>
      <c r="L37" s="21" t="s">
        <v>421</v>
      </c>
      <c r="M37" s="21" t="s">
        <v>422</v>
      </c>
      <c r="N37" s="21" t="s">
        <v>419</v>
      </c>
      <c r="O37" s="48" t="s">
        <v>423</v>
      </c>
      <c r="P37" s="22" t="s">
        <v>48</v>
      </c>
      <c r="Q37" s="24" t="s">
        <v>49</v>
      </c>
      <c r="R37" s="21" t="s">
        <v>424</v>
      </c>
      <c r="S37" s="21" t="s">
        <v>51</v>
      </c>
      <c r="T37" s="21" t="s">
        <v>52</v>
      </c>
      <c r="U37" s="21" t="s">
        <v>52</v>
      </c>
      <c r="V37" s="21" t="s">
        <v>52</v>
      </c>
      <c r="W37" s="45">
        <v>45853.0</v>
      </c>
      <c r="X37" s="49">
        <v>0.37222222222222223</v>
      </c>
      <c r="Y37" s="45">
        <v>45853.0</v>
      </c>
      <c r="Z37" s="49">
        <v>0.4305555555555556</v>
      </c>
      <c r="AA37" s="49">
        <v>0.4340277777777778</v>
      </c>
      <c r="AB37" s="25">
        <v>0.4444444444444444</v>
      </c>
      <c r="AC37" s="25">
        <v>0.4930555555555556</v>
      </c>
      <c r="AD37" s="25">
        <v>0.5138888888888888</v>
      </c>
      <c r="AE37" s="45">
        <v>45853.0</v>
      </c>
      <c r="AF37" s="21" t="s">
        <v>53</v>
      </c>
      <c r="AG37" s="21" t="s">
        <v>54</v>
      </c>
      <c r="AH37" s="21" t="s">
        <v>400</v>
      </c>
      <c r="AI37" s="26">
        <f t="shared" si="1"/>
        <v>0.09305555556</v>
      </c>
      <c r="AJ37" s="27">
        <f t="shared" si="2"/>
        <v>0</v>
      </c>
      <c r="AK37" s="28" t="str">
        <f t="shared" si="3"/>
        <v>Pass</v>
      </c>
    </row>
    <row r="38">
      <c r="A38" s="18">
        <v>45853.0</v>
      </c>
      <c r="B38" s="46"/>
      <c r="C38" s="45">
        <v>45853.0</v>
      </c>
      <c r="D38" s="20">
        <v>0.4041666666666667</v>
      </c>
      <c r="E38" s="21" t="s">
        <v>425</v>
      </c>
      <c r="F38" s="21" t="s">
        <v>426</v>
      </c>
      <c r="G38" s="21" t="s">
        <v>427</v>
      </c>
      <c r="H38" s="22" t="s">
        <v>428</v>
      </c>
      <c r="I38" s="22" t="s">
        <v>60</v>
      </c>
      <c r="J38" s="31"/>
      <c r="K38" s="22" t="s">
        <v>61</v>
      </c>
      <c r="L38" s="22" t="s">
        <v>429</v>
      </c>
      <c r="M38" s="22" t="s">
        <v>430</v>
      </c>
      <c r="N38" s="22" t="s">
        <v>431</v>
      </c>
      <c r="O38" s="23" t="s">
        <v>432</v>
      </c>
      <c r="P38" s="22" t="s">
        <v>75</v>
      </c>
      <c r="Q38" s="24" t="s">
        <v>65</v>
      </c>
      <c r="R38" s="22" t="s">
        <v>433</v>
      </c>
      <c r="S38" s="22" t="s">
        <v>51</v>
      </c>
      <c r="T38" s="21" t="s">
        <v>52</v>
      </c>
      <c r="U38" s="21" t="s">
        <v>52</v>
      </c>
      <c r="V38" s="21" t="s">
        <v>52</v>
      </c>
      <c r="W38" s="18">
        <v>45853.0</v>
      </c>
      <c r="X38" s="20">
        <v>0.4041666666666667</v>
      </c>
      <c r="Y38" s="18">
        <v>45853.0</v>
      </c>
      <c r="Z38" s="20">
        <v>0.525</v>
      </c>
      <c r="AA38" s="20">
        <v>0.5277777777777778</v>
      </c>
      <c r="AB38" s="29"/>
      <c r="AC38" s="29"/>
      <c r="AD38" s="25">
        <v>0.5597222222222222</v>
      </c>
      <c r="AE38" s="45">
        <v>45853.0</v>
      </c>
      <c r="AF38" s="21" t="s">
        <v>53</v>
      </c>
      <c r="AG38" s="31"/>
      <c r="AH38" s="31"/>
      <c r="AI38" s="26">
        <f t="shared" si="1"/>
        <v>0.1555555556</v>
      </c>
      <c r="AJ38" s="27">
        <f t="shared" si="2"/>
        <v>0</v>
      </c>
      <c r="AK38" s="28" t="str">
        <f t="shared" si="3"/>
        <v>Pass</v>
      </c>
    </row>
    <row r="39">
      <c r="A39" s="18">
        <v>45853.0</v>
      </c>
      <c r="B39" s="19"/>
      <c r="C39" s="18">
        <v>45856.0</v>
      </c>
      <c r="D39" s="20">
        <v>0.7104166666666667</v>
      </c>
      <c r="E39" s="21" t="s">
        <v>434</v>
      </c>
      <c r="F39" s="22" t="s">
        <v>435</v>
      </c>
      <c r="G39" s="22" t="s">
        <v>436</v>
      </c>
      <c r="H39" s="22" t="s">
        <v>253</v>
      </c>
      <c r="I39" s="22" t="s">
        <v>437</v>
      </c>
      <c r="J39" s="31"/>
      <c r="K39" s="22" t="s">
        <v>43</v>
      </c>
      <c r="L39" s="31"/>
      <c r="M39" s="22" t="s">
        <v>438</v>
      </c>
      <c r="N39" s="22" t="s">
        <v>439</v>
      </c>
      <c r="O39" s="23" t="s">
        <v>440</v>
      </c>
      <c r="P39" s="22" t="s">
        <v>75</v>
      </c>
      <c r="Q39" s="24" t="s">
        <v>65</v>
      </c>
      <c r="R39" s="21" t="s">
        <v>441</v>
      </c>
      <c r="S39" s="22" t="s">
        <v>51</v>
      </c>
      <c r="T39" s="21" t="s">
        <v>52</v>
      </c>
      <c r="U39" s="21" t="s">
        <v>52</v>
      </c>
      <c r="V39" s="21" t="s">
        <v>52</v>
      </c>
      <c r="W39" s="18">
        <v>45856.0</v>
      </c>
      <c r="X39" s="20">
        <v>0.7104166666666667</v>
      </c>
      <c r="Y39" s="18">
        <v>45856.0</v>
      </c>
      <c r="Z39" s="20">
        <v>0.96875</v>
      </c>
      <c r="AA39" s="20">
        <v>0.08333333333333333</v>
      </c>
      <c r="AB39" s="29"/>
      <c r="AC39" s="29"/>
      <c r="AD39" s="25">
        <v>0.20833333333333334</v>
      </c>
      <c r="AE39" s="18">
        <v>45857.0</v>
      </c>
      <c r="AF39" s="22" t="s">
        <v>53</v>
      </c>
      <c r="AG39" s="22" t="s">
        <v>151</v>
      </c>
      <c r="AH39" s="22" t="s">
        <v>442</v>
      </c>
      <c r="AI39" s="26">
        <f t="shared" si="1"/>
        <v>-0.5020833333</v>
      </c>
      <c r="AJ39" s="27">
        <f t="shared" si="2"/>
        <v>0</v>
      </c>
      <c r="AK39" s="28" t="str">
        <f t="shared" si="3"/>
        <v>Pass</v>
      </c>
    </row>
    <row r="40">
      <c r="A40" s="45">
        <v>45853.0</v>
      </c>
      <c r="B40" s="46"/>
      <c r="C40" s="45">
        <v>45853.0</v>
      </c>
      <c r="D40" s="20">
        <v>0.9166666666666666</v>
      </c>
      <c r="E40" s="21" t="s">
        <v>443</v>
      </c>
      <c r="F40" s="21" t="s">
        <v>444</v>
      </c>
      <c r="G40" s="21" t="s">
        <v>445</v>
      </c>
      <c r="H40" s="21" t="s">
        <v>253</v>
      </c>
      <c r="I40" s="21" t="s">
        <v>437</v>
      </c>
      <c r="J40" s="31"/>
      <c r="K40" s="22" t="s">
        <v>43</v>
      </c>
      <c r="L40" s="21" t="s">
        <v>204</v>
      </c>
      <c r="M40" s="21" t="s">
        <v>446</v>
      </c>
      <c r="N40" s="21" t="s">
        <v>447</v>
      </c>
      <c r="O40" s="48" t="s">
        <v>448</v>
      </c>
      <c r="P40" s="21" t="s">
        <v>75</v>
      </c>
      <c r="Q40" s="24" t="s">
        <v>449</v>
      </c>
      <c r="R40" s="21" t="s">
        <v>450</v>
      </c>
      <c r="S40" s="21" t="s">
        <v>51</v>
      </c>
      <c r="T40" s="21" t="s">
        <v>52</v>
      </c>
      <c r="U40" s="21" t="s">
        <v>52</v>
      </c>
      <c r="V40" s="21" t="s">
        <v>52</v>
      </c>
      <c r="W40" s="45">
        <v>45853.0</v>
      </c>
      <c r="X40" s="49">
        <v>0.9166666666666666</v>
      </c>
      <c r="Y40" s="45">
        <v>45855.0</v>
      </c>
      <c r="Z40" s="49">
        <v>0.8958333333333334</v>
      </c>
      <c r="AA40" s="49">
        <v>0.9166666666666666</v>
      </c>
      <c r="AB40" s="29"/>
      <c r="AC40" s="29"/>
      <c r="AD40" s="25">
        <v>0.0625</v>
      </c>
      <c r="AE40" s="45">
        <v>45855.0</v>
      </c>
      <c r="AF40" s="21" t="s">
        <v>53</v>
      </c>
      <c r="AG40" s="21" t="s">
        <v>451</v>
      </c>
      <c r="AH40" s="21" t="s">
        <v>452</v>
      </c>
      <c r="AI40" s="26">
        <f t="shared" si="1"/>
        <v>-0.8541666667</v>
      </c>
      <c r="AJ40" s="27">
        <f t="shared" si="2"/>
        <v>0</v>
      </c>
      <c r="AK40" s="28" t="str">
        <f t="shared" si="3"/>
        <v>Pass</v>
      </c>
    </row>
    <row r="41">
      <c r="A41" s="18">
        <v>45853.0</v>
      </c>
      <c r="B41" s="46"/>
      <c r="C41" s="45">
        <v>45853.0</v>
      </c>
      <c r="D41" s="20">
        <v>0.6236111111111111</v>
      </c>
      <c r="E41" s="21" t="s">
        <v>453</v>
      </c>
      <c r="F41" s="21" t="s">
        <v>251</v>
      </c>
      <c r="G41" s="21" t="s">
        <v>409</v>
      </c>
      <c r="H41" s="22" t="s">
        <v>454</v>
      </c>
      <c r="I41" s="22" t="s">
        <v>455</v>
      </c>
      <c r="J41" s="31"/>
      <c r="K41" s="22" t="s">
        <v>43</v>
      </c>
      <c r="L41" s="22" t="s">
        <v>456</v>
      </c>
      <c r="M41" s="22" t="s">
        <v>457</v>
      </c>
      <c r="N41" s="22" t="s">
        <v>458</v>
      </c>
      <c r="O41" s="23" t="s">
        <v>459</v>
      </c>
      <c r="P41" s="22" t="s">
        <v>187</v>
      </c>
      <c r="Q41" s="24" t="s">
        <v>65</v>
      </c>
      <c r="R41" s="22" t="s">
        <v>460</v>
      </c>
      <c r="S41" s="22" t="s">
        <v>51</v>
      </c>
      <c r="T41" s="21" t="s">
        <v>52</v>
      </c>
      <c r="U41" s="21" t="s">
        <v>52</v>
      </c>
      <c r="V41" s="21" t="s">
        <v>52</v>
      </c>
      <c r="W41" s="18">
        <v>45853.0</v>
      </c>
      <c r="X41" s="20">
        <v>0.6236111111111111</v>
      </c>
      <c r="Y41" s="18">
        <v>45853.0</v>
      </c>
      <c r="Z41" s="20">
        <v>0.6944444444444444</v>
      </c>
      <c r="AA41" s="20">
        <v>0.6993055555555555</v>
      </c>
      <c r="AB41" s="29"/>
      <c r="AC41" s="29"/>
      <c r="AD41" s="25">
        <v>0.8125</v>
      </c>
      <c r="AE41" s="45">
        <v>45853.0</v>
      </c>
      <c r="AF41" s="21" t="s">
        <v>53</v>
      </c>
      <c r="AG41" s="22" t="s">
        <v>313</v>
      </c>
      <c r="AH41" s="22" t="s">
        <v>461</v>
      </c>
      <c r="AI41" s="26">
        <f t="shared" si="1"/>
        <v>0.1888888889</v>
      </c>
      <c r="AJ41" s="27">
        <f t="shared" si="2"/>
        <v>0</v>
      </c>
      <c r="AK41" s="28" t="str">
        <f t="shared" si="3"/>
        <v>Pass</v>
      </c>
    </row>
    <row r="42">
      <c r="A42" s="18">
        <v>45853.0</v>
      </c>
      <c r="B42" s="46"/>
      <c r="C42" s="45">
        <v>45853.0</v>
      </c>
      <c r="D42" s="20">
        <v>0.7375</v>
      </c>
      <c r="E42" s="21" t="s">
        <v>462</v>
      </c>
      <c r="F42" s="21" t="s">
        <v>463</v>
      </c>
      <c r="G42" s="21" t="s">
        <v>464</v>
      </c>
      <c r="H42" s="22" t="s">
        <v>465</v>
      </c>
      <c r="I42" s="22" t="s">
        <v>437</v>
      </c>
      <c r="J42" s="31"/>
      <c r="K42" s="22" t="s">
        <v>61</v>
      </c>
      <c r="L42" s="22" t="s">
        <v>466</v>
      </c>
      <c r="M42" s="22" t="s">
        <v>467</v>
      </c>
      <c r="N42" s="22" t="s">
        <v>468</v>
      </c>
      <c r="O42" s="23" t="s">
        <v>469</v>
      </c>
      <c r="P42" s="22" t="s">
        <v>75</v>
      </c>
      <c r="Q42" s="24" t="s">
        <v>65</v>
      </c>
      <c r="R42" s="22" t="s">
        <v>470</v>
      </c>
      <c r="S42" s="22" t="s">
        <v>51</v>
      </c>
      <c r="T42" s="21" t="s">
        <v>52</v>
      </c>
      <c r="U42" s="21" t="s">
        <v>52</v>
      </c>
      <c r="V42" s="21" t="s">
        <v>52</v>
      </c>
      <c r="W42" s="18">
        <v>45853.0</v>
      </c>
      <c r="X42" s="20">
        <v>0.7375</v>
      </c>
      <c r="Y42" s="18">
        <v>45853.0</v>
      </c>
      <c r="Z42" s="20">
        <v>0.8395833333333333</v>
      </c>
      <c r="AA42" s="20">
        <v>0.8416666666666667</v>
      </c>
      <c r="AB42" s="29"/>
      <c r="AC42" s="29"/>
      <c r="AD42" s="25">
        <v>0.9409722222222222</v>
      </c>
      <c r="AE42" s="45">
        <v>45853.0</v>
      </c>
      <c r="AF42" s="21" t="s">
        <v>53</v>
      </c>
      <c r="AG42" s="22" t="s">
        <v>162</v>
      </c>
      <c r="AH42" s="22" t="s">
        <v>471</v>
      </c>
      <c r="AI42" s="26">
        <f t="shared" si="1"/>
        <v>0.2034722222</v>
      </c>
      <c r="AJ42" s="27">
        <f t="shared" si="2"/>
        <v>0</v>
      </c>
      <c r="AK42" s="28" t="str">
        <f t="shared" si="3"/>
        <v>Pass</v>
      </c>
    </row>
    <row r="43">
      <c r="A43" s="18">
        <v>45853.0</v>
      </c>
      <c r="B43" s="19"/>
      <c r="C43" s="18">
        <v>45854.0</v>
      </c>
      <c r="D43" s="20">
        <v>0.2951388888888889</v>
      </c>
      <c r="E43" s="22" t="s">
        <v>472</v>
      </c>
      <c r="F43" s="22" t="s">
        <v>473</v>
      </c>
      <c r="G43" s="22" t="s">
        <v>474</v>
      </c>
      <c r="H43" s="22" t="s">
        <v>475</v>
      </c>
      <c r="I43" s="22" t="s">
        <v>476</v>
      </c>
      <c r="J43" s="31"/>
      <c r="K43" s="22" t="s">
        <v>411</v>
      </c>
      <c r="L43" s="22" t="s">
        <v>477</v>
      </c>
      <c r="M43" s="22" t="s">
        <v>478</v>
      </c>
      <c r="N43" s="22" t="s">
        <v>479</v>
      </c>
      <c r="O43" s="23" t="s">
        <v>480</v>
      </c>
      <c r="P43" s="22" t="s">
        <v>75</v>
      </c>
      <c r="Q43" s="50" t="s">
        <v>65</v>
      </c>
      <c r="R43" s="22" t="s">
        <v>481</v>
      </c>
      <c r="S43" s="22" t="s">
        <v>51</v>
      </c>
      <c r="T43" s="22" t="s">
        <v>482</v>
      </c>
      <c r="U43" s="22" t="s">
        <v>483</v>
      </c>
      <c r="V43" s="22" t="s">
        <v>478</v>
      </c>
      <c r="W43" s="18">
        <v>45854.0</v>
      </c>
      <c r="X43" s="20">
        <v>0.2951388888888889</v>
      </c>
      <c r="Y43" s="18">
        <v>45854.0</v>
      </c>
      <c r="Z43" s="20">
        <v>0.5208333333333334</v>
      </c>
      <c r="AA43" s="20">
        <v>0.027777777777777776</v>
      </c>
      <c r="AB43" s="51">
        <v>0.3125</v>
      </c>
      <c r="AC43" s="51">
        <v>0.6861111111111111</v>
      </c>
      <c r="AD43" s="51">
        <v>0.04791666666666667</v>
      </c>
      <c r="AE43" s="18">
        <v>45853.0</v>
      </c>
      <c r="AF43" s="22" t="s">
        <v>53</v>
      </c>
      <c r="AG43" s="22" t="s">
        <v>484</v>
      </c>
      <c r="AH43" s="22" t="s">
        <v>485</v>
      </c>
      <c r="AI43" s="26">
        <f t="shared" si="1"/>
        <v>-0.6208333333</v>
      </c>
      <c r="AJ43" s="27">
        <f t="shared" si="2"/>
        <v>0</v>
      </c>
      <c r="AK43" s="28" t="str">
        <f t="shared" si="3"/>
        <v>Pass</v>
      </c>
    </row>
    <row r="44">
      <c r="A44" s="18">
        <v>45854.0</v>
      </c>
      <c r="B44" s="19"/>
      <c r="C44" s="18">
        <v>45854.0</v>
      </c>
      <c r="D44" s="20">
        <v>0.5583333333333333</v>
      </c>
      <c r="E44" s="21" t="s">
        <v>486</v>
      </c>
      <c r="F44" s="21" t="s">
        <v>180</v>
      </c>
      <c r="G44" s="21" t="s">
        <v>181</v>
      </c>
      <c r="H44" s="22" t="s">
        <v>182</v>
      </c>
      <c r="I44" s="22" t="s">
        <v>60</v>
      </c>
      <c r="J44" s="31"/>
      <c r="K44" s="22" t="s">
        <v>61</v>
      </c>
      <c r="L44" s="22" t="s">
        <v>183</v>
      </c>
      <c r="M44" s="22" t="s">
        <v>184</v>
      </c>
      <c r="N44" s="22" t="s">
        <v>487</v>
      </c>
      <c r="O44" s="23" t="s">
        <v>488</v>
      </c>
      <c r="P44" s="22" t="s">
        <v>187</v>
      </c>
      <c r="Q44" s="24" t="s">
        <v>65</v>
      </c>
      <c r="R44" s="22" t="s">
        <v>489</v>
      </c>
      <c r="S44" s="22" t="s">
        <v>51</v>
      </c>
      <c r="T44" s="22" t="s">
        <v>324</v>
      </c>
      <c r="U44" s="22" t="s">
        <v>490</v>
      </c>
      <c r="V44" s="22" t="s">
        <v>491</v>
      </c>
      <c r="W44" s="18">
        <v>45854.0</v>
      </c>
      <c r="X44" s="20">
        <v>0.5583333333333333</v>
      </c>
      <c r="Y44" s="18">
        <v>45854.0</v>
      </c>
      <c r="Z44" s="20">
        <v>0.6118055555555556</v>
      </c>
      <c r="AA44" s="20">
        <v>0.6131944444444445</v>
      </c>
      <c r="AB44" s="25">
        <v>0.6180555555555556</v>
      </c>
      <c r="AC44" s="25">
        <v>0.6388888888888888</v>
      </c>
      <c r="AD44" s="25">
        <v>0.7083333333333334</v>
      </c>
      <c r="AE44" s="45">
        <v>45854.0</v>
      </c>
      <c r="AF44" s="21" t="s">
        <v>53</v>
      </c>
      <c r="AG44" s="22" t="s">
        <v>293</v>
      </c>
      <c r="AH44" s="22" t="s">
        <v>189</v>
      </c>
      <c r="AI44" s="26">
        <f t="shared" si="1"/>
        <v>0.1291666667</v>
      </c>
      <c r="AJ44" s="27">
        <f t="shared" si="2"/>
        <v>0</v>
      </c>
      <c r="AK44" s="28" t="str">
        <f t="shared" si="3"/>
        <v>Pass</v>
      </c>
    </row>
    <row r="45">
      <c r="A45" s="45">
        <v>45854.0</v>
      </c>
      <c r="B45" s="46"/>
      <c r="C45" s="45">
        <v>45854.0</v>
      </c>
      <c r="D45" s="20">
        <v>0.4583333333333333</v>
      </c>
      <c r="E45" s="21" t="s">
        <v>492</v>
      </c>
      <c r="F45" s="21" t="s">
        <v>493</v>
      </c>
      <c r="G45" s="21" t="s">
        <v>494</v>
      </c>
      <c r="H45" s="21" t="s">
        <v>253</v>
      </c>
      <c r="I45" s="21" t="s">
        <v>60</v>
      </c>
      <c r="J45" s="47"/>
      <c r="K45" s="21" t="s">
        <v>495</v>
      </c>
      <c r="L45" s="21" t="s">
        <v>496</v>
      </c>
      <c r="M45" s="21">
        <v>8.22608568E8</v>
      </c>
      <c r="N45" s="21" t="s">
        <v>497</v>
      </c>
      <c r="O45" s="48" t="s">
        <v>498</v>
      </c>
      <c r="P45" s="21" t="s">
        <v>48</v>
      </c>
      <c r="Q45" s="24" t="s">
        <v>65</v>
      </c>
      <c r="R45" s="21" t="s">
        <v>499</v>
      </c>
      <c r="S45" s="21" t="s">
        <v>51</v>
      </c>
      <c r="T45" s="21" t="s">
        <v>500</v>
      </c>
      <c r="U45" s="21" t="s">
        <v>501</v>
      </c>
      <c r="V45" s="21" t="s">
        <v>502</v>
      </c>
      <c r="W45" s="45">
        <v>45854.0</v>
      </c>
      <c r="X45" s="49">
        <v>0.4583333333333333</v>
      </c>
      <c r="Y45" s="45">
        <v>45855.0</v>
      </c>
      <c r="Z45" s="49">
        <v>0.44166666666666665</v>
      </c>
      <c r="AA45" s="49">
        <v>0.4576388888888889</v>
      </c>
      <c r="AB45" s="25">
        <v>0.4895833333333333</v>
      </c>
      <c r="AC45" s="25">
        <v>0.5729166666666666</v>
      </c>
      <c r="AD45" s="25">
        <v>0.6805555555555556</v>
      </c>
      <c r="AE45" s="45">
        <v>45855.0</v>
      </c>
      <c r="AF45" s="21" t="s">
        <v>53</v>
      </c>
      <c r="AG45" s="21" t="s">
        <v>102</v>
      </c>
      <c r="AH45" s="21" t="s">
        <v>503</v>
      </c>
      <c r="AI45" s="26">
        <f t="shared" si="1"/>
        <v>0.1388888889</v>
      </c>
      <c r="AJ45" s="27">
        <f t="shared" si="2"/>
        <v>0</v>
      </c>
      <c r="AK45" s="28" t="str">
        <f t="shared" si="3"/>
        <v>Pass</v>
      </c>
    </row>
    <row r="46">
      <c r="A46" s="18">
        <v>45854.0</v>
      </c>
      <c r="B46" s="46"/>
      <c r="C46" s="45">
        <v>45854.0</v>
      </c>
      <c r="D46" s="20">
        <v>0.6916666666666667</v>
      </c>
      <c r="E46" s="22" t="s">
        <v>504</v>
      </c>
      <c r="F46" s="22" t="s">
        <v>505</v>
      </c>
      <c r="G46" s="22" t="s">
        <v>506</v>
      </c>
      <c r="H46" s="22" t="s">
        <v>59</v>
      </c>
      <c r="I46" s="22" t="s">
        <v>507</v>
      </c>
      <c r="J46" s="31"/>
      <c r="K46" s="22" t="s">
        <v>61</v>
      </c>
      <c r="L46" s="22" t="s">
        <v>84</v>
      </c>
      <c r="M46" s="22" t="s">
        <v>508</v>
      </c>
      <c r="N46" s="22" t="s">
        <v>509</v>
      </c>
      <c r="O46" s="23" t="s">
        <v>510</v>
      </c>
      <c r="P46" s="22" t="s">
        <v>75</v>
      </c>
      <c r="Q46" s="24" t="s">
        <v>65</v>
      </c>
      <c r="R46" s="22" t="s">
        <v>511</v>
      </c>
      <c r="S46" s="22" t="s">
        <v>51</v>
      </c>
      <c r="T46" s="21" t="s">
        <v>52</v>
      </c>
      <c r="U46" s="21" t="s">
        <v>52</v>
      </c>
      <c r="V46" s="21" t="s">
        <v>52</v>
      </c>
      <c r="W46" s="18">
        <v>45854.0</v>
      </c>
      <c r="X46" s="20">
        <v>0.6916666666666667</v>
      </c>
      <c r="Y46" s="18">
        <v>45854.0</v>
      </c>
      <c r="Z46" s="20">
        <v>0.7805555555555556</v>
      </c>
      <c r="AA46" s="20">
        <v>0.78125</v>
      </c>
      <c r="AB46" s="29"/>
      <c r="AC46" s="29"/>
      <c r="AD46" s="25">
        <v>0.8055555555555556</v>
      </c>
      <c r="AE46" s="45">
        <v>45854.0</v>
      </c>
      <c r="AF46" s="21" t="s">
        <v>53</v>
      </c>
      <c r="AG46" s="22" t="s">
        <v>102</v>
      </c>
      <c r="AH46" s="22" t="s">
        <v>512</v>
      </c>
      <c r="AI46" s="26">
        <f t="shared" si="1"/>
        <v>0.1138888889</v>
      </c>
      <c r="AJ46" s="27">
        <f t="shared" si="2"/>
        <v>0</v>
      </c>
      <c r="AK46" s="28" t="str">
        <f t="shared" si="3"/>
        <v>Pass</v>
      </c>
    </row>
    <row r="47">
      <c r="A47" s="18">
        <v>45854.0</v>
      </c>
      <c r="B47" s="46"/>
      <c r="C47" s="45">
        <v>45854.0</v>
      </c>
      <c r="D47" s="20">
        <v>0.7305555555555555</v>
      </c>
      <c r="E47" s="22" t="s">
        <v>513</v>
      </c>
      <c r="F47" s="21" t="s">
        <v>514</v>
      </c>
      <c r="G47" s="21" t="s">
        <v>515</v>
      </c>
      <c r="H47" s="22" t="s">
        <v>516</v>
      </c>
      <c r="I47" s="22" t="s">
        <v>517</v>
      </c>
      <c r="J47" s="31"/>
      <c r="K47" s="22" t="s">
        <v>43</v>
      </c>
      <c r="L47" s="22" t="s">
        <v>518</v>
      </c>
      <c r="M47" s="22" t="s">
        <v>519</v>
      </c>
      <c r="N47" s="22" t="s">
        <v>520</v>
      </c>
      <c r="O47" s="23" t="s">
        <v>521</v>
      </c>
      <c r="P47" s="22" t="s">
        <v>187</v>
      </c>
      <c r="Q47" s="24" t="s">
        <v>49</v>
      </c>
      <c r="R47" s="21" t="s">
        <v>522</v>
      </c>
      <c r="S47" s="22" t="s">
        <v>51</v>
      </c>
      <c r="T47" s="21" t="s">
        <v>52</v>
      </c>
      <c r="U47" s="21" t="s">
        <v>52</v>
      </c>
      <c r="V47" s="21" t="s">
        <v>52</v>
      </c>
      <c r="W47" s="18">
        <v>45854.0</v>
      </c>
      <c r="X47" s="20">
        <v>0.7305555555555555</v>
      </c>
      <c r="Y47" s="18">
        <v>45854.0</v>
      </c>
      <c r="Z47" s="20">
        <v>0.4479166666666667</v>
      </c>
      <c r="AA47" s="20">
        <v>0.4486111111111111</v>
      </c>
      <c r="AB47" s="29"/>
      <c r="AC47" s="29"/>
      <c r="AD47" s="25">
        <v>1.0034722222222223</v>
      </c>
      <c r="AE47" s="52"/>
      <c r="AF47" s="22" t="s">
        <v>53</v>
      </c>
      <c r="AG47" s="22" t="s">
        <v>523</v>
      </c>
      <c r="AH47" s="22" t="s">
        <v>524</v>
      </c>
      <c r="AI47" s="26">
        <f t="shared" si="1"/>
        <v>0.2729166667</v>
      </c>
      <c r="AJ47" s="27">
        <f t="shared" si="2"/>
        <v>0.10625</v>
      </c>
      <c r="AK47" s="28" t="str">
        <f t="shared" si="3"/>
        <v>Fail</v>
      </c>
    </row>
    <row r="48">
      <c r="A48" s="18">
        <v>45854.0</v>
      </c>
      <c r="B48" s="46"/>
      <c r="C48" s="45">
        <v>45854.0</v>
      </c>
      <c r="D48" s="20">
        <v>0.7756944444444445</v>
      </c>
      <c r="E48" s="22" t="s">
        <v>525</v>
      </c>
      <c r="F48" s="21" t="s">
        <v>526</v>
      </c>
      <c r="G48" s="21" t="s">
        <v>527</v>
      </c>
      <c r="H48" s="22" t="s">
        <v>428</v>
      </c>
      <c r="I48" s="22" t="s">
        <v>234</v>
      </c>
      <c r="J48" s="31"/>
      <c r="K48" s="22" t="s">
        <v>143</v>
      </c>
      <c r="L48" s="22" t="s">
        <v>528</v>
      </c>
      <c r="M48" s="22" t="s">
        <v>529</v>
      </c>
      <c r="N48" s="22" t="s">
        <v>530</v>
      </c>
      <c r="O48" s="23" t="s">
        <v>531</v>
      </c>
      <c r="P48" s="22" t="s">
        <v>75</v>
      </c>
      <c r="Q48" s="24" t="s">
        <v>65</v>
      </c>
      <c r="R48" s="21" t="s">
        <v>532</v>
      </c>
      <c r="S48" s="22" t="s">
        <v>51</v>
      </c>
      <c r="T48" s="21" t="s">
        <v>52</v>
      </c>
      <c r="U48" s="21" t="s">
        <v>52</v>
      </c>
      <c r="V48" s="21" t="s">
        <v>52</v>
      </c>
      <c r="W48" s="18">
        <v>45854.0</v>
      </c>
      <c r="X48" s="20">
        <v>0.7756944444444445</v>
      </c>
      <c r="Y48" s="18">
        <v>45854.0</v>
      </c>
      <c r="Z48" s="20">
        <v>0.9097222222222222</v>
      </c>
      <c r="AA48" s="20">
        <v>0.9166666666666666</v>
      </c>
      <c r="AB48" s="29"/>
      <c r="AC48" s="29"/>
      <c r="AD48" s="25">
        <v>0.9583333333333334</v>
      </c>
      <c r="AE48" s="45">
        <v>45854.0</v>
      </c>
      <c r="AF48" s="22" t="s">
        <v>53</v>
      </c>
      <c r="AG48" s="22" t="s">
        <v>533</v>
      </c>
      <c r="AH48" s="22" t="s">
        <v>534</v>
      </c>
      <c r="AI48" s="26">
        <f t="shared" si="1"/>
        <v>0.1826388889</v>
      </c>
      <c r="AJ48" s="27">
        <f t="shared" si="2"/>
        <v>0</v>
      </c>
      <c r="AK48" s="28" t="str">
        <f t="shared" si="3"/>
        <v>Pass</v>
      </c>
    </row>
    <row r="49">
      <c r="A49" s="18">
        <v>45854.0</v>
      </c>
      <c r="B49" s="19"/>
      <c r="C49" s="52"/>
      <c r="D49" s="20">
        <v>0.5583333333333333</v>
      </c>
      <c r="E49" s="22" t="s">
        <v>535</v>
      </c>
      <c r="F49" s="21" t="s">
        <v>180</v>
      </c>
      <c r="G49" s="21" t="s">
        <v>181</v>
      </c>
      <c r="H49" s="22" t="s">
        <v>156</v>
      </c>
      <c r="I49" s="22" t="s">
        <v>234</v>
      </c>
      <c r="J49" s="31"/>
      <c r="K49" s="22" t="s">
        <v>536</v>
      </c>
      <c r="L49" s="22" t="s">
        <v>537</v>
      </c>
      <c r="M49" s="22" t="s">
        <v>538</v>
      </c>
      <c r="N49" s="22" t="s">
        <v>539</v>
      </c>
      <c r="O49" s="23" t="s">
        <v>540</v>
      </c>
      <c r="P49" s="22" t="s">
        <v>75</v>
      </c>
      <c r="Q49" s="24" t="s">
        <v>65</v>
      </c>
      <c r="R49" s="22" t="s">
        <v>541</v>
      </c>
      <c r="S49" s="22" t="s">
        <v>51</v>
      </c>
      <c r="T49" s="21" t="s">
        <v>52</v>
      </c>
      <c r="U49" s="21" t="s">
        <v>52</v>
      </c>
      <c r="V49" s="21" t="s">
        <v>52</v>
      </c>
      <c r="W49" s="53"/>
      <c r="X49" s="20">
        <v>0.5583333333333333</v>
      </c>
      <c r="Y49" s="18">
        <v>45854.0</v>
      </c>
      <c r="Z49" s="20">
        <v>0.6118055555555556</v>
      </c>
      <c r="AA49" s="20">
        <v>0.7291666666666666</v>
      </c>
      <c r="AB49" s="29"/>
      <c r="AC49" s="29"/>
      <c r="AD49" s="25">
        <v>0.7680555555555556</v>
      </c>
      <c r="AE49" s="45">
        <v>45854.0</v>
      </c>
      <c r="AF49" s="31"/>
      <c r="AG49" s="22" t="s">
        <v>293</v>
      </c>
      <c r="AH49" s="22" t="s">
        <v>189</v>
      </c>
      <c r="AI49" s="26">
        <f t="shared" si="1"/>
        <v>0.2097222222</v>
      </c>
      <c r="AJ49" s="27">
        <f t="shared" si="2"/>
        <v>0</v>
      </c>
      <c r="AK49" s="28" t="str">
        <f t="shared" si="3"/>
        <v>Pass</v>
      </c>
    </row>
    <row r="50">
      <c r="A50" s="45">
        <v>45854.0</v>
      </c>
      <c r="B50" s="46"/>
      <c r="C50" s="45">
        <v>45854.0</v>
      </c>
      <c r="D50" s="20">
        <v>0.625</v>
      </c>
      <c r="E50" s="21" t="s">
        <v>542</v>
      </c>
      <c r="F50" s="21" t="s">
        <v>543</v>
      </c>
      <c r="G50" s="21" t="s">
        <v>544</v>
      </c>
      <c r="H50" s="21" t="s">
        <v>253</v>
      </c>
      <c r="I50" s="21" t="s">
        <v>545</v>
      </c>
      <c r="J50" s="47"/>
      <c r="K50" s="21" t="s">
        <v>386</v>
      </c>
      <c r="L50" s="21" t="s">
        <v>546</v>
      </c>
      <c r="M50" s="21" t="s">
        <v>547</v>
      </c>
      <c r="N50" s="21" t="s">
        <v>548</v>
      </c>
      <c r="O50" s="48" t="s">
        <v>549</v>
      </c>
      <c r="P50" s="21" t="s">
        <v>75</v>
      </c>
      <c r="Q50" s="24" t="s">
        <v>49</v>
      </c>
      <c r="R50" s="21" t="s">
        <v>550</v>
      </c>
      <c r="S50" s="21" t="s">
        <v>51</v>
      </c>
      <c r="T50" s="21" t="s">
        <v>551</v>
      </c>
      <c r="U50" s="21" t="s">
        <v>552</v>
      </c>
      <c r="V50" s="21" t="s">
        <v>547</v>
      </c>
      <c r="W50" s="45">
        <v>45854.0</v>
      </c>
      <c r="X50" s="49">
        <v>0.625</v>
      </c>
      <c r="Y50" s="45">
        <v>45855.0</v>
      </c>
      <c r="Z50" s="49">
        <v>0.5847222222222223</v>
      </c>
      <c r="AA50" s="49">
        <v>0.6715277777777777</v>
      </c>
      <c r="AB50" s="29"/>
      <c r="AC50" s="29"/>
      <c r="AD50" s="25">
        <v>0.7569444444444444</v>
      </c>
      <c r="AE50" s="45">
        <v>45855.0</v>
      </c>
      <c r="AF50" s="21" t="s">
        <v>553</v>
      </c>
      <c r="AG50" s="21" t="s">
        <v>67</v>
      </c>
      <c r="AH50" s="21" t="s">
        <v>554</v>
      </c>
      <c r="AI50" s="26">
        <f t="shared" si="1"/>
        <v>0.1319444444</v>
      </c>
      <c r="AJ50" s="27">
        <f t="shared" si="2"/>
        <v>0</v>
      </c>
      <c r="AK50" s="28" t="str">
        <f t="shared" si="3"/>
        <v>Pass</v>
      </c>
    </row>
    <row r="51">
      <c r="A51" s="45">
        <v>45855.0</v>
      </c>
      <c r="B51" s="19"/>
      <c r="C51" s="18">
        <v>45855.0</v>
      </c>
      <c r="D51" s="20">
        <v>0.8145833333333333</v>
      </c>
      <c r="E51" s="21" t="s">
        <v>555</v>
      </c>
      <c r="F51" s="21" t="s">
        <v>180</v>
      </c>
      <c r="G51" s="21" t="s">
        <v>181</v>
      </c>
      <c r="H51" s="21" t="s">
        <v>318</v>
      </c>
      <c r="I51" s="21" t="s">
        <v>60</v>
      </c>
      <c r="J51" s="47"/>
      <c r="K51" s="21" t="s">
        <v>61</v>
      </c>
      <c r="L51" s="21" t="s">
        <v>183</v>
      </c>
      <c r="M51" s="21" t="s">
        <v>184</v>
      </c>
      <c r="N51" s="21" t="s">
        <v>556</v>
      </c>
      <c r="O51" s="48" t="s">
        <v>557</v>
      </c>
      <c r="P51" s="21" t="s">
        <v>75</v>
      </c>
      <c r="Q51" s="24" t="s">
        <v>65</v>
      </c>
      <c r="R51" s="21" t="s">
        <v>558</v>
      </c>
      <c r="S51" s="21" t="s">
        <v>51</v>
      </c>
      <c r="T51" s="21" t="s">
        <v>559</v>
      </c>
      <c r="U51" s="21" t="s">
        <v>560</v>
      </c>
      <c r="V51" s="21" t="s">
        <v>560</v>
      </c>
      <c r="W51" s="45">
        <v>45855.0</v>
      </c>
      <c r="X51" s="49">
        <v>0.8145833333333333</v>
      </c>
      <c r="Y51" s="45">
        <v>45855.0</v>
      </c>
      <c r="Z51" s="49">
        <v>0.8513888888888889</v>
      </c>
      <c r="AA51" s="49">
        <v>0.8541666666666666</v>
      </c>
      <c r="AB51" s="29"/>
      <c r="AC51" s="29"/>
      <c r="AD51" s="25">
        <v>0.9166666666666666</v>
      </c>
      <c r="AE51" s="45">
        <v>45855.0</v>
      </c>
      <c r="AF51" s="21" t="s">
        <v>53</v>
      </c>
      <c r="AG51" s="21" t="s">
        <v>561</v>
      </c>
      <c r="AH51" s="21" t="s">
        <v>562</v>
      </c>
      <c r="AI51" s="26">
        <f t="shared" si="1"/>
        <v>0.1020833333</v>
      </c>
      <c r="AJ51" s="27">
        <f t="shared" si="2"/>
        <v>0</v>
      </c>
      <c r="AK51" s="28" t="str">
        <f t="shared" si="3"/>
        <v>Pass</v>
      </c>
    </row>
    <row r="52">
      <c r="A52" s="18">
        <v>45855.0</v>
      </c>
      <c r="B52" s="19"/>
      <c r="C52" s="18">
        <v>45855.0</v>
      </c>
      <c r="D52" s="20">
        <v>0.35</v>
      </c>
      <c r="E52" s="22" t="s">
        <v>563</v>
      </c>
      <c r="F52" s="21" t="s">
        <v>564</v>
      </c>
      <c r="G52" s="21" t="s">
        <v>565</v>
      </c>
      <c r="H52" s="22" t="s">
        <v>566</v>
      </c>
      <c r="I52" s="22" t="s">
        <v>567</v>
      </c>
      <c r="J52" s="31"/>
      <c r="K52" s="22" t="s">
        <v>568</v>
      </c>
      <c r="L52" s="22" t="s">
        <v>568</v>
      </c>
      <c r="M52" s="22" t="s">
        <v>569</v>
      </c>
      <c r="N52" s="22" t="s">
        <v>570</v>
      </c>
      <c r="O52" s="23" t="s">
        <v>571</v>
      </c>
      <c r="P52" s="22" t="s">
        <v>48</v>
      </c>
      <c r="Q52" s="24" t="s">
        <v>65</v>
      </c>
      <c r="R52" s="22" t="s">
        <v>572</v>
      </c>
      <c r="S52" s="22" t="s">
        <v>51</v>
      </c>
      <c r="T52" s="21" t="s">
        <v>52</v>
      </c>
      <c r="U52" s="21" t="s">
        <v>52</v>
      </c>
      <c r="V52" s="21" t="s">
        <v>52</v>
      </c>
      <c r="W52" s="18">
        <v>45855.0</v>
      </c>
      <c r="X52" s="20">
        <v>0.35</v>
      </c>
      <c r="Y52" s="18">
        <v>45855.0</v>
      </c>
      <c r="Z52" s="20">
        <v>0.4305555555555556</v>
      </c>
      <c r="AA52" s="20">
        <v>0.4340277777777778</v>
      </c>
      <c r="AB52" s="29"/>
      <c r="AC52" s="29"/>
      <c r="AD52" s="25">
        <v>0.4583333333333333</v>
      </c>
      <c r="AE52" s="45">
        <v>45855.0</v>
      </c>
      <c r="AF52" s="22" t="s">
        <v>53</v>
      </c>
      <c r="AG52" s="22" t="s">
        <v>54</v>
      </c>
      <c r="AH52" s="22" t="s">
        <v>573</v>
      </c>
      <c r="AI52" s="26">
        <f t="shared" si="1"/>
        <v>0.1083333333</v>
      </c>
      <c r="AJ52" s="27">
        <f t="shared" si="2"/>
        <v>0</v>
      </c>
      <c r="AK52" s="28" t="str">
        <f t="shared" si="3"/>
        <v>Pass</v>
      </c>
    </row>
    <row r="53">
      <c r="A53" s="18">
        <v>45855.0</v>
      </c>
      <c r="B53" s="19"/>
      <c r="C53" s="18">
        <v>45855.0</v>
      </c>
      <c r="D53" s="20">
        <v>0.36666666666666664</v>
      </c>
      <c r="E53" s="22" t="s">
        <v>574</v>
      </c>
      <c r="F53" s="22" t="s">
        <v>575</v>
      </c>
      <c r="G53" s="22" t="s">
        <v>576</v>
      </c>
      <c r="H53" s="22" t="s">
        <v>566</v>
      </c>
      <c r="I53" s="22" t="s">
        <v>577</v>
      </c>
      <c r="J53" s="31"/>
      <c r="K53" s="22" t="s">
        <v>578</v>
      </c>
      <c r="L53" s="22" t="s">
        <v>579</v>
      </c>
      <c r="M53" s="22" t="s">
        <v>579</v>
      </c>
      <c r="N53" s="22" t="s">
        <v>580</v>
      </c>
      <c r="O53" s="23" t="s">
        <v>581</v>
      </c>
      <c r="P53" s="22" t="s">
        <v>48</v>
      </c>
      <c r="Q53" s="50" t="s">
        <v>65</v>
      </c>
      <c r="R53" s="22" t="s">
        <v>582</v>
      </c>
      <c r="S53" s="22" t="s">
        <v>51</v>
      </c>
      <c r="T53" s="22" t="s">
        <v>52</v>
      </c>
      <c r="U53" s="22" t="s">
        <v>52</v>
      </c>
      <c r="V53" s="22" t="s">
        <v>52</v>
      </c>
      <c r="W53" s="18">
        <v>45855.0</v>
      </c>
      <c r="X53" s="20">
        <v>0.36666666666666664</v>
      </c>
      <c r="Y53" s="18">
        <v>45855.0</v>
      </c>
      <c r="Z53" s="20">
        <v>0.6138888888888889</v>
      </c>
      <c r="AA53" s="20">
        <v>0.6180555555555556</v>
      </c>
      <c r="AB53" s="54"/>
      <c r="AC53" s="54"/>
      <c r="AD53" s="51">
        <v>0.7152777777777778</v>
      </c>
      <c r="AE53" s="18">
        <v>45855.0</v>
      </c>
      <c r="AF53" s="22" t="s">
        <v>53</v>
      </c>
      <c r="AG53" s="22" t="s">
        <v>583</v>
      </c>
      <c r="AH53" s="22" t="s">
        <v>584</v>
      </c>
      <c r="AI53" s="26">
        <f t="shared" si="1"/>
        <v>0.3486111111</v>
      </c>
      <c r="AJ53" s="27">
        <f t="shared" si="2"/>
        <v>0</v>
      </c>
      <c r="AK53" s="28" t="str">
        <f t="shared" si="3"/>
        <v>Pass</v>
      </c>
    </row>
    <row r="54">
      <c r="A54" s="18">
        <v>45855.0</v>
      </c>
      <c r="B54" s="19"/>
      <c r="C54" s="18">
        <v>45855.0</v>
      </c>
      <c r="D54" s="20">
        <v>0.4826388888888889</v>
      </c>
      <c r="E54" s="21" t="s">
        <v>585</v>
      </c>
      <c r="F54" s="21" t="s">
        <v>586</v>
      </c>
      <c r="G54" s="21" t="s">
        <v>587</v>
      </c>
      <c r="H54" s="21" t="s">
        <v>419</v>
      </c>
      <c r="I54" s="21" t="s">
        <v>95</v>
      </c>
      <c r="J54" s="47"/>
      <c r="K54" s="21" t="s">
        <v>143</v>
      </c>
      <c r="L54" s="21" t="s">
        <v>588</v>
      </c>
      <c r="M54" s="21" t="s">
        <v>589</v>
      </c>
      <c r="N54" s="21" t="s">
        <v>590</v>
      </c>
      <c r="O54" s="48" t="s">
        <v>591</v>
      </c>
      <c r="P54" s="21" t="s">
        <v>48</v>
      </c>
      <c r="Q54" s="24" t="s">
        <v>49</v>
      </c>
      <c r="R54" s="21" t="s">
        <v>592</v>
      </c>
      <c r="S54" s="21" t="s">
        <v>51</v>
      </c>
      <c r="T54" s="21" t="s">
        <v>52</v>
      </c>
      <c r="U54" s="21" t="s">
        <v>52</v>
      </c>
      <c r="V54" s="21" t="s">
        <v>52</v>
      </c>
      <c r="W54" s="45">
        <v>45855.0</v>
      </c>
      <c r="X54" s="49">
        <v>0.4826388888888889</v>
      </c>
      <c r="Y54" s="45">
        <v>45855.0</v>
      </c>
      <c r="Z54" s="49">
        <v>0.5625</v>
      </c>
      <c r="AA54" s="49">
        <v>0.5729166666666666</v>
      </c>
      <c r="AB54" s="25">
        <v>0.625</v>
      </c>
      <c r="AC54" s="25">
        <v>0.8958333333333334</v>
      </c>
      <c r="AD54" s="25">
        <v>0.8958333333333334</v>
      </c>
      <c r="AE54" s="45">
        <v>45855.0</v>
      </c>
      <c r="AF54" s="21" t="s">
        <v>53</v>
      </c>
      <c r="AG54" s="21" t="s">
        <v>593</v>
      </c>
      <c r="AH54" s="21" t="s">
        <v>594</v>
      </c>
      <c r="AI54" s="26">
        <f t="shared" si="1"/>
        <v>0.1423611111</v>
      </c>
      <c r="AJ54" s="27">
        <f t="shared" si="2"/>
        <v>0</v>
      </c>
      <c r="AK54" s="28" t="str">
        <f t="shared" si="3"/>
        <v>Pass</v>
      </c>
    </row>
    <row r="55">
      <c r="A55" s="18">
        <v>45855.0</v>
      </c>
      <c r="B55" s="19"/>
      <c r="C55" s="18">
        <v>45855.0</v>
      </c>
      <c r="D55" s="20">
        <v>0.48055555555555557</v>
      </c>
      <c r="E55" s="21" t="s">
        <v>595</v>
      </c>
      <c r="F55" s="21" t="s">
        <v>596</v>
      </c>
      <c r="G55" s="21" t="s">
        <v>597</v>
      </c>
      <c r="H55" s="21" t="s">
        <v>566</v>
      </c>
      <c r="I55" s="21" t="s">
        <v>567</v>
      </c>
      <c r="J55" s="47"/>
      <c r="K55" s="21" t="s">
        <v>568</v>
      </c>
      <c r="L55" s="21" t="s">
        <v>568</v>
      </c>
      <c r="M55" s="21" t="s">
        <v>598</v>
      </c>
      <c r="N55" s="21" t="s">
        <v>599</v>
      </c>
      <c r="O55" s="48" t="s">
        <v>600</v>
      </c>
      <c r="P55" s="21" t="s">
        <v>48</v>
      </c>
      <c r="Q55" s="24" t="s">
        <v>65</v>
      </c>
      <c r="R55" s="21" t="s">
        <v>601</v>
      </c>
      <c r="S55" s="21" t="s">
        <v>51</v>
      </c>
      <c r="T55" s="21" t="s">
        <v>52</v>
      </c>
      <c r="U55" s="21" t="s">
        <v>52</v>
      </c>
      <c r="V55" s="21" t="s">
        <v>52</v>
      </c>
      <c r="W55" s="45">
        <v>45855.0</v>
      </c>
      <c r="X55" s="49">
        <v>0.48055555555555557</v>
      </c>
      <c r="Y55" s="45">
        <v>45855.0</v>
      </c>
      <c r="Z55" s="49">
        <v>0.5347222222222222</v>
      </c>
      <c r="AA55" s="49">
        <v>0.5381944444444444</v>
      </c>
      <c r="AB55" s="29"/>
      <c r="AC55" s="29"/>
      <c r="AD55" s="25">
        <v>0.5555555555555556</v>
      </c>
      <c r="AE55" s="45">
        <v>45855.0</v>
      </c>
      <c r="AF55" s="21" t="s">
        <v>53</v>
      </c>
      <c r="AG55" s="21" t="s">
        <v>54</v>
      </c>
      <c r="AH55" s="21" t="s">
        <v>602</v>
      </c>
      <c r="AI55" s="26">
        <f t="shared" si="1"/>
        <v>0.075</v>
      </c>
      <c r="AJ55" s="27">
        <f t="shared" si="2"/>
        <v>0</v>
      </c>
      <c r="AK55" s="28" t="str">
        <f t="shared" si="3"/>
        <v>Pass</v>
      </c>
    </row>
    <row r="56">
      <c r="A56" s="18">
        <v>45856.0</v>
      </c>
      <c r="B56" s="19"/>
      <c r="C56" s="18">
        <v>45856.0</v>
      </c>
      <c r="D56" s="20">
        <v>0.35555555555555557</v>
      </c>
      <c r="E56" s="22" t="s">
        <v>603</v>
      </c>
      <c r="F56" s="22" t="s">
        <v>57</v>
      </c>
      <c r="G56" s="22" t="s">
        <v>604</v>
      </c>
      <c r="H56" s="22" t="s">
        <v>605</v>
      </c>
      <c r="I56" s="22" t="s">
        <v>95</v>
      </c>
      <c r="J56" s="31"/>
      <c r="K56" s="22" t="s">
        <v>143</v>
      </c>
      <c r="L56" s="22" t="s">
        <v>606</v>
      </c>
      <c r="M56" s="22" t="s">
        <v>607</v>
      </c>
      <c r="N56" s="22" t="s">
        <v>608</v>
      </c>
      <c r="O56" s="23" t="s">
        <v>609</v>
      </c>
      <c r="P56" s="22" t="s">
        <v>75</v>
      </c>
      <c r="Q56" s="50" t="s">
        <v>49</v>
      </c>
      <c r="R56" s="22" t="s">
        <v>610</v>
      </c>
      <c r="S56" s="22" t="s">
        <v>51</v>
      </c>
      <c r="T56" s="22" t="s">
        <v>52</v>
      </c>
      <c r="U56" s="22" t="s">
        <v>52</v>
      </c>
      <c r="V56" s="22" t="s">
        <v>52</v>
      </c>
      <c r="W56" s="18">
        <v>45856.0</v>
      </c>
      <c r="X56" s="20">
        <v>0.35555555555555557</v>
      </c>
      <c r="Y56" s="18">
        <v>45862.0</v>
      </c>
      <c r="Z56" s="20">
        <v>0.9111111111111111</v>
      </c>
      <c r="AA56" s="20">
        <v>1.0118055555555556</v>
      </c>
      <c r="AB56" s="51">
        <v>0.35555555555555557</v>
      </c>
      <c r="AC56" s="51">
        <v>0.9166666666666666</v>
      </c>
      <c r="AD56" s="51">
        <v>0.16597222222222222</v>
      </c>
      <c r="AE56" s="18">
        <v>45863.0</v>
      </c>
      <c r="AF56" s="22" t="s">
        <v>53</v>
      </c>
      <c r="AG56" s="22" t="s">
        <v>89</v>
      </c>
      <c r="AH56" s="22" t="s">
        <v>611</v>
      </c>
      <c r="AI56" s="26">
        <f t="shared" si="1"/>
        <v>-0.7506944444</v>
      </c>
      <c r="AJ56" s="55">
        <f t="shared" si="2"/>
        <v>0</v>
      </c>
      <c r="AK56" s="28" t="str">
        <f t="shared" si="3"/>
        <v>Pass</v>
      </c>
    </row>
    <row r="57">
      <c r="A57" s="45">
        <v>45856.0</v>
      </c>
      <c r="B57" s="19"/>
      <c r="C57" s="18">
        <v>45846.0</v>
      </c>
      <c r="D57" s="20">
        <v>0.4791666666666667</v>
      </c>
      <c r="E57" s="21" t="s">
        <v>612</v>
      </c>
      <c r="F57" s="21" t="s">
        <v>613</v>
      </c>
      <c r="G57" s="21" t="s">
        <v>614</v>
      </c>
      <c r="H57" s="21" t="s">
        <v>615</v>
      </c>
      <c r="I57" s="21" t="s">
        <v>616</v>
      </c>
      <c r="J57" s="47"/>
      <c r="K57" s="21" t="s">
        <v>43</v>
      </c>
      <c r="L57" s="21" t="s">
        <v>617</v>
      </c>
      <c r="M57" s="21" t="s">
        <v>618</v>
      </c>
      <c r="N57" s="21" t="s">
        <v>619</v>
      </c>
      <c r="O57" s="48" t="s">
        <v>620</v>
      </c>
      <c r="P57" s="21" t="s">
        <v>75</v>
      </c>
      <c r="Q57" s="24" t="s">
        <v>65</v>
      </c>
      <c r="R57" s="21" t="s">
        <v>621</v>
      </c>
      <c r="S57" s="21" t="s">
        <v>51</v>
      </c>
      <c r="T57" s="21" t="s">
        <v>622</v>
      </c>
      <c r="U57" s="21" t="s">
        <v>623</v>
      </c>
      <c r="V57" s="21" t="s">
        <v>618</v>
      </c>
      <c r="W57" s="45">
        <v>45846.0</v>
      </c>
      <c r="X57" s="49">
        <v>0.4791666666666667</v>
      </c>
      <c r="Y57" s="45">
        <v>45856.0</v>
      </c>
      <c r="Z57" s="49">
        <v>0.5958333333333333</v>
      </c>
      <c r="AA57" s="49">
        <v>0.6041666666666666</v>
      </c>
      <c r="AB57" s="29"/>
      <c r="AC57" s="29"/>
      <c r="AD57" s="25">
        <v>0.6305555555555555</v>
      </c>
      <c r="AE57" s="45">
        <v>45856.0</v>
      </c>
      <c r="AF57" s="21" t="s">
        <v>53</v>
      </c>
      <c r="AG57" s="21" t="s">
        <v>89</v>
      </c>
      <c r="AH57" s="21" t="s">
        <v>624</v>
      </c>
      <c r="AI57" s="26">
        <f t="shared" si="1"/>
        <v>0.1513888889</v>
      </c>
      <c r="AJ57" s="27">
        <f t="shared" si="2"/>
        <v>0</v>
      </c>
      <c r="AK57" s="28" t="str">
        <f t="shared" si="3"/>
        <v>Pass</v>
      </c>
    </row>
    <row r="58">
      <c r="A58" s="18">
        <v>45856.0</v>
      </c>
      <c r="B58" s="19"/>
      <c r="C58" s="18">
        <v>45856.0</v>
      </c>
      <c r="D58" s="20">
        <v>0.47152777777777777</v>
      </c>
      <c r="E58" s="21" t="s">
        <v>625</v>
      </c>
      <c r="F58" s="21" t="s">
        <v>626</v>
      </c>
      <c r="G58" s="21" t="s">
        <v>627</v>
      </c>
      <c r="H58" s="21" t="s">
        <v>566</v>
      </c>
      <c r="I58" s="21" t="s">
        <v>567</v>
      </c>
      <c r="J58" s="47"/>
      <c r="K58" s="21" t="s">
        <v>568</v>
      </c>
      <c r="L58" s="21" t="s">
        <v>568</v>
      </c>
      <c r="M58" s="21" t="s">
        <v>628</v>
      </c>
      <c r="N58" s="21" t="s">
        <v>629</v>
      </c>
      <c r="O58" s="48" t="s">
        <v>630</v>
      </c>
      <c r="P58" s="21" t="s">
        <v>48</v>
      </c>
      <c r="Q58" s="24" t="s">
        <v>65</v>
      </c>
      <c r="R58" s="21" t="s">
        <v>631</v>
      </c>
      <c r="S58" s="21" t="s">
        <v>51</v>
      </c>
      <c r="T58" s="21" t="s">
        <v>52</v>
      </c>
      <c r="U58" s="21" t="s">
        <v>52</v>
      </c>
      <c r="V58" s="21" t="s">
        <v>52</v>
      </c>
      <c r="W58" s="45">
        <v>45856.0</v>
      </c>
      <c r="X58" s="49">
        <v>0.47152777777777777</v>
      </c>
      <c r="Y58" s="45">
        <v>45856.0</v>
      </c>
      <c r="Z58" s="49">
        <v>0.5520833333333334</v>
      </c>
      <c r="AA58" s="49">
        <v>0.5555555555555556</v>
      </c>
      <c r="AB58" s="25">
        <v>0.5833333333333334</v>
      </c>
      <c r="AC58" s="25">
        <v>0.6041666666666666</v>
      </c>
      <c r="AD58" s="25">
        <v>0.6041666666666666</v>
      </c>
      <c r="AE58" s="45">
        <v>45856.0</v>
      </c>
      <c r="AF58" s="21" t="s">
        <v>53</v>
      </c>
      <c r="AG58" s="21" t="s">
        <v>54</v>
      </c>
      <c r="AH58" s="21" t="s">
        <v>632</v>
      </c>
      <c r="AI58" s="26">
        <f t="shared" si="1"/>
        <v>0.1118055556</v>
      </c>
      <c r="AJ58" s="27">
        <f t="shared" si="2"/>
        <v>0</v>
      </c>
      <c r="AK58" s="28" t="str">
        <f t="shared" si="3"/>
        <v>Pass</v>
      </c>
    </row>
    <row r="59">
      <c r="A59" s="18">
        <v>45856.0</v>
      </c>
      <c r="B59" s="19"/>
      <c r="C59" s="18">
        <v>45856.0</v>
      </c>
      <c r="D59" s="20">
        <v>0.6861111111111111</v>
      </c>
      <c r="E59" s="21" t="s">
        <v>633</v>
      </c>
      <c r="F59" s="21" t="s">
        <v>116</v>
      </c>
      <c r="G59" s="21" t="s">
        <v>117</v>
      </c>
      <c r="H59" s="22" t="s">
        <v>244</v>
      </c>
      <c r="I59" s="22" t="s">
        <v>634</v>
      </c>
      <c r="J59" s="47"/>
      <c r="K59" s="21" t="s">
        <v>635</v>
      </c>
      <c r="L59" s="21" t="s">
        <v>636</v>
      </c>
      <c r="M59" s="21" t="s">
        <v>637</v>
      </c>
      <c r="N59" s="22" t="s">
        <v>638</v>
      </c>
      <c r="O59" s="23" t="s">
        <v>639</v>
      </c>
      <c r="P59" s="22" t="s">
        <v>48</v>
      </c>
      <c r="Q59" s="24" t="s">
        <v>65</v>
      </c>
      <c r="R59" s="22" t="s">
        <v>640</v>
      </c>
      <c r="S59" s="22" t="s">
        <v>51</v>
      </c>
      <c r="T59" s="21" t="s">
        <v>52</v>
      </c>
      <c r="U59" s="21" t="s">
        <v>52</v>
      </c>
      <c r="V59" s="21" t="s">
        <v>52</v>
      </c>
      <c r="W59" s="18">
        <v>45856.0</v>
      </c>
      <c r="X59" s="20">
        <v>0.6861111111111111</v>
      </c>
      <c r="Y59" s="18">
        <v>45856.0</v>
      </c>
      <c r="Z59" s="20">
        <v>0.95</v>
      </c>
      <c r="AA59" s="20">
        <v>0.9513888888888888</v>
      </c>
      <c r="AB59" s="29"/>
      <c r="AC59" s="29"/>
      <c r="AD59" s="25">
        <v>0.013888888888888888</v>
      </c>
      <c r="AE59" s="45">
        <v>45857.0</v>
      </c>
      <c r="AF59" s="21" t="s">
        <v>53</v>
      </c>
      <c r="AG59" s="22" t="s">
        <v>162</v>
      </c>
      <c r="AH59" s="22" t="s">
        <v>126</v>
      </c>
      <c r="AI59" s="26">
        <f t="shared" si="1"/>
        <v>-0.6722222222</v>
      </c>
      <c r="AJ59" s="27">
        <f t="shared" si="2"/>
        <v>0</v>
      </c>
      <c r="AK59" s="28" t="str">
        <f t="shared" si="3"/>
        <v>Pass</v>
      </c>
    </row>
    <row r="60">
      <c r="A60" s="18">
        <v>45856.0</v>
      </c>
      <c r="B60" s="19"/>
      <c r="C60" s="18">
        <v>45856.0</v>
      </c>
      <c r="D60" s="20">
        <v>0.7666666666666667</v>
      </c>
      <c r="E60" s="22" t="s">
        <v>641</v>
      </c>
      <c r="F60" s="22" t="s">
        <v>642</v>
      </c>
      <c r="G60" s="22" t="s">
        <v>643</v>
      </c>
      <c r="H60" s="22" t="s">
        <v>253</v>
      </c>
      <c r="I60" s="22" t="s">
        <v>644</v>
      </c>
      <c r="J60" s="22" t="s">
        <v>644</v>
      </c>
      <c r="K60" s="22" t="s">
        <v>52</v>
      </c>
      <c r="L60" s="22" t="s">
        <v>52</v>
      </c>
      <c r="M60" s="22" t="s">
        <v>52</v>
      </c>
      <c r="N60" s="22" t="s">
        <v>645</v>
      </c>
      <c r="O60" s="23" t="s">
        <v>646</v>
      </c>
      <c r="P60" s="22" t="s">
        <v>48</v>
      </c>
      <c r="Q60" s="50" t="s">
        <v>198</v>
      </c>
      <c r="R60" s="56" t="s">
        <v>647</v>
      </c>
      <c r="S60" s="22" t="s">
        <v>51</v>
      </c>
      <c r="T60" s="22" t="s">
        <v>52</v>
      </c>
      <c r="U60" s="22" t="s">
        <v>52</v>
      </c>
      <c r="V60" s="22" t="s">
        <v>52</v>
      </c>
      <c r="W60" s="18">
        <v>45856.0</v>
      </c>
      <c r="X60" s="20">
        <v>0.7666666666666667</v>
      </c>
      <c r="Y60" s="18">
        <v>45863.0</v>
      </c>
      <c r="Z60" s="20">
        <v>0.5416666666666666</v>
      </c>
      <c r="AA60" s="20">
        <v>0.5902777777777778</v>
      </c>
      <c r="AB60" s="51">
        <v>0.5902777777777778</v>
      </c>
      <c r="AC60" s="51">
        <v>0.5902777777777778</v>
      </c>
      <c r="AD60" s="51">
        <v>0.7291666666666666</v>
      </c>
      <c r="AE60" s="18">
        <v>45863.0</v>
      </c>
      <c r="AF60" s="22" t="s">
        <v>53</v>
      </c>
      <c r="AG60" s="22" t="s">
        <v>102</v>
      </c>
      <c r="AH60" s="22" t="s">
        <v>648</v>
      </c>
      <c r="AI60" s="26">
        <f t="shared" si="1"/>
        <v>-0.0375</v>
      </c>
      <c r="AJ60" s="55">
        <f t="shared" si="2"/>
        <v>0</v>
      </c>
      <c r="AK60" s="28" t="str">
        <f t="shared" si="3"/>
        <v>Pass</v>
      </c>
    </row>
    <row r="61">
      <c r="A61" s="45">
        <v>45857.0</v>
      </c>
      <c r="B61" s="19"/>
      <c r="C61" s="18">
        <v>45856.0</v>
      </c>
      <c r="D61" s="20">
        <v>0.36319444444444443</v>
      </c>
      <c r="E61" s="22" t="s">
        <v>649</v>
      </c>
      <c r="F61" s="22" t="s">
        <v>650</v>
      </c>
      <c r="G61" s="22" t="s">
        <v>651</v>
      </c>
      <c r="H61" s="22" t="s">
        <v>410</v>
      </c>
      <c r="I61" s="22" t="s">
        <v>652</v>
      </c>
      <c r="J61" s="31"/>
      <c r="K61" s="22" t="s">
        <v>43</v>
      </c>
      <c r="L61" s="22" t="s">
        <v>617</v>
      </c>
      <c r="M61" s="22" t="s">
        <v>653</v>
      </c>
      <c r="N61" s="22" t="s">
        <v>654</v>
      </c>
      <c r="O61" s="23" t="s">
        <v>655</v>
      </c>
      <c r="P61" s="22" t="s">
        <v>75</v>
      </c>
      <c r="Q61" s="50" t="s">
        <v>65</v>
      </c>
      <c r="R61" s="22" t="s">
        <v>656</v>
      </c>
      <c r="S61" s="22" t="s">
        <v>51</v>
      </c>
      <c r="T61" s="22" t="s">
        <v>657</v>
      </c>
      <c r="U61" s="22" t="s">
        <v>658</v>
      </c>
      <c r="V61" s="22" t="s">
        <v>653</v>
      </c>
      <c r="W61" s="18">
        <v>45856.0</v>
      </c>
      <c r="X61" s="20">
        <v>0.36319444444444443</v>
      </c>
      <c r="Y61" s="18">
        <v>45857.0</v>
      </c>
      <c r="Z61" s="20">
        <v>0.6951388888888889</v>
      </c>
      <c r="AA61" s="20">
        <v>0.7006944444444444</v>
      </c>
      <c r="AB61" s="51">
        <v>0.36319444444444443</v>
      </c>
      <c r="AC61" s="51">
        <v>0.6361111111111111</v>
      </c>
      <c r="AD61" s="51">
        <v>0.71875</v>
      </c>
      <c r="AE61" s="18">
        <v>45857.0</v>
      </c>
      <c r="AF61" s="22" t="s">
        <v>53</v>
      </c>
      <c r="AG61" s="22" t="s">
        <v>89</v>
      </c>
      <c r="AH61" s="22" t="s">
        <v>659</v>
      </c>
      <c r="AI61" s="26">
        <f t="shared" si="1"/>
        <v>0.08263888889</v>
      </c>
      <c r="AJ61" s="27">
        <f t="shared" si="2"/>
        <v>0</v>
      </c>
      <c r="AK61" s="28" t="str">
        <f t="shared" si="3"/>
        <v>Pass</v>
      </c>
    </row>
    <row r="62">
      <c r="A62" s="45">
        <v>45857.0</v>
      </c>
      <c r="B62" s="46"/>
      <c r="C62" s="45">
        <v>45857.0</v>
      </c>
      <c r="D62" s="20">
        <v>0.3784722222222222</v>
      </c>
      <c r="E62" s="21" t="s">
        <v>660</v>
      </c>
      <c r="F62" s="21" t="s">
        <v>661</v>
      </c>
      <c r="G62" s="21" t="s">
        <v>662</v>
      </c>
      <c r="H62" s="22" t="s">
        <v>663</v>
      </c>
      <c r="I62" s="22" t="s">
        <v>634</v>
      </c>
      <c r="J62" s="47"/>
      <c r="K62" s="21" t="s">
        <v>635</v>
      </c>
      <c r="L62" s="21" t="s">
        <v>664</v>
      </c>
      <c r="M62" s="21" t="s">
        <v>665</v>
      </c>
      <c r="N62" s="22" t="s">
        <v>666</v>
      </c>
      <c r="O62" s="23" t="s">
        <v>667</v>
      </c>
      <c r="P62" s="22" t="s">
        <v>48</v>
      </c>
      <c r="Q62" s="24" t="s">
        <v>65</v>
      </c>
      <c r="R62" s="22" t="s">
        <v>668</v>
      </c>
      <c r="S62" s="22" t="s">
        <v>51</v>
      </c>
      <c r="T62" s="22" t="s">
        <v>52</v>
      </c>
      <c r="U62" s="21" t="s">
        <v>52</v>
      </c>
      <c r="V62" s="21" t="s">
        <v>52</v>
      </c>
      <c r="W62" s="18">
        <v>45857.0</v>
      </c>
      <c r="X62" s="20">
        <v>0.3784722222222222</v>
      </c>
      <c r="Y62" s="18">
        <v>45857.0</v>
      </c>
      <c r="Z62" s="20">
        <v>0.5368055555555555</v>
      </c>
      <c r="AA62" s="20">
        <v>0.5625</v>
      </c>
      <c r="AB62" s="29"/>
      <c r="AC62" s="29"/>
      <c r="AD62" s="25">
        <v>0.59375</v>
      </c>
      <c r="AE62" s="18">
        <v>45857.0</v>
      </c>
      <c r="AF62" s="22" t="s">
        <v>53</v>
      </c>
      <c r="AG62" s="22" t="s">
        <v>382</v>
      </c>
      <c r="AH62" s="22" t="s">
        <v>669</v>
      </c>
      <c r="AI62" s="26">
        <f t="shared" si="1"/>
        <v>0.2152777778</v>
      </c>
      <c r="AJ62" s="27">
        <f t="shared" si="2"/>
        <v>0</v>
      </c>
      <c r="AK62" s="28" t="str">
        <f t="shared" si="3"/>
        <v>Pass</v>
      </c>
    </row>
    <row r="63">
      <c r="A63" s="45">
        <v>45857.0</v>
      </c>
      <c r="B63" s="46"/>
      <c r="C63" s="45">
        <v>45799.0</v>
      </c>
      <c r="D63" s="20">
        <v>0.46458333333333335</v>
      </c>
      <c r="E63" s="22" t="s">
        <v>670</v>
      </c>
      <c r="F63" s="21" t="s">
        <v>671</v>
      </c>
      <c r="G63" s="21" t="s">
        <v>672</v>
      </c>
      <c r="H63" s="22" t="s">
        <v>673</v>
      </c>
      <c r="I63" s="22" t="s">
        <v>674</v>
      </c>
      <c r="J63" s="47"/>
      <c r="K63" s="21" t="s">
        <v>43</v>
      </c>
      <c r="L63" s="21" t="s">
        <v>675</v>
      </c>
      <c r="M63" s="21">
        <v>2.02203280001E11</v>
      </c>
      <c r="N63" s="22" t="s">
        <v>676</v>
      </c>
      <c r="O63" s="23" t="s">
        <v>677</v>
      </c>
      <c r="P63" s="22" t="s">
        <v>75</v>
      </c>
      <c r="Q63" s="24" t="s">
        <v>65</v>
      </c>
      <c r="R63" s="22" t="s">
        <v>678</v>
      </c>
      <c r="S63" s="22" t="s">
        <v>51</v>
      </c>
      <c r="T63" s="22" t="s">
        <v>679</v>
      </c>
      <c r="U63" s="22">
        <v>2.02406280083E11</v>
      </c>
      <c r="V63" s="22">
        <v>2.02203280001E11</v>
      </c>
      <c r="W63" s="18">
        <v>45799.0</v>
      </c>
      <c r="X63" s="20">
        <v>0.46458333333333335</v>
      </c>
      <c r="Y63" s="18">
        <v>45857.0</v>
      </c>
      <c r="Z63" s="20">
        <v>0.49444444444444446</v>
      </c>
      <c r="AA63" s="20">
        <v>0.5069444444444444</v>
      </c>
      <c r="AB63" s="29"/>
      <c r="AC63" s="29"/>
      <c r="AD63" s="25">
        <v>0.5277777777777778</v>
      </c>
      <c r="AE63" s="18">
        <v>45857.0</v>
      </c>
      <c r="AF63" s="22" t="s">
        <v>53</v>
      </c>
      <c r="AG63" s="22" t="s">
        <v>680</v>
      </c>
      <c r="AH63" s="22" t="s">
        <v>681</v>
      </c>
      <c r="AI63" s="26">
        <f t="shared" si="1"/>
        <v>0.06319444444</v>
      </c>
      <c r="AJ63" s="27">
        <f t="shared" si="2"/>
        <v>0</v>
      </c>
      <c r="AK63" s="28" t="str">
        <f t="shared" si="3"/>
        <v>Pass</v>
      </c>
    </row>
    <row r="64">
      <c r="A64" s="45">
        <v>45857.0</v>
      </c>
      <c r="B64" s="46"/>
      <c r="C64" s="45">
        <v>45857.0</v>
      </c>
      <c r="D64" s="20">
        <v>0.35833333333333334</v>
      </c>
      <c r="E64" s="22" t="s">
        <v>682</v>
      </c>
      <c r="F64" s="21" t="s">
        <v>330</v>
      </c>
      <c r="G64" s="21" t="s">
        <v>331</v>
      </c>
      <c r="H64" s="22" t="s">
        <v>130</v>
      </c>
      <c r="I64" s="22" t="s">
        <v>95</v>
      </c>
      <c r="J64" s="47"/>
      <c r="K64" s="21" t="s">
        <v>683</v>
      </c>
      <c r="L64" s="21" t="s">
        <v>684</v>
      </c>
      <c r="M64" s="21" t="s">
        <v>335</v>
      </c>
      <c r="N64" s="22" t="s">
        <v>685</v>
      </c>
      <c r="O64" s="23" t="s">
        <v>686</v>
      </c>
      <c r="P64" s="22" t="s">
        <v>48</v>
      </c>
      <c r="Q64" s="24" t="s">
        <v>49</v>
      </c>
      <c r="R64" s="22" t="s">
        <v>687</v>
      </c>
      <c r="S64" s="22" t="s">
        <v>51</v>
      </c>
      <c r="T64" s="22" t="s">
        <v>688</v>
      </c>
      <c r="U64" s="22" t="s">
        <v>689</v>
      </c>
      <c r="V64" s="22" t="s">
        <v>690</v>
      </c>
      <c r="W64" s="18">
        <v>45857.0</v>
      </c>
      <c r="X64" s="20">
        <v>0.35833333333333334</v>
      </c>
      <c r="Y64" s="18">
        <v>45857.0</v>
      </c>
      <c r="Z64" s="20">
        <v>0.7333333333333333</v>
      </c>
      <c r="AA64" s="20">
        <v>0.7361111111111112</v>
      </c>
      <c r="AB64" s="25">
        <v>0.7916666666666666</v>
      </c>
      <c r="AC64" s="25">
        <v>0.875</v>
      </c>
      <c r="AD64" s="25">
        <v>0.375</v>
      </c>
      <c r="AE64" s="18">
        <v>45858.0</v>
      </c>
      <c r="AF64" s="22" t="s">
        <v>53</v>
      </c>
      <c r="AG64" s="22" t="s">
        <v>691</v>
      </c>
      <c r="AH64" s="57" t="s">
        <v>692</v>
      </c>
      <c r="AI64" s="26">
        <f t="shared" si="1"/>
        <v>-0.06666666667</v>
      </c>
      <c r="AJ64" s="27">
        <f t="shared" si="2"/>
        <v>0</v>
      </c>
      <c r="AK64" s="28" t="str">
        <f t="shared" si="3"/>
        <v>Pass</v>
      </c>
    </row>
    <row r="65">
      <c r="A65" s="45">
        <v>45857.0</v>
      </c>
      <c r="B65" s="46"/>
      <c r="C65" s="45">
        <v>45857.0</v>
      </c>
      <c r="D65" s="20">
        <v>0.36875</v>
      </c>
      <c r="E65" s="22" t="s">
        <v>693</v>
      </c>
      <c r="F65" s="22" t="s">
        <v>694</v>
      </c>
      <c r="G65" s="22" t="s">
        <v>695</v>
      </c>
      <c r="H65" s="22" t="s">
        <v>130</v>
      </c>
      <c r="I65" s="22" t="s">
        <v>60</v>
      </c>
      <c r="J65" s="47"/>
      <c r="K65" s="21" t="s">
        <v>61</v>
      </c>
      <c r="L65" s="21" t="s">
        <v>183</v>
      </c>
      <c r="M65" s="21" t="s">
        <v>696</v>
      </c>
      <c r="N65" s="22" t="s">
        <v>697</v>
      </c>
      <c r="O65" s="23" t="s">
        <v>698</v>
      </c>
      <c r="P65" s="22" t="s">
        <v>75</v>
      </c>
      <c r="Q65" s="24" t="s">
        <v>65</v>
      </c>
      <c r="R65" s="22" t="s">
        <v>699</v>
      </c>
      <c r="S65" s="22" t="s">
        <v>51</v>
      </c>
      <c r="T65" s="22" t="s">
        <v>52</v>
      </c>
      <c r="U65" s="22" t="s">
        <v>52</v>
      </c>
      <c r="V65" s="22" t="s">
        <v>52</v>
      </c>
      <c r="W65" s="18">
        <v>45857.0</v>
      </c>
      <c r="X65" s="20">
        <v>0.36875</v>
      </c>
      <c r="Y65" s="18">
        <v>45857.0</v>
      </c>
      <c r="Z65" s="20">
        <v>0.6493055555555556</v>
      </c>
      <c r="AA65" s="20">
        <v>0.6527777777777778</v>
      </c>
      <c r="AB65" s="25">
        <v>0.36875</v>
      </c>
      <c r="AC65" s="29"/>
      <c r="AD65" s="25">
        <v>0.6875</v>
      </c>
      <c r="AE65" s="18">
        <v>45857.0</v>
      </c>
      <c r="AF65" s="22" t="s">
        <v>53</v>
      </c>
      <c r="AG65" s="22" t="s">
        <v>102</v>
      </c>
      <c r="AH65" s="22" t="s">
        <v>700</v>
      </c>
      <c r="AI65" s="26">
        <f t="shared" si="1"/>
        <v>0.31875</v>
      </c>
      <c r="AJ65" s="27">
        <f t="shared" si="2"/>
        <v>0</v>
      </c>
      <c r="AK65" s="28" t="str">
        <f t="shared" si="3"/>
        <v>Pass</v>
      </c>
    </row>
    <row r="66">
      <c r="A66" s="45">
        <v>45857.0</v>
      </c>
      <c r="B66" s="46"/>
      <c r="C66" s="45">
        <v>45857.0</v>
      </c>
      <c r="D66" s="20">
        <v>0.37083333333333335</v>
      </c>
      <c r="E66" s="22" t="s">
        <v>701</v>
      </c>
      <c r="F66" s="21" t="s">
        <v>375</v>
      </c>
      <c r="G66" s="21" t="s">
        <v>376</v>
      </c>
      <c r="H66" s="22" t="s">
        <v>308</v>
      </c>
      <c r="I66" s="22" t="s">
        <v>702</v>
      </c>
      <c r="J66" s="47"/>
      <c r="K66" s="47"/>
      <c r="L66" s="21" t="s">
        <v>703</v>
      </c>
      <c r="M66" s="21" t="s">
        <v>704</v>
      </c>
      <c r="N66" s="22" t="s">
        <v>705</v>
      </c>
      <c r="O66" s="23" t="s">
        <v>706</v>
      </c>
      <c r="P66" s="22" t="s">
        <v>48</v>
      </c>
      <c r="Q66" s="24" t="s">
        <v>65</v>
      </c>
      <c r="R66" s="22" t="s">
        <v>707</v>
      </c>
      <c r="S66" s="22" t="s">
        <v>51</v>
      </c>
      <c r="T66" s="21" t="s">
        <v>52</v>
      </c>
      <c r="U66" s="21" t="s">
        <v>52</v>
      </c>
      <c r="V66" s="21" t="s">
        <v>52</v>
      </c>
      <c r="W66" s="18">
        <v>45857.0</v>
      </c>
      <c r="X66" s="20">
        <v>0.37083333333333335</v>
      </c>
      <c r="Y66" s="18">
        <v>45857.0</v>
      </c>
      <c r="Z66" s="20">
        <v>0.45416666666666666</v>
      </c>
      <c r="AA66" s="20">
        <v>0.4583333333333333</v>
      </c>
      <c r="AB66" s="29"/>
      <c r="AC66" s="29"/>
      <c r="AD66" s="51">
        <v>0.5</v>
      </c>
      <c r="AE66" s="18">
        <v>45857.0</v>
      </c>
      <c r="AF66" s="22" t="s">
        <v>53</v>
      </c>
      <c r="AG66" s="22" t="s">
        <v>382</v>
      </c>
      <c r="AH66" s="22" t="s">
        <v>708</v>
      </c>
      <c r="AI66" s="26">
        <f t="shared" si="1"/>
        <v>0.1291666667</v>
      </c>
      <c r="AJ66" s="27">
        <f t="shared" si="2"/>
        <v>0</v>
      </c>
      <c r="AK66" s="28" t="str">
        <f t="shared" si="3"/>
        <v>Pass</v>
      </c>
    </row>
    <row r="67">
      <c r="A67" s="45">
        <v>45857.0</v>
      </c>
      <c r="B67" s="46"/>
      <c r="C67" s="45">
        <v>45857.0</v>
      </c>
      <c r="D67" s="20">
        <v>0.4263888888888889</v>
      </c>
      <c r="E67" s="22" t="s">
        <v>709</v>
      </c>
      <c r="F67" s="21" t="s">
        <v>710</v>
      </c>
      <c r="G67" s="21" t="s">
        <v>711</v>
      </c>
      <c r="H67" s="22" t="s">
        <v>130</v>
      </c>
      <c r="I67" s="22" t="s">
        <v>95</v>
      </c>
      <c r="J67" s="47"/>
      <c r="K67" s="21" t="s">
        <v>143</v>
      </c>
      <c r="L67" s="21" t="s">
        <v>144</v>
      </c>
      <c r="M67" s="21" t="s">
        <v>712</v>
      </c>
      <c r="N67" s="22" t="s">
        <v>713</v>
      </c>
      <c r="O67" s="23" t="s">
        <v>714</v>
      </c>
      <c r="P67" s="22" t="s">
        <v>48</v>
      </c>
      <c r="Q67" s="24" t="s">
        <v>49</v>
      </c>
      <c r="R67" s="22" t="s">
        <v>715</v>
      </c>
      <c r="S67" s="22" t="s">
        <v>51</v>
      </c>
      <c r="T67" s="21" t="s">
        <v>52</v>
      </c>
      <c r="U67" s="21" t="s">
        <v>52</v>
      </c>
      <c r="V67" s="21" t="s">
        <v>52</v>
      </c>
      <c r="W67" s="18">
        <v>45857.0</v>
      </c>
      <c r="X67" s="20">
        <v>0.4263888888888889</v>
      </c>
      <c r="Y67" s="18">
        <v>45857.0</v>
      </c>
      <c r="Z67" s="20">
        <v>0.49166666666666664</v>
      </c>
      <c r="AA67" s="20">
        <v>0.5347222222222222</v>
      </c>
      <c r="AB67" s="25">
        <v>0.4395833333333333</v>
      </c>
      <c r="AC67" s="25">
        <v>0.4826388888888889</v>
      </c>
      <c r="AD67" s="25">
        <v>0.6354166666666666</v>
      </c>
      <c r="AE67" s="18">
        <v>45857.0</v>
      </c>
      <c r="AF67" s="22" t="s">
        <v>53</v>
      </c>
      <c r="AG67" s="22" t="s">
        <v>102</v>
      </c>
      <c r="AH67" s="22" t="s">
        <v>716</v>
      </c>
      <c r="AI67" s="26">
        <f t="shared" si="1"/>
        <v>0.1659722222</v>
      </c>
      <c r="AJ67" s="27">
        <f t="shared" si="2"/>
        <v>0</v>
      </c>
      <c r="AK67" s="28" t="str">
        <f t="shared" si="3"/>
        <v>Pass</v>
      </c>
    </row>
    <row r="68">
      <c r="A68" s="45">
        <v>45857.0</v>
      </c>
      <c r="B68" s="46"/>
      <c r="C68" s="45">
        <v>45857.0</v>
      </c>
      <c r="D68" s="20">
        <v>0.43194444444444446</v>
      </c>
      <c r="E68" s="22" t="s">
        <v>717</v>
      </c>
      <c r="F68" s="21" t="s">
        <v>718</v>
      </c>
      <c r="G68" s="21" t="s">
        <v>719</v>
      </c>
      <c r="H68" s="22" t="s">
        <v>130</v>
      </c>
      <c r="I68" s="22" t="s">
        <v>95</v>
      </c>
      <c r="J68" s="47"/>
      <c r="K68" s="21" t="s">
        <v>143</v>
      </c>
      <c r="L68" s="21" t="s">
        <v>606</v>
      </c>
      <c r="M68" s="21" t="s">
        <v>720</v>
      </c>
      <c r="N68" s="22" t="s">
        <v>721</v>
      </c>
      <c r="O68" s="23" t="s">
        <v>722</v>
      </c>
      <c r="P68" s="22" t="s">
        <v>48</v>
      </c>
      <c r="Q68" s="24" t="s">
        <v>49</v>
      </c>
      <c r="R68" s="22" t="s">
        <v>723</v>
      </c>
      <c r="S68" s="22" t="s">
        <v>51</v>
      </c>
      <c r="T68" s="21" t="s">
        <v>52</v>
      </c>
      <c r="U68" s="21" t="s">
        <v>52</v>
      </c>
      <c r="V68" s="21" t="s">
        <v>52</v>
      </c>
      <c r="W68" s="18">
        <v>45857.0</v>
      </c>
      <c r="X68" s="20">
        <v>0.43194444444444446</v>
      </c>
      <c r="Y68" s="18">
        <v>45857.0</v>
      </c>
      <c r="Z68" s="20">
        <v>0.5416666666666666</v>
      </c>
      <c r="AA68" s="20">
        <v>0.5451388888888888</v>
      </c>
      <c r="AB68" s="25">
        <v>0.4166666666666667</v>
      </c>
      <c r="AC68" s="25">
        <v>0.5347222222222222</v>
      </c>
      <c r="AD68" s="25">
        <v>0.625</v>
      </c>
      <c r="AE68" s="18">
        <v>45857.0</v>
      </c>
      <c r="AF68" s="22" t="s">
        <v>53</v>
      </c>
      <c r="AG68" s="22" t="s">
        <v>78</v>
      </c>
      <c r="AH68" s="22" t="s">
        <v>724</v>
      </c>
      <c r="AI68" s="26">
        <f t="shared" si="1"/>
        <v>0.075</v>
      </c>
      <c r="AJ68" s="27">
        <f t="shared" si="2"/>
        <v>0</v>
      </c>
      <c r="AK68" s="28" t="str">
        <f t="shared" si="3"/>
        <v>Pass</v>
      </c>
    </row>
    <row r="69">
      <c r="A69" s="18">
        <v>45857.0</v>
      </c>
      <c r="B69" s="19"/>
      <c r="C69" s="18">
        <v>45857.0</v>
      </c>
      <c r="D69" s="20">
        <v>0.5333333333333333</v>
      </c>
      <c r="E69" s="22" t="s">
        <v>725</v>
      </c>
      <c r="F69" s="21" t="s">
        <v>726</v>
      </c>
      <c r="G69" s="21" t="s">
        <v>727</v>
      </c>
      <c r="H69" s="22" t="s">
        <v>130</v>
      </c>
      <c r="I69" s="22" t="s">
        <v>95</v>
      </c>
      <c r="J69" s="47"/>
      <c r="K69" s="21" t="s">
        <v>606</v>
      </c>
      <c r="L69" s="21" t="s">
        <v>728</v>
      </c>
      <c r="M69" s="21" t="s">
        <v>729</v>
      </c>
      <c r="N69" s="22" t="s">
        <v>730</v>
      </c>
      <c r="O69" s="23" t="s">
        <v>731</v>
      </c>
      <c r="P69" s="22" t="s">
        <v>48</v>
      </c>
      <c r="Q69" s="24" t="s">
        <v>49</v>
      </c>
      <c r="R69" s="22" t="s">
        <v>732</v>
      </c>
      <c r="S69" s="22" t="s">
        <v>51</v>
      </c>
      <c r="T69" s="21" t="s">
        <v>52</v>
      </c>
      <c r="U69" s="21" t="s">
        <v>52</v>
      </c>
      <c r="V69" s="21" t="s">
        <v>52</v>
      </c>
      <c r="W69" s="18">
        <v>45857.0</v>
      </c>
      <c r="X69" s="20">
        <v>0.5333333333333333</v>
      </c>
      <c r="Y69" s="18">
        <v>45857.0</v>
      </c>
      <c r="Z69" s="20">
        <v>0.5965277777777778</v>
      </c>
      <c r="AA69" s="20">
        <v>0.5972222222222222</v>
      </c>
      <c r="AB69" s="29"/>
      <c r="AC69" s="29"/>
      <c r="AD69" s="25">
        <v>0.6361111111111111</v>
      </c>
      <c r="AE69" s="18">
        <v>45857.0</v>
      </c>
      <c r="AF69" s="22" t="s">
        <v>53</v>
      </c>
      <c r="AG69" s="57" t="s">
        <v>89</v>
      </c>
      <c r="AH69" s="57" t="s">
        <v>733</v>
      </c>
      <c r="AI69" s="26">
        <f t="shared" si="1"/>
        <v>0.1027777778</v>
      </c>
      <c r="AJ69" s="27">
        <f t="shared" si="2"/>
        <v>0</v>
      </c>
      <c r="AK69" s="28" t="str">
        <f t="shared" si="3"/>
        <v>Pass</v>
      </c>
    </row>
    <row r="70">
      <c r="A70" s="45">
        <v>45857.0</v>
      </c>
      <c r="B70" s="46"/>
      <c r="C70" s="45">
        <v>45857.0</v>
      </c>
      <c r="D70" s="49">
        <v>0.8659722222222223</v>
      </c>
      <c r="E70" s="21" t="s">
        <v>734</v>
      </c>
      <c r="F70" s="21" t="s">
        <v>735</v>
      </c>
      <c r="G70" s="21" t="s">
        <v>736</v>
      </c>
      <c r="H70" s="21" t="s">
        <v>130</v>
      </c>
      <c r="I70" s="21" t="s">
        <v>737</v>
      </c>
      <c r="J70" s="47"/>
      <c r="K70" s="21" t="s">
        <v>738</v>
      </c>
      <c r="L70" s="21" t="s">
        <v>739</v>
      </c>
      <c r="M70" s="21" t="s">
        <v>740</v>
      </c>
      <c r="N70" s="21" t="s">
        <v>741</v>
      </c>
      <c r="O70" s="48" t="s">
        <v>742</v>
      </c>
      <c r="P70" s="21" t="s">
        <v>48</v>
      </c>
      <c r="Q70" s="24" t="s">
        <v>49</v>
      </c>
      <c r="R70" s="21" t="s">
        <v>743</v>
      </c>
      <c r="S70" s="21" t="s">
        <v>51</v>
      </c>
      <c r="T70" s="21" t="s">
        <v>52</v>
      </c>
      <c r="U70" s="21" t="s">
        <v>52</v>
      </c>
      <c r="V70" s="21" t="s">
        <v>52</v>
      </c>
      <c r="W70" s="45">
        <v>45857.0</v>
      </c>
      <c r="X70" s="49">
        <v>0.8659722222222223</v>
      </c>
      <c r="Y70" s="45">
        <v>45858.0</v>
      </c>
      <c r="Z70" s="49">
        <v>0.2916666666666667</v>
      </c>
      <c r="AA70" s="49">
        <v>0.3125</v>
      </c>
      <c r="AB70" s="25">
        <v>0.2916666666666667</v>
      </c>
      <c r="AC70" s="25">
        <v>0.3125</v>
      </c>
      <c r="AD70" s="25">
        <v>0.375</v>
      </c>
      <c r="AE70" s="45">
        <v>45858.0</v>
      </c>
      <c r="AF70" s="21" t="s">
        <v>53</v>
      </c>
      <c r="AG70" s="21" t="s">
        <v>54</v>
      </c>
      <c r="AH70" s="21" t="s">
        <v>744</v>
      </c>
      <c r="AI70" s="26">
        <f t="shared" si="1"/>
        <v>-0.5118055556</v>
      </c>
      <c r="AJ70" s="27">
        <f t="shared" si="2"/>
        <v>0</v>
      </c>
      <c r="AK70" s="28" t="str">
        <f t="shared" si="3"/>
        <v>Pass</v>
      </c>
    </row>
    <row r="71">
      <c r="A71" s="18">
        <v>45858.0</v>
      </c>
      <c r="B71" s="19"/>
      <c r="C71" s="18">
        <v>45859.0</v>
      </c>
      <c r="D71" s="20">
        <v>0.5798611111111112</v>
      </c>
      <c r="E71" s="22" t="s">
        <v>745</v>
      </c>
      <c r="F71" s="21" t="s">
        <v>671</v>
      </c>
      <c r="G71" s="21" t="s">
        <v>672</v>
      </c>
      <c r="H71" s="22" t="s">
        <v>746</v>
      </c>
      <c r="I71" s="22" t="s">
        <v>747</v>
      </c>
      <c r="J71" s="31"/>
      <c r="K71" s="22" t="s">
        <v>43</v>
      </c>
      <c r="L71" s="31"/>
      <c r="M71" s="31"/>
      <c r="N71" s="22" t="s">
        <v>748</v>
      </c>
      <c r="O71" s="23" t="s">
        <v>749</v>
      </c>
      <c r="P71" s="22" t="s">
        <v>75</v>
      </c>
      <c r="Q71" s="24" t="s">
        <v>65</v>
      </c>
      <c r="R71" s="22" t="s">
        <v>750</v>
      </c>
      <c r="S71" s="22" t="s">
        <v>51</v>
      </c>
      <c r="T71" s="22" t="s">
        <v>751</v>
      </c>
      <c r="U71" s="21" t="s">
        <v>52</v>
      </c>
      <c r="V71" s="21" t="s">
        <v>52</v>
      </c>
      <c r="W71" s="45">
        <v>45859.0</v>
      </c>
      <c r="X71" s="49">
        <v>0.5798611111111112</v>
      </c>
      <c r="Y71" s="45">
        <v>45859.0</v>
      </c>
      <c r="Z71" s="49">
        <v>0.6034722222222222</v>
      </c>
      <c r="AA71" s="49">
        <v>0.6111111111111112</v>
      </c>
      <c r="AB71" s="29"/>
      <c r="AC71" s="29"/>
      <c r="AD71" s="25">
        <v>0.6493055555555556</v>
      </c>
      <c r="AE71" s="45">
        <v>45859.0</v>
      </c>
      <c r="AF71" s="21" t="s">
        <v>53</v>
      </c>
      <c r="AG71" s="21" t="s">
        <v>583</v>
      </c>
      <c r="AH71" s="21" t="s">
        <v>752</v>
      </c>
      <c r="AI71" s="26">
        <f t="shared" si="1"/>
        <v>0.06944444444</v>
      </c>
      <c r="AJ71" s="27">
        <f t="shared" si="2"/>
        <v>0</v>
      </c>
      <c r="AK71" s="28" t="str">
        <f t="shared" si="3"/>
        <v>Pass</v>
      </c>
    </row>
    <row r="72">
      <c r="A72" s="45">
        <v>45858.0</v>
      </c>
      <c r="B72" s="46"/>
      <c r="C72" s="45">
        <v>45858.0</v>
      </c>
      <c r="D72" s="49">
        <v>0.35</v>
      </c>
      <c r="E72" s="21" t="s">
        <v>753</v>
      </c>
      <c r="F72" s="21" t="s">
        <v>754</v>
      </c>
      <c r="G72" s="21" t="s">
        <v>755</v>
      </c>
      <c r="H72" s="21" t="s">
        <v>756</v>
      </c>
      <c r="I72" s="21" t="s">
        <v>118</v>
      </c>
      <c r="J72" s="47"/>
      <c r="K72" s="21" t="s">
        <v>61</v>
      </c>
      <c r="L72" s="21" t="s">
        <v>757</v>
      </c>
      <c r="M72" s="21" t="s">
        <v>758</v>
      </c>
      <c r="N72" s="21" t="s">
        <v>759</v>
      </c>
      <c r="O72" s="48" t="s">
        <v>760</v>
      </c>
      <c r="P72" s="21" t="s">
        <v>75</v>
      </c>
      <c r="Q72" s="24" t="s">
        <v>65</v>
      </c>
      <c r="R72" s="21" t="s">
        <v>761</v>
      </c>
      <c r="S72" s="21" t="s">
        <v>51</v>
      </c>
      <c r="T72" s="21" t="s">
        <v>52</v>
      </c>
      <c r="U72" s="21" t="s">
        <v>52</v>
      </c>
      <c r="V72" s="21" t="s">
        <v>52</v>
      </c>
      <c r="W72" s="45">
        <v>45858.0</v>
      </c>
      <c r="X72" s="49">
        <v>0.35</v>
      </c>
      <c r="Y72" s="45">
        <v>45859.0</v>
      </c>
      <c r="Z72" s="49">
        <v>0.375</v>
      </c>
      <c r="AA72" s="49">
        <v>0.3784722222222222</v>
      </c>
      <c r="AB72" s="29"/>
      <c r="AC72" s="29"/>
      <c r="AD72" s="25">
        <v>0.4326388888888889</v>
      </c>
      <c r="AE72" s="45">
        <v>45859.0</v>
      </c>
      <c r="AF72" s="21" t="s">
        <v>53</v>
      </c>
      <c r="AG72" s="21" t="s">
        <v>762</v>
      </c>
      <c r="AH72" s="21" t="s">
        <v>763</v>
      </c>
      <c r="AI72" s="26">
        <f t="shared" si="1"/>
        <v>0.08263888889</v>
      </c>
      <c r="AJ72" s="27">
        <f t="shared" si="2"/>
        <v>0</v>
      </c>
      <c r="AK72" s="28" t="str">
        <f t="shared" si="3"/>
        <v>Pass</v>
      </c>
    </row>
    <row r="73">
      <c r="A73" s="45">
        <v>45858.0</v>
      </c>
      <c r="B73" s="46"/>
      <c r="C73" s="45">
        <v>45858.0</v>
      </c>
      <c r="D73" s="49">
        <v>0.36944444444444446</v>
      </c>
      <c r="E73" s="21" t="s">
        <v>764</v>
      </c>
      <c r="F73" s="21" t="s">
        <v>765</v>
      </c>
      <c r="G73" s="21" t="s">
        <v>766</v>
      </c>
      <c r="H73" s="21" t="s">
        <v>767</v>
      </c>
      <c r="I73" s="21" t="s">
        <v>768</v>
      </c>
      <c r="J73" s="47"/>
      <c r="K73" s="21" t="s">
        <v>769</v>
      </c>
      <c r="L73" s="21" t="s">
        <v>770</v>
      </c>
      <c r="M73" s="21" t="s">
        <v>771</v>
      </c>
      <c r="N73" s="21" t="s">
        <v>772</v>
      </c>
      <c r="O73" s="48" t="s">
        <v>773</v>
      </c>
      <c r="P73" s="21" t="s">
        <v>75</v>
      </c>
      <c r="Q73" s="24" t="s">
        <v>65</v>
      </c>
      <c r="R73" s="21" t="s">
        <v>774</v>
      </c>
      <c r="S73" s="21" t="s">
        <v>51</v>
      </c>
      <c r="T73" s="21" t="s">
        <v>52</v>
      </c>
      <c r="U73" s="21" t="s">
        <v>52</v>
      </c>
      <c r="V73" s="21" t="s">
        <v>52</v>
      </c>
      <c r="W73" s="45">
        <v>45858.0</v>
      </c>
      <c r="X73" s="49">
        <v>0.36944444444444446</v>
      </c>
      <c r="Y73" s="45">
        <v>45859.0</v>
      </c>
      <c r="Z73" s="49">
        <v>0.43819444444444444</v>
      </c>
      <c r="AA73" s="49">
        <v>0.4409722222222222</v>
      </c>
      <c r="AB73" s="29"/>
      <c r="AC73" s="29"/>
      <c r="AD73" s="25">
        <v>0.4930555555555556</v>
      </c>
      <c r="AE73" s="45">
        <v>45859.0</v>
      </c>
      <c r="AF73" s="21" t="s">
        <v>53</v>
      </c>
      <c r="AG73" s="21" t="s">
        <v>775</v>
      </c>
      <c r="AH73" s="21" t="s">
        <v>776</v>
      </c>
      <c r="AI73" s="26">
        <f t="shared" si="1"/>
        <v>0.1236111111</v>
      </c>
      <c r="AJ73" s="27">
        <f t="shared" si="2"/>
        <v>0</v>
      </c>
      <c r="AK73" s="28" t="str">
        <f t="shared" si="3"/>
        <v>Pass</v>
      </c>
    </row>
    <row r="74">
      <c r="A74" s="18">
        <v>45858.0</v>
      </c>
      <c r="B74" s="19"/>
      <c r="C74" s="18">
        <v>45858.0</v>
      </c>
      <c r="D74" s="20">
        <v>0.7833333333333333</v>
      </c>
      <c r="E74" s="22" t="s">
        <v>777</v>
      </c>
      <c r="F74" s="22" t="s">
        <v>778</v>
      </c>
      <c r="G74" s="22" t="s">
        <v>779</v>
      </c>
      <c r="H74" s="22" t="s">
        <v>182</v>
      </c>
      <c r="I74" s="22" t="s">
        <v>60</v>
      </c>
      <c r="J74" s="31"/>
      <c r="K74" s="22" t="s">
        <v>61</v>
      </c>
      <c r="L74" s="22" t="s">
        <v>183</v>
      </c>
      <c r="M74" s="22" t="s">
        <v>780</v>
      </c>
      <c r="N74" s="22" t="s">
        <v>781</v>
      </c>
      <c r="O74" s="23" t="s">
        <v>782</v>
      </c>
      <c r="P74" s="22" t="s">
        <v>187</v>
      </c>
      <c r="Q74" s="50" t="s">
        <v>65</v>
      </c>
      <c r="R74" s="22" t="s">
        <v>783</v>
      </c>
      <c r="S74" s="22" t="s">
        <v>51</v>
      </c>
      <c r="T74" s="22" t="s">
        <v>52</v>
      </c>
      <c r="U74" s="22" t="s">
        <v>52</v>
      </c>
      <c r="V74" s="22" t="s">
        <v>52</v>
      </c>
      <c r="W74" s="18">
        <v>45858.0</v>
      </c>
      <c r="X74" s="20">
        <v>0.7833333333333333</v>
      </c>
      <c r="Y74" s="18">
        <v>45858.0</v>
      </c>
      <c r="Z74" s="20">
        <v>0.8055555555555556</v>
      </c>
      <c r="AA74" s="20">
        <v>0.8125</v>
      </c>
      <c r="AB74" s="54"/>
      <c r="AC74" s="54"/>
      <c r="AD74" s="51">
        <v>0.8333333333333334</v>
      </c>
      <c r="AE74" s="18">
        <v>45858.0</v>
      </c>
      <c r="AF74" s="22" t="s">
        <v>53</v>
      </c>
      <c r="AG74" s="22" t="s">
        <v>392</v>
      </c>
      <c r="AH74" s="22" t="s">
        <v>784</v>
      </c>
      <c r="AI74" s="26">
        <f t="shared" si="1"/>
        <v>0.05</v>
      </c>
      <c r="AJ74" s="27">
        <f t="shared" si="2"/>
        <v>0</v>
      </c>
      <c r="AK74" s="28" t="str">
        <f t="shared" si="3"/>
        <v>Pass</v>
      </c>
    </row>
    <row r="75">
      <c r="A75" s="18">
        <v>45858.0</v>
      </c>
      <c r="B75" s="19"/>
      <c r="C75" s="18">
        <v>45858.0</v>
      </c>
      <c r="D75" s="20">
        <v>0.5263888888888889</v>
      </c>
      <c r="E75" s="22" t="s">
        <v>785</v>
      </c>
      <c r="F75" s="22" t="s">
        <v>786</v>
      </c>
      <c r="G75" s="22" t="s">
        <v>787</v>
      </c>
      <c r="H75" s="22" t="s">
        <v>308</v>
      </c>
      <c r="I75" s="22" t="s">
        <v>702</v>
      </c>
      <c r="J75" s="31"/>
      <c r="K75" s="22" t="s">
        <v>788</v>
      </c>
      <c r="L75" s="22" t="s">
        <v>789</v>
      </c>
      <c r="M75" s="58" t="s">
        <v>790</v>
      </c>
      <c r="N75" s="22" t="s">
        <v>791</v>
      </c>
      <c r="O75" s="23" t="s">
        <v>792</v>
      </c>
      <c r="P75" s="22" t="s">
        <v>48</v>
      </c>
      <c r="Q75" s="50" t="s">
        <v>65</v>
      </c>
      <c r="R75" s="22" t="s">
        <v>793</v>
      </c>
      <c r="S75" s="22" t="s">
        <v>51</v>
      </c>
      <c r="T75" s="22" t="s">
        <v>52</v>
      </c>
      <c r="U75" s="22" t="s">
        <v>52</v>
      </c>
      <c r="V75" s="22" t="s">
        <v>52</v>
      </c>
      <c r="W75" s="18">
        <v>45858.0</v>
      </c>
      <c r="X75" s="20">
        <v>0.5263888888888889</v>
      </c>
      <c r="Y75" s="18">
        <v>45859.0</v>
      </c>
      <c r="Z75" s="20">
        <v>0.5694444444444444</v>
      </c>
      <c r="AA75" s="20">
        <v>0.5729166666666666</v>
      </c>
      <c r="AB75" s="54"/>
      <c r="AC75" s="54"/>
      <c r="AD75" s="51">
        <v>0.6770833333333334</v>
      </c>
      <c r="AE75" s="18">
        <v>45859.0</v>
      </c>
      <c r="AF75" s="22" t="s">
        <v>53</v>
      </c>
      <c r="AG75" s="22" t="s">
        <v>102</v>
      </c>
      <c r="AH75" s="22" t="s">
        <v>794</v>
      </c>
      <c r="AI75" s="26">
        <f t="shared" si="1"/>
        <v>0.1506944444</v>
      </c>
      <c r="AJ75" s="27">
        <f t="shared" si="2"/>
        <v>0</v>
      </c>
      <c r="AK75" s="28" t="str">
        <f t="shared" si="3"/>
        <v>Pass</v>
      </c>
    </row>
    <row r="76">
      <c r="A76" s="45">
        <v>45858.0</v>
      </c>
      <c r="B76" s="46"/>
      <c r="C76" s="45">
        <v>45858.0</v>
      </c>
      <c r="D76" s="49">
        <v>0.31527777777777777</v>
      </c>
      <c r="E76" s="21" t="s">
        <v>795</v>
      </c>
      <c r="F76" s="21" t="s">
        <v>796</v>
      </c>
      <c r="G76" s="21" t="s">
        <v>797</v>
      </c>
      <c r="H76" s="21" t="s">
        <v>798</v>
      </c>
      <c r="I76" s="21" t="s">
        <v>234</v>
      </c>
      <c r="J76" s="47"/>
      <c r="K76" s="21" t="s">
        <v>61</v>
      </c>
      <c r="L76" s="21" t="s">
        <v>183</v>
      </c>
      <c r="M76" s="21" t="s">
        <v>799</v>
      </c>
      <c r="N76" s="21" t="s">
        <v>800</v>
      </c>
      <c r="O76" s="48" t="s">
        <v>801</v>
      </c>
      <c r="P76" s="21" t="s">
        <v>75</v>
      </c>
      <c r="Q76" s="24" t="s">
        <v>65</v>
      </c>
      <c r="R76" s="21" t="s">
        <v>802</v>
      </c>
      <c r="S76" s="21" t="s">
        <v>51</v>
      </c>
      <c r="T76" s="21" t="s">
        <v>52</v>
      </c>
      <c r="U76" s="21" t="s">
        <v>52</v>
      </c>
      <c r="V76" s="21" t="s">
        <v>52</v>
      </c>
      <c r="W76" s="45">
        <v>45858.0</v>
      </c>
      <c r="X76" s="49">
        <v>0.31527777777777777</v>
      </c>
      <c r="Y76" s="45">
        <v>45859.0</v>
      </c>
      <c r="Z76" s="49">
        <v>0.4076388888888889</v>
      </c>
      <c r="AA76" s="49">
        <v>0.4131944444444444</v>
      </c>
      <c r="AB76" s="29"/>
      <c r="AC76" s="29"/>
      <c r="AD76" s="25">
        <v>0.4861111111111111</v>
      </c>
      <c r="AE76" s="45">
        <v>45859.0</v>
      </c>
      <c r="AF76" s="21" t="s">
        <v>53</v>
      </c>
      <c r="AG76" s="21" t="s">
        <v>583</v>
      </c>
      <c r="AH76" s="21" t="s">
        <v>803</v>
      </c>
      <c r="AI76" s="26">
        <f t="shared" si="1"/>
        <v>0.1708333333</v>
      </c>
      <c r="AJ76" s="27">
        <f t="shared" si="2"/>
        <v>0</v>
      </c>
      <c r="AK76" s="28" t="str">
        <f t="shared" si="3"/>
        <v>Pass</v>
      </c>
    </row>
    <row r="77">
      <c r="A77" s="18">
        <v>45836.0</v>
      </c>
      <c r="B77" s="19"/>
      <c r="C77" s="18">
        <v>45859.0</v>
      </c>
      <c r="D77" s="20">
        <v>0.49444444444444446</v>
      </c>
      <c r="E77" s="22" t="s">
        <v>804</v>
      </c>
      <c r="F77" s="22" t="s">
        <v>543</v>
      </c>
      <c r="G77" s="22" t="s">
        <v>544</v>
      </c>
      <c r="H77" s="22" t="s">
        <v>615</v>
      </c>
      <c r="I77" s="22" t="s">
        <v>60</v>
      </c>
      <c r="J77" s="31"/>
      <c r="K77" s="22" t="s">
        <v>43</v>
      </c>
      <c r="L77" s="22" t="s">
        <v>805</v>
      </c>
      <c r="M77" s="22" t="s">
        <v>806</v>
      </c>
      <c r="N77" s="22" t="s">
        <v>807</v>
      </c>
      <c r="O77" s="23" t="s">
        <v>808</v>
      </c>
      <c r="P77" s="22" t="s">
        <v>75</v>
      </c>
      <c r="Q77" s="50" t="s">
        <v>65</v>
      </c>
      <c r="R77" s="22" t="s">
        <v>809</v>
      </c>
      <c r="S77" s="22" t="s">
        <v>51</v>
      </c>
      <c r="T77" s="22" t="s">
        <v>52</v>
      </c>
      <c r="U77" s="22" t="s">
        <v>52</v>
      </c>
      <c r="V77" s="22" t="s">
        <v>52</v>
      </c>
      <c r="W77" s="18">
        <v>45859.0</v>
      </c>
      <c r="X77" s="20">
        <v>0.49444444444444446</v>
      </c>
      <c r="Y77" s="18">
        <v>45859.0</v>
      </c>
      <c r="Z77" s="20">
        <v>0.49444444444444446</v>
      </c>
      <c r="AA77" s="20">
        <v>0.5069444444444444</v>
      </c>
      <c r="AB77" s="54"/>
      <c r="AC77" s="54"/>
      <c r="AD77" s="51">
        <v>0.5416666666666666</v>
      </c>
      <c r="AE77" s="18">
        <v>45859.0</v>
      </c>
      <c r="AF77" s="22" t="s">
        <v>53</v>
      </c>
      <c r="AG77" s="22" t="s">
        <v>583</v>
      </c>
      <c r="AH77" s="22" t="s">
        <v>810</v>
      </c>
      <c r="AI77" s="26">
        <f t="shared" si="1"/>
        <v>0.04722222222</v>
      </c>
      <c r="AJ77" s="27">
        <f t="shared" si="2"/>
        <v>0</v>
      </c>
      <c r="AK77" s="28" t="str">
        <f t="shared" si="3"/>
        <v>Pass</v>
      </c>
    </row>
    <row r="78">
      <c r="A78" s="45">
        <v>45859.0</v>
      </c>
      <c r="B78" s="46"/>
      <c r="C78" s="45">
        <v>45859.0</v>
      </c>
      <c r="D78" s="49">
        <v>0.37777777777777777</v>
      </c>
      <c r="E78" s="21" t="s">
        <v>811</v>
      </c>
      <c r="F78" s="21" t="s">
        <v>812</v>
      </c>
      <c r="G78" s="21" t="s">
        <v>813</v>
      </c>
      <c r="H78" s="21" t="s">
        <v>814</v>
      </c>
      <c r="I78" s="21" t="s">
        <v>815</v>
      </c>
      <c r="J78" s="47"/>
      <c r="K78" s="21" t="s">
        <v>816</v>
      </c>
      <c r="L78" s="21" t="s">
        <v>817</v>
      </c>
      <c r="M78" s="21" t="s">
        <v>818</v>
      </c>
      <c r="N78" s="21" t="s">
        <v>819</v>
      </c>
      <c r="O78" s="48" t="s">
        <v>820</v>
      </c>
      <c r="P78" s="21" t="s">
        <v>48</v>
      </c>
      <c r="Q78" s="24" t="s">
        <v>65</v>
      </c>
      <c r="R78" s="21" t="s">
        <v>821</v>
      </c>
      <c r="S78" s="21" t="s">
        <v>51</v>
      </c>
      <c r="T78" s="21" t="s">
        <v>822</v>
      </c>
      <c r="U78" s="21" t="s">
        <v>818</v>
      </c>
      <c r="V78" s="21">
        <v>8.61585040704387E14</v>
      </c>
      <c r="W78" s="45">
        <v>45859.0</v>
      </c>
      <c r="X78" s="49">
        <v>0.37777777777777777</v>
      </c>
      <c r="Y78" s="45">
        <v>45859.0</v>
      </c>
      <c r="Z78" s="49">
        <v>0.5208333333333334</v>
      </c>
      <c r="AA78" s="49">
        <v>0.5763888888888888</v>
      </c>
      <c r="AB78" s="25">
        <v>0.5208333333333334</v>
      </c>
      <c r="AC78" s="25">
        <v>0.5763888888888888</v>
      </c>
      <c r="AD78" s="25">
        <v>0.625</v>
      </c>
      <c r="AE78" s="45">
        <v>45859.0</v>
      </c>
      <c r="AF78" s="21" t="s">
        <v>53</v>
      </c>
      <c r="AG78" s="21" t="s">
        <v>54</v>
      </c>
      <c r="AH78" s="21" t="s">
        <v>823</v>
      </c>
      <c r="AI78" s="26">
        <f t="shared" si="1"/>
        <v>0.1916666667</v>
      </c>
      <c r="AJ78" s="27">
        <f t="shared" si="2"/>
        <v>0</v>
      </c>
      <c r="AK78" s="28" t="str">
        <f t="shared" si="3"/>
        <v>Pass</v>
      </c>
    </row>
    <row r="79">
      <c r="A79" s="18">
        <v>45859.0</v>
      </c>
      <c r="B79" s="19"/>
      <c r="C79" s="18">
        <v>45859.0</v>
      </c>
      <c r="D79" s="49">
        <v>0.35</v>
      </c>
      <c r="E79" s="21" t="s">
        <v>824</v>
      </c>
      <c r="F79" s="21" t="s">
        <v>754</v>
      </c>
      <c r="G79" s="21" t="s">
        <v>755</v>
      </c>
      <c r="H79" s="21" t="s">
        <v>825</v>
      </c>
      <c r="I79" s="21" t="s">
        <v>60</v>
      </c>
      <c r="J79" s="47"/>
      <c r="K79" s="21" t="s">
        <v>61</v>
      </c>
      <c r="L79" s="21" t="s">
        <v>757</v>
      </c>
      <c r="M79" s="21" t="s">
        <v>758</v>
      </c>
      <c r="N79" s="21" t="s">
        <v>826</v>
      </c>
      <c r="O79" s="48" t="s">
        <v>827</v>
      </c>
      <c r="P79" s="21" t="s">
        <v>75</v>
      </c>
      <c r="Q79" s="24" t="s">
        <v>65</v>
      </c>
      <c r="R79" s="21" t="s">
        <v>828</v>
      </c>
      <c r="S79" s="21" t="s">
        <v>51</v>
      </c>
      <c r="T79" s="21" t="s">
        <v>52</v>
      </c>
      <c r="U79" s="21" t="s">
        <v>52</v>
      </c>
      <c r="V79" s="21" t="s">
        <v>52</v>
      </c>
      <c r="W79" s="45">
        <v>45859.0</v>
      </c>
      <c r="X79" s="49">
        <v>0.35</v>
      </c>
      <c r="Y79" s="45">
        <v>45859.0</v>
      </c>
      <c r="Z79" s="49">
        <v>0.375</v>
      </c>
      <c r="AA79" s="49">
        <v>0.3854166666666667</v>
      </c>
      <c r="AB79" s="25" t="s">
        <v>829</v>
      </c>
      <c r="AC79" s="29"/>
      <c r="AD79" s="25">
        <v>0.4326388888888889</v>
      </c>
      <c r="AE79" s="45">
        <v>45859.0</v>
      </c>
      <c r="AF79" s="21" t="s">
        <v>53</v>
      </c>
      <c r="AG79" s="21" t="s">
        <v>762</v>
      </c>
      <c r="AH79" s="21" t="s">
        <v>763</v>
      </c>
      <c r="AI79" s="26">
        <f t="shared" si="1"/>
        <v>0.08263888889</v>
      </c>
      <c r="AJ79" s="27">
        <f t="shared" si="2"/>
        <v>0</v>
      </c>
      <c r="AK79" s="28" t="str">
        <f t="shared" si="3"/>
        <v>Pass</v>
      </c>
    </row>
    <row r="80">
      <c r="A80" s="18">
        <v>45859.0</v>
      </c>
      <c r="B80" s="19"/>
      <c r="C80" s="18">
        <v>45859.0</v>
      </c>
      <c r="D80" s="49">
        <v>0.35</v>
      </c>
      <c r="E80" s="21" t="s">
        <v>830</v>
      </c>
      <c r="F80" s="21" t="s">
        <v>754</v>
      </c>
      <c r="G80" s="21" t="s">
        <v>755</v>
      </c>
      <c r="H80" s="21" t="s">
        <v>673</v>
      </c>
      <c r="I80" s="21" t="s">
        <v>60</v>
      </c>
      <c r="J80" s="47"/>
      <c r="K80" s="21" t="s">
        <v>61</v>
      </c>
      <c r="L80" s="21" t="s">
        <v>757</v>
      </c>
      <c r="M80" s="21" t="s">
        <v>758</v>
      </c>
      <c r="N80" s="21" t="s">
        <v>831</v>
      </c>
      <c r="O80" s="48" t="s">
        <v>832</v>
      </c>
      <c r="P80" s="21" t="s">
        <v>75</v>
      </c>
      <c r="Q80" s="24" t="s">
        <v>65</v>
      </c>
      <c r="R80" s="21" t="s">
        <v>833</v>
      </c>
      <c r="S80" s="21" t="s">
        <v>51</v>
      </c>
      <c r="T80" s="21" t="s">
        <v>52</v>
      </c>
      <c r="U80" s="21" t="s">
        <v>52</v>
      </c>
      <c r="V80" s="21" t="s">
        <v>52</v>
      </c>
      <c r="W80" s="45">
        <v>45859.0</v>
      </c>
      <c r="X80" s="49">
        <v>0.35</v>
      </c>
      <c r="Y80" s="45">
        <v>45859.0</v>
      </c>
      <c r="Z80" s="49">
        <v>0.375</v>
      </c>
      <c r="AA80" s="49">
        <v>0.3888888888888889</v>
      </c>
      <c r="AB80" s="25" t="s">
        <v>829</v>
      </c>
      <c r="AC80" s="29"/>
      <c r="AD80" s="25">
        <v>0.4326388888888889</v>
      </c>
      <c r="AE80" s="45">
        <v>45859.0</v>
      </c>
      <c r="AF80" s="21" t="s">
        <v>53</v>
      </c>
      <c r="AG80" s="21" t="s">
        <v>762</v>
      </c>
      <c r="AH80" s="21" t="s">
        <v>763</v>
      </c>
      <c r="AI80" s="26">
        <f t="shared" si="1"/>
        <v>0.08263888889</v>
      </c>
      <c r="AJ80" s="27">
        <f t="shared" si="2"/>
        <v>0</v>
      </c>
      <c r="AK80" s="28" t="str">
        <f t="shared" si="3"/>
        <v>Pass</v>
      </c>
    </row>
    <row r="81">
      <c r="A81" s="45">
        <v>45860.0</v>
      </c>
      <c r="B81" s="46"/>
      <c r="C81" s="45">
        <v>45863.0</v>
      </c>
      <c r="D81" s="49">
        <v>0.28541666666666665</v>
      </c>
      <c r="E81" s="21" t="s">
        <v>834</v>
      </c>
      <c r="F81" s="21" t="s">
        <v>140</v>
      </c>
      <c r="G81" s="21" t="s">
        <v>835</v>
      </c>
      <c r="H81" s="21" t="s">
        <v>566</v>
      </c>
      <c r="I81" s="21" t="s">
        <v>836</v>
      </c>
      <c r="J81" s="47"/>
      <c r="K81" s="21" t="s">
        <v>635</v>
      </c>
      <c r="L81" s="21" t="s">
        <v>664</v>
      </c>
      <c r="M81" s="21" t="s">
        <v>837</v>
      </c>
      <c r="N81" s="21" t="s">
        <v>838</v>
      </c>
      <c r="O81" s="48" t="s">
        <v>839</v>
      </c>
      <c r="P81" s="21" t="s">
        <v>48</v>
      </c>
      <c r="Q81" s="24" t="s">
        <v>65</v>
      </c>
      <c r="R81" s="21" t="s">
        <v>840</v>
      </c>
      <c r="S81" s="21" t="s">
        <v>51</v>
      </c>
      <c r="T81" s="21" t="s">
        <v>52</v>
      </c>
      <c r="U81" s="21" t="s">
        <v>52</v>
      </c>
      <c r="V81" s="21" t="s">
        <v>52</v>
      </c>
      <c r="W81" s="45">
        <v>45863.0</v>
      </c>
      <c r="X81" s="49">
        <v>0.28541666666666665</v>
      </c>
      <c r="Y81" s="45">
        <v>45863.0</v>
      </c>
      <c r="Z81" s="49">
        <v>0.48194444444444445</v>
      </c>
      <c r="AA81" s="49">
        <v>0.4861111111111111</v>
      </c>
      <c r="AB81" s="29"/>
      <c r="AC81" s="29"/>
      <c r="AD81" s="25">
        <v>0.5208333333333334</v>
      </c>
      <c r="AE81" s="45">
        <v>45863.0</v>
      </c>
      <c r="AF81" s="21" t="s">
        <v>53</v>
      </c>
      <c r="AG81" s="21" t="s">
        <v>392</v>
      </c>
      <c r="AH81" s="21" t="s">
        <v>152</v>
      </c>
      <c r="AI81" s="26">
        <f t="shared" si="1"/>
        <v>0.2354166667</v>
      </c>
      <c r="AJ81" s="27">
        <f t="shared" si="2"/>
        <v>0</v>
      </c>
      <c r="AK81" s="28" t="str">
        <f t="shared" si="3"/>
        <v>Pass</v>
      </c>
    </row>
    <row r="82">
      <c r="A82" s="18">
        <v>45860.0</v>
      </c>
      <c r="B82" s="19"/>
      <c r="C82" s="18">
        <v>45860.0</v>
      </c>
      <c r="D82" s="20">
        <v>0.5513888888888889</v>
      </c>
      <c r="E82" s="22" t="s">
        <v>841</v>
      </c>
      <c r="F82" s="22" t="s">
        <v>842</v>
      </c>
      <c r="G82" s="22" t="s">
        <v>843</v>
      </c>
      <c r="H82" s="22" t="s">
        <v>566</v>
      </c>
      <c r="I82" s="22" t="s">
        <v>844</v>
      </c>
      <c r="J82" s="31"/>
      <c r="K82" s="22" t="s">
        <v>635</v>
      </c>
      <c r="L82" s="22" t="s">
        <v>664</v>
      </c>
      <c r="M82" s="22" t="s">
        <v>845</v>
      </c>
      <c r="N82" s="22" t="s">
        <v>844</v>
      </c>
      <c r="O82" s="23" t="s">
        <v>846</v>
      </c>
      <c r="P82" s="22" t="s">
        <v>48</v>
      </c>
      <c r="Q82" s="50" t="s">
        <v>65</v>
      </c>
      <c r="R82" s="22" t="s">
        <v>847</v>
      </c>
      <c r="S82" s="22" t="s">
        <v>51</v>
      </c>
      <c r="T82" s="22" t="s">
        <v>52</v>
      </c>
      <c r="U82" s="22" t="s">
        <v>52</v>
      </c>
      <c r="V82" s="22" t="s">
        <v>52</v>
      </c>
      <c r="W82" s="18">
        <v>45860.0</v>
      </c>
      <c r="X82" s="20">
        <v>0.5513888888888889</v>
      </c>
      <c r="Y82" s="18">
        <v>45860.0</v>
      </c>
      <c r="Z82" s="20">
        <v>0.58125</v>
      </c>
      <c r="AA82" s="20">
        <v>0.5833333333333334</v>
      </c>
      <c r="AB82" s="51">
        <v>0.6041666666666666</v>
      </c>
      <c r="AC82" s="51">
        <v>0.6256944444444444</v>
      </c>
      <c r="AD82" s="51">
        <v>0.6256944444444444</v>
      </c>
      <c r="AE82" s="18">
        <v>45860.0</v>
      </c>
      <c r="AF82" s="22" t="s">
        <v>53</v>
      </c>
      <c r="AG82" s="22" t="s">
        <v>848</v>
      </c>
      <c r="AH82" s="22" t="s">
        <v>849</v>
      </c>
      <c r="AI82" s="26">
        <f t="shared" si="1"/>
        <v>0.05277777778</v>
      </c>
      <c r="AJ82" s="27">
        <f t="shared" si="2"/>
        <v>0</v>
      </c>
      <c r="AK82" s="28" t="str">
        <f t="shared" si="3"/>
        <v>Pass</v>
      </c>
    </row>
    <row r="83">
      <c r="A83" s="18">
        <v>45860.0</v>
      </c>
      <c r="B83" s="19"/>
      <c r="C83" s="18">
        <v>45860.0</v>
      </c>
      <c r="D83" s="20">
        <v>0.5833333333333334</v>
      </c>
      <c r="E83" s="22" t="s">
        <v>850</v>
      </c>
      <c r="F83" s="22" t="s">
        <v>316</v>
      </c>
      <c r="G83" s="22" t="s">
        <v>317</v>
      </c>
      <c r="H83" s="22" t="s">
        <v>566</v>
      </c>
      <c r="I83" s="22" t="s">
        <v>644</v>
      </c>
      <c r="J83" s="31"/>
      <c r="K83" s="22" t="s">
        <v>52</v>
      </c>
      <c r="L83" s="22" t="s">
        <v>52</v>
      </c>
      <c r="M83" s="22" t="s">
        <v>52</v>
      </c>
      <c r="N83" s="22" t="s">
        <v>851</v>
      </c>
      <c r="O83" s="23" t="s">
        <v>852</v>
      </c>
      <c r="P83" s="22" t="s">
        <v>48</v>
      </c>
      <c r="Q83" s="50" t="s">
        <v>65</v>
      </c>
      <c r="R83" s="22" t="s">
        <v>853</v>
      </c>
      <c r="S83" s="22" t="s">
        <v>51</v>
      </c>
      <c r="T83" s="22" t="s">
        <v>52</v>
      </c>
      <c r="U83" s="22" t="s">
        <v>52</v>
      </c>
      <c r="V83" s="22" t="s">
        <v>52</v>
      </c>
      <c r="W83" s="18">
        <v>45860.0</v>
      </c>
      <c r="X83" s="20">
        <v>0.5833333333333334</v>
      </c>
      <c r="Y83" s="18">
        <v>45860.0</v>
      </c>
      <c r="Z83" s="20">
        <v>0.7243055555555555</v>
      </c>
      <c r="AA83" s="20">
        <v>0.7256944444444444</v>
      </c>
      <c r="AB83" s="54"/>
      <c r="AC83" s="54"/>
      <c r="AD83" s="51">
        <v>0.78125</v>
      </c>
      <c r="AE83" s="18">
        <v>45860.0</v>
      </c>
      <c r="AF83" s="22" t="s">
        <v>53</v>
      </c>
      <c r="AG83" s="22" t="s">
        <v>102</v>
      </c>
      <c r="AH83" s="31"/>
      <c r="AI83" s="26">
        <f t="shared" si="1"/>
        <v>0.1979166667</v>
      </c>
      <c r="AJ83" s="27">
        <f t="shared" si="2"/>
        <v>0</v>
      </c>
      <c r="AK83" s="28" t="str">
        <f t="shared" si="3"/>
        <v>Pass</v>
      </c>
    </row>
    <row r="84">
      <c r="A84" s="18">
        <v>45860.0</v>
      </c>
      <c r="B84" s="19"/>
      <c r="C84" s="18">
        <v>45860.0</v>
      </c>
      <c r="D84" s="20">
        <v>0.7916666666666666</v>
      </c>
      <c r="E84" s="22" t="s">
        <v>854</v>
      </c>
      <c r="F84" s="22" t="s">
        <v>316</v>
      </c>
      <c r="G84" s="22" t="s">
        <v>317</v>
      </c>
      <c r="H84" s="22" t="s">
        <v>855</v>
      </c>
      <c r="I84" s="22" t="s">
        <v>856</v>
      </c>
      <c r="J84" s="31"/>
      <c r="K84" s="22" t="s">
        <v>857</v>
      </c>
      <c r="L84" s="22" t="s">
        <v>858</v>
      </c>
      <c r="M84" s="22" t="s">
        <v>859</v>
      </c>
      <c r="N84" s="22" t="s">
        <v>860</v>
      </c>
      <c r="O84" s="23" t="s">
        <v>861</v>
      </c>
      <c r="P84" s="22" t="s">
        <v>48</v>
      </c>
      <c r="Q84" s="24" t="s">
        <v>65</v>
      </c>
      <c r="R84" s="22" t="s">
        <v>862</v>
      </c>
      <c r="S84" s="22" t="s">
        <v>51</v>
      </c>
      <c r="T84" s="22" t="s">
        <v>52</v>
      </c>
      <c r="U84" s="22" t="s">
        <v>52</v>
      </c>
      <c r="V84" s="22" t="s">
        <v>52</v>
      </c>
      <c r="W84" s="18">
        <v>45860.0</v>
      </c>
      <c r="X84" s="20">
        <v>0.7916666666666666</v>
      </c>
      <c r="Y84" s="18">
        <v>45860.0</v>
      </c>
      <c r="Z84" s="20">
        <v>0.8465277777777778</v>
      </c>
      <c r="AA84" s="20">
        <v>0.8472222222222222</v>
      </c>
      <c r="AB84" s="29"/>
      <c r="AC84" s="29"/>
      <c r="AD84" s="25">
        <v>0.875</v>
      </c>
      <c r="AE84" s="18">
        <v>45860.0</v>
      </c>
      <c r="AF84" s="22" t="s">
        <v>53</v>
      </c>
      <c r="AG84" s="22" t="s">
        <v>162</v>
      </c>
      <c r="AH84" s="22" t="s">
        <v>863</v>
      </c>
      <c r="AI84" s="26">
        <f t="shared" si="1"/>
        <v>0.08333333333</v>
      </c>
      <c r="AJ84" s="27">
        <f t="shared" si="2"/>
        <v>0</v>
      </c>
      <c r="AK84" s="28" t="str">
        <f t="shared" si="3"/>
        <v>Pass</v>
      </c>
    </row>
    <row r="85">
      <c r="A85" s="18">
        <v>45861.0</v>
      </c>
      <c r="B85" s="19"/>
      <c r="C85" s="18">
        <v>45861.0</v>
      </c>
      <c r="D85" s="20">
        <v>0.4951388888888889</v>
      </c>
      <c r="E85" s="22" t="s">
        <v>864</v>
      </c>
      <c r="F85" s="21" t="s">
        <v>865</v>
      </c>
      <c r="G85" s="21" t="s">
        <v>866</v>
      </c>
      <c r="H85" s="22" t="s">
        <v>566</v>
      </c>
      <c r="I85" s="22" t="s">
        <v>867</v>
      </c>
      <c r="J85" s="31"/>
      <c r="K85" s="31"/>
      <c r="L85" s="31"/>
      <c r="M85" s="31"/>
      <c r="N85" s="22" t="s">
        <v>868</v>
      </c>
      <c r="O85" s="23" t="s">
        <v>869</v>
      </c>
      <c r="P85" s="22" t="s">
        <v>48</v>
      </c>
      <c r="Q85" s="24" t="s">
        <v>65</v>
      </c>
      <c r="R85" s="21" t="s">
        <v>870</v>
      </c>
      <c r="S85" s="22" t="s">
        <v>51</v>
      </c>
      <c r="T85" s="22" t="s">
        <v>52</v>
      </c>
      <c r="U85" s="22" t="s">
        <v>52</v>
      </c>
      <c r="V85" s="22" t="s">
        <v>52</v>
      </c>
      <c r="W85" s="18">
        <v>45861.0</v>
      </c>
      <c r="X85" s="20">
        <v>0.4951388888888889</v>
      </c>
      <c r="Y85" s="18">
        <v>45861.0</v>
      </c>
      <c r="Z85" s="20">
        <v>0.7472222222222222</v>
      </c>
      <c r="AA85" s="20">
        <v>0.75</v>
      </c>
      <c r="AB85" s="29"/>
      <c r="AC85" s="29"/>
      <c r="AD85" s="25">
        <v>0.7951388888888888</v>
      </c>
      <c r="AE85" s="18">
        <v>45861.0</v>
      </c>
      <c r="AF85" s="22" t="s">
        <v>53</v>
      </c>
      <c r="AG85" s="22" t="s">
        <v>102</v>
      </c>
      <c r="AH85" s="22" t="s">
        <v>871</v>
      </c>
      <c r="AI85" s="26">
        <f t="shared" si="1"/>
        <v>0.3</v>
      </c>
      <c r="AJ85" s="27">
        <f t="shared" si="2"/>
        <v>0</v>
      </c>
      <c r="AK85" s="28" t="str">
        <f t="shared" si="3"/>
        <v>Pass</v>
      </c>
    </row>
    <row r="86">
      <c r="A86" s="18">
        <v>45861.0</v>
      </c>
      <c r="B86" s="19"/>
      <c r="C86" s="18">
        <v>45861.0</v>
      </c>
      <c r="D86" s="20">
        <v>0.6416666666666667</v>
      </c>
      <c r="E86" s="22" t="s">
        <v>872</v>
      </c>
      <c r="F86" s="21" t="s">
        <v>526</v>
      </c>
      <c r="G86" s="21" t="s">
        <v>873</v>
      </c>
      <c r="H86" s="22" t="s">
        <v>428</v>
      </c>
      <c r="I86" s="22" t="s">
        <v>874</v>
      </c>
      <c r="J86" s="31"/>
      <c r="K86" s="22" t="s">
        <v>43</v>
      </c>
      <c r="L86" s="22" t="s">
        <v>875</v>
      </c>
      <c r="M86" s="22" t="s">
        <v>529</v>
      </c>
      <c r="N86" s="22" t="s">
        <v>876</v>
      </c>
      <c r="O86" s="23" t="s">
        <v>877</v>
      </c>
      <c r="P86" s="22" t="s">
        <v>75</v>
      </c>
      <c r="Q86" s="24" t="s">
        <v>65</v>
      </c>
      <c r="R86" s="21" t="s">
        <v>878</v>
      </c>
      <c r="S86" s="22" t="s">
        <v>51</v>
      </c>
      <c r="T86" s="22" t="s">
        <v>52</v>
      </c>
      <c r="U86" s="22" t="s">
        <v>52</v>
      </c>
      <c r="V86" s="22" t="s">
        <v>52</v>
      </c>
      <c r="W86" s="18">
        <v>45861.0</v>
      </c>
      <c r="X86" s="20">
        <v>0.6416666666666667</v>
      </c>
      <c r="Y86" s="18">
        <v>45861.0</v>
      </c>
      <c r="Z86" s="20">
        <v>0.7118055555555556</v>
      </c>
      <c r="AA86" s="20">
        <v>0.7152777777777778</v>
      </c>
      <c r="AB86" s="29"/>
      <c r="AC86" s="29"/>
      <c r="AD86" s="25">
        <v>0.7652777777777777</v>
      </c>
      <c r="AE86" s="18">
        <v>45861.0</v>
      </c>
      <c r="AF86" s="22" t="s">
        <v>53</v>
      </c>
      <c r="AG86" s="22" t="s">
        <v>879</v>
      </c>
      <c r="AH86" s="22" t="s">
        <v>880</v>
      </c>
      <c r="AI86" s="26">
        <f t="shared" si="1"/>
        <v>0.1236111111</v>
      </c>
      <c r="AJ86" s="27">
        <f t="shared" si="2"/>
        <v>0</v>
      </c>
      <c r="AK86" s="28" t="str">
        <f t="shared" si="3"/>
        <v>Pass</v>
      </c>
    </row>
    <row r="87">
      <c r="A87" s="18">
        <v>45861.0</v>
      </c>
      <c r="B87" s="19"/>
      <c r="C87" s="18">
        <v>45861.0</v>
      </c>
      <c r="D87" s="20">
        <v>0.7034722222222223</v>
      </c>
      <c r="E87" s="22" t="s">
        <v>881</v>
      </c>
      <c r="F87" s="21" t="s">
        <v>882</v>
      </c>
      <c r="G87" s="21" t="s">
        <v>883</v>
      </c>
      <c r="H87" s="22" t="s">
        <v>566</v>
      </c>
      <c r="I87" s="22" t="s">
        <v>644</v>
      </c>
      <c r="J87" s="31"/>
      <c r="K87" s="31"/>
      <c r="L87" s="22" t="s">
        <v>884</v>
      </c>
      <c r="M87" s="22" t="s">
        <v>885</v>
      </c>
      <c r="N87" s="22" t="s">
        <v>886</v>
      </c>
      <c r="O87" s="23" t="s">
        <v>887</v>
      </c>
      <c r="P87" s="22" t="s">
        <v>48</v>
      </c>
      <c r="Q87" s="24" t="s">
        <v>65</v>
      </c>
      <c r="R87" s="21" t="s">
        <v>888</v>
      </c>
      <c r="S87" s="22" t="s">
        <v>51</v>
      </c>
      <c r="T87" s="22" t="s">
        <v>52</v>
      </c>
      <c r="U87" s="22" t="s">
        <v>52</v>
      </c>
      <c r="V87" s="22" t="s">
        <v>52</v>
      </c>
      <c r="W87" s="18">
        <v>45861.0</v>
      </c>
      <c r="X87" s="20">
        <v>0.7034722222222223</v>
      </c>
      <c r="Y87" s="18">
        <v>45861.0</v>
      </c>
      <c r="Z87" s="20">
        <v>0.7708333333333334</v>
      </c>
      <c r="AA87" s="20">
        <v>0.7743055555555556</v>
      </c>
      <c r="AB87" s="25">
        <v>0.8125</v>
      </c>
      <c r="AC87" s="25">
        <v>0.8333333333333334</v>
      </c>
      <c r="AD87" s="25">
        <v>0.8333333333333334</v>
      </c>
      <c r="AE87" s="18">
        <v>45861.0</v>
      </c>
      <c r="AF87" s="22" t="s">
        <v>53</v>
      </c>
      <c r="AG87" s="22" t="s">
        <v>54</v>
      </c>
      <c r="AH87" s="22" t="s">
        <v>889</v>
      </c>
      <c r="AI87" s="26">
        <f t="shared" si="1"/>
        <v>0.1090277778</v>
      </c>
      <c r="AJ87" s="27">
        <f t="shared" si="2"/>
        <v>0</v>
      </c>
      <c r="AK87" s="28" t="str">
        <f t="shared" si="3"/>
        <v>Pass</v>
      </c>
    </row>
    <row r="88">
      <c r="A88" s="18">
        <v>45861.0</v>
      </c>
      <c r="B88" s="19"/>
      <c r="C88" s="18">
        <v>45861.0</v>
      </c>
      <c r="D88" s="20">
        <v>0.8395833333333333</v>
      </c>
      <c r="E88" s="22" t="s">
        <v>890</v>
      </c>
      <c r="F88" s="21" t="s">
        <v>882</v>
      </c>
      <c r="G88" s="21" t="s">
        <v>883</v>
      </c>
      <c r="H88" s="22" t="s">
        <v>891</v>
      </c>
      <c r="I88" s="22" t="s">
        <v>42</v>
      </c>
      <c r="J88" s="31"/>
      <c r="K88" s="22" t="s">
        <v>61</v>
      </c>
      <c r="L88" s="22" t="s">
        <v>892</v>
      </c>
      <c r="M88" s="22" t="s">
        <v>893</v>
      </c>
      <c r="N88" s="22" t="s">
        <v>894</v>
      </c>
      <c r="O88" s="23" t="s">
        <v>895</v>
      </c>
      <c r="P88" s="22" t="s">
        <v>48</v>
      </c>
      <c r="Q88" s="24" t="s">
        <v>49</v>
      </c>
      <c r="R88" s="22" t="s">
        <v>896</v>
      </c>
      <c r="S88" s="22" t="s">
        <v>51</v>
      </c>
      <c r="T88" s="22" t="s">
        <v>52</v>
      </c>
      <c r="U88" s="22" t="s">
        <v>52</v>
      </c>
      <c r="V88" s="22" t="s">
        <v>52</v>
      </c>
      <c r="W88" s="18">
        <v>45861.0</v>
      </c>
      <c r="X88" s="20">
        <v>0.8395833333333333</v>
      </c>
      <c r="Y88" s="18">
        <v>45861.0</v>
      </c>
      <c r="Z88" s="20">
        <v>0.84375</v>
      </c>
      <c r="AA88" s="20">
        <v>0.8472222222222222</v>
      </c>
      <c r="AB88" s="29"/>
      <c r="AC88" s="29"/>
      <c r="AD88" s="25">
        <v>0.8541666666666666</v>
      </c>
      <c r="AE88" s="18">
        <v>45861.0</v>
      </c>
      <c r="AF88" s="22" t="s">
        <v>53</v>
      </c>
      <c r="AG88" s="22" t="s">
        <v>54</v>
      </c>
      <c r="AH88" s="22" t="s">
        <v>889</v>
      </c>
      <c r="AI88" s="26">
        <f t="shared" si="1"/>
        <v>0.01458333333</v>
      </c>
      <c r="AJ88" s="27">
        <f t="shared" si="2"/>
        <v>0</v>
      </c>
      <c r="AK88" s="28" t="str">
        <f t="shared" si="3"/>
        <v>Pass</v>
      </c>
    </row>
    <row r="89">
      <c r="A89" s="45">
        <v>45860.0</v>
      </c>
      <c r="B89" s="46"/>
      <c r="C89" s="45">
        <v>45862.0</v>
      </c>
      <c r="D89" s="49">
        <v>0.3659722222222222</v>
      </c>
      <c r="E89" s="21" t="s">
        <v>897</v>
      </c>
      <c r="F89" s="21" t="s">
        <v>898</v>
      </c>
      <c r="G89" s="21" t="s">
        <v>899</v>
      </c>
      <c r="H89" s="21" t="s">
        <v>566</v>
      </c>
      <c r="I89" s="21" t="s">
        <v>836</v>
      </c>
      <c r="J89" s="47"/>
      <c r="K89" s="21" t="s">
        <v>635</v>
      </c>
      <c r="L89" s="47"/>
      <c r="M89" s="47"/>
      <c r="N89" s="21" t="s">
        <v>900</v>
      </c>
      <c r="O89" s="48" t="s">
        <v>901</v>
      </c>
      <c r="P89" s="21" t="s">
        <v>48</v>
      </c>
      <c r="Q89" s="24" t="s">
        <v>65</v>
      </c>
      <c r="R89" s="21" t="s">
        <v>902</v>
      </c>
      <c r="S89" s="21" t="s">
        <v>51</v>
      </c>
      <c r="T89" s="21" t="s">
        <v>52</v>
      </c>
      <c r="U89" s="21" t="s">
        <v>52</v>
      </c>
      <c r="V89" s="21" t="s">
        <v>52</v>
      </c>
      <c r="W89" s="45">
        <v>45862.0</v>
      </c>
      <c r="X89" s="49">
        <v>0.3659722222222222</v>
      </c>
      <c r="Y89" s="45">
        <v>45862.0</v>
      </c>
      <c r="Z89" s="49">
        <v>0.5729166666666666</v>
      </c>
      <c r="AA89" s="49">
        <v>0.5763888888888888</v>
      </c>
      <c r="AB89" s="25">
        <v>0.4791666666666667</v>
      </c>
      <c r="AC89" s="25">
        <v>0.5625</v>
      </c>
      <c r="AD89" s="25">
        <v>0.6111111111111112</v>
      </c>
      <c r="AE89" s="45">
        <v>45862.0</v>
      </c>
      <c r="AF89" s="21" t="s">
        <v>53</v>
      </c>
      <c r="AG89" s="21" t="s">
        <v>78</v>
      </c>
      <c r="AH89" s="21" t="s">
        <v>903</v>
      </c>
      <c r="AI89" s="26">
        <f t="shared" si="1"/>
        <v>0.1618055556</v>
      </c>
      <c r="AJ89" s="27">
        <f t="shared" si="2"/>
        <v>0</v>
      </c>
      <c r="AK89" s="28" t="str">
        <f t="shared" si="3"/>
        <v>Pass</v>
      </c>
    </row>
    <row r="90">
      <c r="A90" s="45">
        <v>45853.0</v>
      </c>
      <c r="B90" s="46"/>
      <c r="C90" s="45">
        <v>45862.0</v>
      </c>
      <c r="D90" s="49">
        <v>0.48819444444444443</v>
      </c>
      <c r="E90" s="21" t="s">
        <v>904</v>
      </c>
      <c r="F90" s="21" t="s">
        <v>905</v>
      </c>
      <c r="G90" s="21" t="s">
        <v>906</v>
      </c>
      <c r="H90" s="21" t="s">
        <v>156</v>
      </c>
      <c r="I90" s="21" t="s">
        <v>616</v>
      </c>
      <c r="J90" s="47"/>
      <c r="K90" s="21" t="s">
        <v>43</v>
      </c>
      <c r="L90" s="21" t="s">
        <v>907</v>
      </c>
      <c r="M90" s="21" t="s">
        <v>908</v>
      </c>
      <c r="N90" s="21" t="s">
        <v>909</v>
      </c>
      <c r="O90" s="48" t="s">
        <v>910</v>
      </c>
      <c r="P90" s="21" t="s">
        <v>75</v>
      </c>
      <c r="Q90" s="24" t="s">
        <v>65</v>
      </c>
      <c r="R90" s="21" t="s">
        <v>911</v>
      </c>
      <c r="S90" s="21" t="s">
        <v>51</v>
      </c>
      <c r="T90" s="21" t="s">
        <v>912</v>
      </c>
      <c r="U90" s="21" t="s">
        <v>913</v>
      </c>
      <c r="V90" s="21" t="s">
        <v>914</v>
      </c>
      <c r="W90" s="45">
        <v>45862.0</v>
      </c>
      <c r="X90" s="49">
        <v>0.48819444444444443</v>
      </c>
      <c r="Y90" s="45">
        <v>45862.0</v>
      </c>
      <c r="Z90" s="49">
        <v>0.6180555555555556</v>
      </c>
      <c r="AA90" s="49">
        <v>0.6215277777777778</v>
      </c>
      <c r="AB90" s="29"/>
      <c r="AC90" s="29"/>
      <c r="AD90" s="25">
        <v>0.6666666666666666</v>
      </c>
      <c r="AE90" s="45">
        <v>45862.0</v>
      </c>
      <c r="AF90" s="21" t="s">
        <v>53</v>
      </c>
      <c r="AG90" s="21" t="s">
        <v>54</v>
      </c>
      <c r="AH90" s="21" t="s">
        <v>915</v>
      </c>
      <c r="AI90" s="26">
        <f t="shared" si="1"/>
        <v>0.1784722222</v>
      </c>
      <c r="AJ90" s="27">
        <f t="shared" si="2"/>
        <v>0</v>
      </c>
      <c r="AK90" s="28" t="str">
        <f t="shared" si="3"/>
        <v>Pass</v>
      </c>
    </row>
    <row r="91">
      <c r="A91" s="45">
        <v>45862.0</v>
      </c>
      <c r="B91" s="46"/>
      <c r="C91" s="45">
        <v>45862.0</v>
      </c>
      <c r="D91" s="49">
        <v>0.5513888888888889</v>
      </c>
      <c r="E91" s="21" t="s">
        <v>916</v>
      </c>
      <c r="F91" s="21" t="s">
        <v>917</v>
      </c>
      <c r="G91" s="21" t="s">
        <v>918</v>
      </c>
      <c r="H91" s="21" t="s">
        <v>156</v>
      </c>
      <c r="I91" s="21" t="s">
        <v>131</v>
      </c>
      <c r="J91" s="47"/>
      <c r="K91" s="21" t="s">
        <v>43</v>
      </c>
      <c r="L91" s="21" t="s">
        <v>907</v>
      </c>
      <c r="M91" s="21" t="s">
        <v>919</v>
      </c>
      <c r="N91" s="21" t="s">
        <v>920</v>
      </c>
      <c r="O91" s="48" t="s">
        <v>921</v>
      </c>
      <c r="P91" s="21" t="s">
        <v>75</v>
      </c>
      <c r="Q91" s="24" t="s">
        <v>65</v>
      </c>
      <c r="R91" s="21" t="s">
        <v>922</v>
      </c>
      <c r="S91" s="21" t="s">
        <v>51</v>
      </c>
      <c r="T91" s="21" t="s">
        <v>912</v>
      </c>
      <c r="U91" s="21" t="s">
        <v>923</v>
      </c>
      <c r="V91" s="21" t="s">
        <v>919</v>
      </c>
      <c r="W91" s="45">
        <v>45862.0</v>
      </c>
      <c r="X91" s="49">
        <v>0.5513888888888889</v>
      </c>
      <c r="Y91" s="45">
        <v>45862.0</v>
      </c>
      <c r="Z91" s="49">
        <v>0.7590277777777777</v>
      </c>
      <c r="AA91" s="49">
        <v>0.7638888888888888</v>
      </c>
      <c r="AB91" s="29"/>
      <c r="AC91" s="29"/>
      <c r="AD91" s="25">
        <v>0.7847222222222222</v>
      </c>
      <c r="AE91" s="45">
        <v>45862.0</v>
      </c>
      <c r="AF91" s="21" t="s">
        <v>53</v>
      </c>
      <c r="AG91" s="21" t="s">
        <v>89</v>
      </c>
      <c r="AH91" s="21" t="s">
        <v>924</v>
      </c>
      <c r="AI91" s="26">
        <f t="shared" si="1"/>
        <v>0.2333333333</v>
      </c>
      <c r="AJ91" s="27">
        <f t="shared" si="2"/>
        <v>0</v>
      </c>
      <c r="AK91" s="28" t="str">
        <f t="shared" si="3"/>
        <v>Pass</v>
      </c>
    </row>
    <row r="92">
      <c r="A92" s="18">
        <v>45862.0</v>
      </c>
      <c r="B92" s="19"/>
      <c r="C92" s="18">
        <v>45862.0</v>
      </c>
      <c r="D92" s="20">
        <v>0.5916666666666667</v>
      </c>
      <c r="E92" s="22" t="s">
        <v>925</v>
      </c>
      <c r="F92" s="22" t="s">
        <v>926</v>
      </c>
      <c r="G92" s="22" t="s">
        <v>927</v>
      </c>
      <c r="H92" s="22" t="s">
        <v>814</v>
      </c>
      <c r="I92" s="22" t="s">
        <v>928</v>
      </c>
      <c r="J92" s="31"/>
      <c r="K92" s="22" t="s">
        <v>929</v>
      </c>
      <c r="L92" s="22" t="s">
        <v>930</v>
      </c>
      <c r="M92" s="22" t="s">
        <v>931</v>
      </c>
      <c r="N92" s="22" t="s">
        <v>932</v>
      </c>
      <c r="O92" s="23" t="s">
        <v>933</v>
      </c>
      <c r="P92" s="22" t="s">
        <v>75</v>
      </c>
      <c r="Q92" s="50" t="s">
        <v>198</v>
      </c>
      <c r="R92" s="22" t="s">
        <v>934</v>
      </c>
      <c r="S92" s="22" t="s">
        <v>51</v>
      </c>
      <c r="T92" s="22" t="s">
        <v>935</v>
      </c>
      <c r="U92" s="22" t="s">
        <v>936</v>
      </c>
      <c r="V92" s="22">
        <v>8.61585040697276E14</v>
      </c>
      <c r="W92" s="18">
        <v>45862.0</v>
      </c>
      <c r="X92" s="20">
        <v>0.5916666666666667</v>
      </c>
      <c r="Y92" s="18">
        <v>45863.0</v>
      </c>
      <c r="Z92" s="20">
        <v>0.8590277777777777</v>
      </c>
      <c r="AA92" s="20">
        <v>0.8611111111111112</v>
      </c>
      <c r="AB92" s="51">
        <v>0.5916666666666667</v>
      </c>
      <c r="AC92" s="51">
        <v>0.8270833333333333</v>
      </c>
      <c r="AD92" s="51">
        <v>0.9555555555555556</v>
      </c>
      <c r="AE92" s="18">
        <v>45863.0</v>
      </c>
      <c r="AF92" s="22" t="s">
        <v>53</v>
      </c>
      <c r="AG92" s="22" t="s">
        <v>102</v>
      </c>
      <c r="AH92" s="22" t="s">
        <v>937</v>
      </c>
      <c r="AI92" s="26">
        <f t="shared" si="1"/>
        <v>0.1284722222</v>
      </c>
      <c r="AJ92" s="27">
        <f t="shared" si="2"/>
        <v>0</v>
      </c>
      <c r="AK92" s="28" t="str">
        <f t="shared" si="3"/>
        <v>Pass</v>
      </c>
    </row>
    <row r="93">
      <c r="A93" s="18">
        <v>45863.0</v>
      </c>
      <c r="B93" s="19"/>
      <c r="C93" s="18">
        <v>45863.0</v>
      </c>
      <c r="D93" s="20">
        <v>0.3951388888888889</v>
      </c>
      <c r="E93" s="22" t="s">
        <v>938</v>
      </c>
      <c r="F93" s="22" t="s">
        <v>939</v>
      </c>
      <c r="G93" s="22" t="s">
        <v>940</v>
      </c>
      <c r="H93" s="22" t="s">
        <v>244</v>
      </c>
      <c r="I93" s="22" t="s">
        <v>234</v>
      </c>
      <c r="J93" s="31"/>
      <c r="K93" s="22" t="s">
        <v>61</v>
      </c>
      <c r="L93" s="22" t="s">
        <v>941</v>
      </c>
      <c r="M93" s="22" t="s">
        <v>942</v>
      </c>
      <c r="N93" s="22" t="s">
        <v>943</v>
      </c>
      <c r="O93" s="23" t="s">
        <v>944</v>
      </c>
      <c r="P93" s="22" t="s">
        <v>48</v>
      </c>
      <c r="Q93" s="50" t="s">
        <v>65</v>
      </c>
      <c r="R93" s="22" t="s">
        <v>945</v>
      </c>
      <c r="S93" s="22" t="s">
        <v>51</v>
      </c>
      <c r="T93" s="22" t="s">
        <v>52</v>
      </c>
      <c r="U93" s="22" t="s">
        <v>52</v>
      </c>
      <c r="V93" s="22" t="s">
        <v>52</v>
      </c>
      <c r="W93" s="18">
        <v>45863.0</v>
      </c>
      <c r="X93" s="20">
        <v>0.3951388888888889</v>
      </c>
      <c r="Y93" s="18">
        <v>45863.0</v>
      </c>
      <c r="Z93" s="20">
        <v>0.5</v>
      </c>
      <c r="AA93" s="20">
        <v>0.5034722222222222</v>
      </c>
      <c r="AB93" s="51">
        <v>0.5694444444444444</v>
      </c>
      <c r="AC93" s="51">
        <v>0.9673611111111111</v>
      </c>
      <c r="AD93" s="51">
        <v>0.020833333333333332</v>
      </c>
      <c r="AE93" s="18">
        <v>45864.0</v>
      </c>
      <c r="AF93" s="22" t="s">
        <v>53</v>
      </c>
      <c r="AG93" s="22" t="s">
        <v>946</v>
      </c>
      <c r="AH93" s="22" t="s">
        <v>947</v>
      </c>
      <c r="AI93" s="59">
        <f t="shared" si="1"/>
        <v>-0.7722222222</v>
      </c>
      <c r="AJ93" s="27">
        <f t="shared" si="2"/>
        <v>0</v>
      </c>
      <c r="AK93" s="28" t="str">
        <f t="shared" si="3"/>
        <v>Pass</v>
      </c>
    </row>
    <row r="94">
      <c r="A94" s="18">
        <v>45863.0</v>
      </c>
      <c r="B94" s="19"/>
      <c r="C94" s="18">
        <v>45864.0</v>
      </c>
      <c r="D94" s="20">
        <v>0.37916666666666665</v>
      </c>
      <c r="E94" s="22" t="s">
        <v>948</v>
      </c>
      <c r="F94" s="22" t="s">
        <v>949</v>
      </c>
      <c r="G94" s="22" t="s">
        <v>950</v>
      </c>
      <c r="H94" s="22" t="s">
        <v>419</v>
      </c>
      <c r="I94" s="22" t="s">
        <v>951</v>
      </c>
      <c r="J94" s="31"/>
      <c r="K94" s="22" t="s">
        <v>43</v>
      </c>
      <c r="L94" s="22" t="s">
        <v>44</v>
      </c>
      <c r="M94" s="22" t="s">
        <v>952</v>
      </c>
      <c r="N94" s="22" t="s">
        <v>953</v>
      </c>
      <c r="O94" s="23" t="s">
        <v>954</v>
      </c>
      <c r="P94" s="22" t="s">
        <v>48</v>
      </c>
      <c r="Q94" s="50" t="s">
        <v>49</v>
      </c>
      <c r="R94" s="22" t="s">
        <v>955</v>
      </c>
      <c r="S94" s="22" t="s">
        <v>51</v>
      </c>
      <c r="T94" s="22" t="s">
        <v>52</v>
      </c>
      <c r="U94" s="22" t="s">
        <v>52</v>
      </c>
      <c r="V94" s="22" t="s">
        <v>52</v>
      </c>
      <c r="W94" s="18">
        <v>45864.0</v>
      </c>
      <c r="X94" s="20">
        <v>0.37916666666666665</v>
      </c>
      <c r="Y94" s="18">
        <v>45864.0</v>
      </c>
      <c r="Z94" s="20">
        <v>0.5618055555555556</v>
      </c>
      <c r="AA94" s="20">
        <v>0.5729166666666666</v>
      </c>
      <c r="AB94" s="51">
        <v>0.625</v>
      </c>
      <c r="AC94" s="51">
        <v>0.7222222222222222</v>
      </c>
      <c r="AD94" s="51">
        <v>0.7222222222222222</v>
      </c>
      <c r="AE94" s="18">
        <v>45864.0</v>
      </c>
      <c r="AF94" s="22" t="s">
        <v>53</v>
      </c>
      <c r="AG94" s="22" t="s">
        <v>583</v>
      </c>
      <c r="AH94" s="22" t="s">
        <v>956</v>
      </c>
      <c r="AI94" s="26">
        <f t="shared" si="1"/>
        <v>0.2458333333</v>
      </c>
      <c r="AJ94" s="55">
        <f t="shared" si="2"/>
        <v>0.07916666667</v>
      </c>
      <c r="AK94" s="28" t="str">
        <f t="shared" si="3"/>
        <v>Fail</v>
      </c>
    </row>
    <row r="95">
      <c r="A95" s="18">
        <v>45864.0</v>
      </c>
      <c r="B95" s="19"/>
      <c r="C95" s="18">
        <v>45864.0</v>
      </c>
      <c r="D95" s="20">
        <v>0.6013888888888889</v>
      </c>
      <c r="E95" s="22" t="s">
        <v>957</v>
      </c>
      <c r="F95" s="22" t="s">
        <v>958</v>
      </c>
      <c r="G95" s="22" t="s">
        <v>959</v>
      </c>
      <c r="H95" s="22" t="s">
        <v>130</v>
      </c>
      <c r="I95" s="22" t="s">
        <v>60</v>
      </c>
      <c r="J95" s="31"/>
      <c r="K95" s="22" t="s">
        <v>43</v>
      </c>
      <c r="L95" s="22" t="s">
        <v>44</v>
      </c>
      <c r="M95" s="22" t="s">
        <v>960</v>
      </c>
      <c r="N95" s="22" t="s">
        <v>961</v>
      </c>
      <c r="O95" s="23" t="s">
        <v>962</v>
      </c>
      <c r="P95" s="22" t="s">
        <v>75</v>
      </c>
      <c r="Q95" s="50" t="s">
        <v>65</v>
      </c>
      <c r="R95" s="22" t="s">
        <v>963</v>
      </c>
      <c r="S95" s="22" t="s">
        <v>51</v>
      </c>
      <c r="T95" s="22" t="s">
        <v>964</v>
      </c>
      <c r="U95" s="22" t="s">
        <v>965</v>
      </c>
      <c r="V95" s="22" t="s">
        <v>966</v>
      </c>
      <c r="W95" s="18">
        <v>45864.0</v>
      </c>
      <c r="X95" s="20">
        <v>0.6013888888888889</v>
      </c>
      <c r="Y95" s="18">
        <v>45864.0</v>
      </c>
      <c r="Z95" s="20">
        <v>0.7152777777777778</v>
      </c>
      <c r="AA95" s="20">
        <v>0.7319444444444444</v>
      </c>
      <c r="AB95" s="51">
        <v>0.7152777777777778</v>
      </c>
      <c r="AC95" s="51">
        <v>0.7375</v>
      </c>
      <c r="AD95" s="51">
        <v>0.7638888888888888</v>
      </c>
      <c r="AE95" s="18">
        <v>45864.0</v>
      </c>
      <c r="AF95" s="22" t="s">
        <v>53</v>
      </c>
      <c r="AG95" s="22" t="s">
        <v>102</v>
      </c>
      <c r="AH95" s="22" t="s">
        <v>967</v>
      </c>
      <c r="AI95" s="26">
        <f t="shared" si="1"/>
        <v>0.1402777778</v>
      </c>
      <c r="AJ95" s="27">
        <f t="shared" si="2"/>
        <v>0</v>
      </c>
      <c r="AK95" s="28" t="str">
        <f t="shared" si="3"/>
        <v>Pass</v>
      </c>
    </row>
    <row r="96">
      <c r="A96" s="18">
        <v>45860.0</v>
      </c>
      <c r="B96" s="19"/>
      <c r="C96" s="18">
        <v>45864.0</v>
      </c>
      <c r="D96" s="20">
        <v>0.3458333333333333</v>
      </c>
      <c r="E96" s="21" t="s">
        <v>968</v>
      </c>
      <c r="F96" s="21" t="s">
        <v>969</v>
      </c>
      <c r="G96" s="21" t="s">
        <v>970</v>
      </c>
      <c r="H96" s="22" t="s">
        <v>605</v>
      </c>
      <c r="I96" s="22" t="s">
        <v>644</v>
      </c>
      <c r="J96" s="31"/>
      <c r="K96" s="22" t="s">
        <v>971</v>
      </c>
      <c r="L96" s="22" t="s">
        <v>972</v>
      </c>
      <c r="M96" s="22" t="s">
        <v>973</v>
      </c>
      <c r="N96" s="22" t="s">
        <v>974</v>
      </c>
      <c r="O96" s="23" t="s">
        <v>975</v>
      </c>
      <c r="P96" s="60" t="s">
        <v>75</v>
      </c>
      <c r="Q96" s="24" t="s">
        <v>65</v>
      </c>
      <c r="R96" s="57" t="s">
        <v>976</v>
      </c>
      <c r="S96" s="22" t="s">
        <v>51</v>
      </c>
      <c r="T96" s="22" t="s">
        <v>324</v>
      </c>
      <c r="U96" s="22" t="s">
        <v>977</v>
      </c>
      <c r="V96" s="22" t="s">
        <v>978</v>
      </c>
      <c r="W96" s="18">
        <v>45864.0</v>
      </c>
      <c r="X96" s="20">
        <v>0.3458333333333333</v>
      </c>
      <c r="Y96" s="18">
        <v>45864.0</v>
      </c>
      <c r="Z96" s="61">
        <v>0.46597222222222223</v>
      </c>
      <c r="AA96" s="20">
        <v>0.4826388888888889</v>
      </c>
      <c r="AB96" s="29"/>
      <c r="AC96" s="29"/>
      <c r="AD96" s="25">
        <v>0.5381944444444444</v>
      </c>
      <c r="AE96" s="18">
        <v>45864.0</v>
      </c>
      <c r="AF96" s="22" t="s">
        <v>53</v>
      </c>
      <c r="AG96" s="57" t="s">
        <v>102</v>
      </c>
      <c r="AH96" s="22" t="s">
        <v>979</v>
      </c>
      <c r="AI96" s="26">
        <f t="shared" si="1"/>
        <v>0.1923611111</v>
      </c>
      <c r="AJ96" s="27">
        <f t="shared" si="2"/>
        <v>0</v>
      </c>
      <c r="AK96" s="28" t="str">
        <f t="shared" si="3"/>
        <v>Pass</v>
      </c>
    </row>
    <row r="97">
      <c r="A97" s="18">
        <v>45865.0</v>
      </c>
      <c r="B97" s="19"/>
      <c r="C97" s="18">
        <v>45865.0</v>
      </c>
      <c r="D97" s="20">
        <v>0.6236111111111111</v>
      </c>
      <c r="E97" s="22" t="s">
        <v>980</v>
      </c>
      <c r="F97" s="22" t="s">
        <v>981</v>
      </c>
      <c r="G97" s="22" t="s">
        <v>982</v>
      </c>
      <c r="H97" s="22" t="s">
        <v>983</v>
      </c>
      <c r="I97" s="22" t="s">
        <v>60</v>
      </c>
      <c r="J97" s="31"/>
      <c r="K97" s="22" t="s">
        <v>61</v>
      </c>
      <c r="L97" s="22" t="s">
        <v>183</v>
      </c>
      <c r="M97" s="22" t="s">
        <v>984</v>
      </c>
      <c r="N97" s="22" t="s">
        <v>985</v>
      </c>
      <c r="O97" s="23" t="s">
        <v>986</v>
      </c>
      <c r="P97" s="22" t="s">
        <v>75</v>
      </c>
      <c r="Q97" s="50" t="s">
        <v>65</v>
      </c>
      <c r="R97" s="22" t="s">
        <v>188</v>
      </c>
      <c r="S97" s="22" t="s">
        <v>51</v>
      </c>
      <c r="T97" s="22" t="s">
        <v>52</v>
      </c>
      <c r="U97" s="22" t="s">
        <v>52</v>
      </c>
      <c r="V97" s="22" t="s">
        <v>52</v>
      </c>
      <c r="W97" s="18">
        <v>45865.0</v>
      </c>
      <c r="X97" s="20">
        <v>0.6236111111111111</v>
      </c>
      <c r="Y97" s="18">
        <v>45865.0</v>
      </c>
      <c r="Z97" s="20">
        <v>0.7083333333333334</v>
      </c>
      <c r="AA97" s="20">
        <v>0.7118055555555556</v>
      </c>
      <c r="AB97" s="51">
        <v>0.6236111111111111</v>
      </c>
      <c r="AC97" s="51">
        <v>0.675</v>
      </c>
      <c r="AD97" s="51">
        <v>0.7638888888888888</v>
      </c>
      <c r="AE97" s="18">
        <v>45865.0</v>
      </c>
      <c r="AF97" s="22" t="s">
        <v>53</v>
      </c>
      <c r="AG97" s="22" t="s">
        <v>54</v>
      </c>
      <c r="AH97" s="22" t="s">
        <v>987</v>
      </c>
      <c r="AI97" s="26">
        <f t="shared" si="1"/>
        <v>0.08888888889</v>
      </c>
      <c r="AJ97" s="55">
        <f t="shared" si="2"/>
        <v>0</v>
      </c>
      <c r="AK97" s="28" t="str">
        <f t="shared" si="3"/>
        <v>Pass</v>
      </c>
    </row>
    <row r="98">
      <c r="A98" s="45">
        <v>45865.0</v>
      </c>
      <c r="B98" s="46"/>
      <c r="C98" s="45">
        <v>45865.0</v>
      </c>
      <c r="D98" s="49">
        <v>0.7958333333333333</v>
      </c>
      <c r="E98" s="21" t="s">
        <v>988</v>
      </c>
      <c r="F98" s="21" t="s">
        <v>989</v>
      </c>
      <c r="G98" s="21" t="s">
        <v>990</v>
      </c>
      <c r="H98" s="21" t="s">
        <v>40</v>
      </c>
      <c r="I98" s="21" t="s">
        <v>991</v>
      </c>
      <c r="J98" s="47"/>
      <c r="K98" s="22" t="s">
        <v>43</v>
      </c>
      <c r="L98" s="47"/>
      <c r="M98" s="21" t="s">
        <v>992</v>
      </c>
      <c r="N98" s="21" t="s">
        <v>993</v>
      </c>
      <c r="O98" s="48" t="s">
        <v>994</v>
      </c>
      <c r="P98" s="21" t="s">
        <v>48</v>
      </c>
      <c r="Q98" s="24" t="s">
        <v>65</v>
      </c>
      <c r="R98" s="21" t="s">
        <v>995</v>
      </c>
      <c r="S98" s="21" t="s">
        <v>51</v>
      </c>
      <c r="T98" s="47"/>
      <c r="U98" s="47"/>
      <c r="V98" s="47"/>
      <c r="W98" s="45">
        <v>45865.0</v>
      </c>
      <c r="X98" s="49">
        <v>0.7958333333333333</v>
      </c>
      <c r="Y98" s="45">
        <v>45865.0</v>
      </c>
      <c r="Z98" s="49">
        <v>0.9215277777777777</v>
      </c>
      <c r="AA98" s="49">
        <v>0.9215277777777777</v>
      </c>
      <c r="AB98" s="29"/>
      <c r="AC98" s="29"/>
      <c r="AD98" s="25">
        <v>0.9583333333333334</v>
      </c>
      <c r="AE98" s="45">
        <v>45865.0</v>
      </c>
      <c r="AF98" s="21" t="s">
        <v>53</v>
      </c>
      <c r="AG98" s="21" t="s">
        <v>239</v>
      </c>
      <c r="AH98" s="21" t="s">
        <v>996</v>
      </c>
      <c r="AI98" s="62">
        <f t="shared" si="1"/>
        <v>0.1625</v>
      </c>
      <c r="AJ98" s="27">
        <f t="shared" si="2"/>
        <v>0</v>
      </c>
      <c r="AK98" s="63" t="str">
        <f t="shared" si="3"/>
        <v>Pass</v>
      </c>
    </row>
    <row r="99">
      <c r="A99" s="45">
        <v>45866.0</v>
      </c>
      <c r="B99" s="46"/>
      <c r="C99" s="45">
        <v>45866.0</v>
      </c>
      <c r="D99" s="49">
        <v>0.3347222222222222</v>
      </c>
      <c r="E99" s="21" t="s">
        <v>997</v>
      </c>
      <c r="F99" s="21" t="s">
        <v>998</v>
      </c>
      <c r="G99" s="21" t="s">
        <v>999</v>
      </c>
      <c r="H99" s="21" t="s">
        <v>454</v>
      </c>
      <c r="I99" s="21" t="s">
        <v>1000</v>
      </c>
      <c r="J99" s="47"/>
      <c r="K99" s="21" t="s">
        <v>333</v>
      </c>
      <c r="L99" s="47"/>
      <c r="M99" s="21" t="s">
        <v>1001</v>
      </c>
      <c r="N99" s="21" t="s">
        <v>1002</v>
      </c>
      <c r="O99" s="48" t="s">
        <v>1003</v>
      </c>
      <c r="P99" s="21" t="s">
        <v>75</v>
      </c>
      <c r="Q99" s="24" t="s">
        <v>65</v>
      </c>
      <c r="R99" s="21" t="s">
        <v>1004</v>
      </c>
      <c r="S99" s="21" t="s">
        <v>51</v>
      </c>
      <c r="T99" s="21" t="s">
        <v>52</v>
      </c>
      <c r="U99" s="21" t="s">
        <v>52</v>
      </c>
      <c r="V99" s="21" t="s">
        <v>52</v>
      </c>
      <c r="W99" s="45">
        <v>45866.0</v>
      </c>
      <c r="X99" s="49">
        <v>0.3347222222222222</v>
      </c>
      <c r="Y99" s="45">
        <v>45866.0</v>
      </c>
      <c r="Z99" s="49">
        <v>0.45694444444444443</v>
      </c>
      <c r="AA99" s="49">
        <v>0.45694444444444443</v>
      </c>
      <c r="AB99" s="29"/>
      <c r="AC99" s="29"/>
      <c r="AD99" s="25">
        <v>0.4847222222222222</v>
      </c>
      <c r="AE99" s="45">
        <v>45866.0</v>
      </c>
      <c r="AF99" s="21" t="s">
        <v>53</v>
      </c>
      <c r="AG99" s="21" t="s">
        <v>1005</v>
      </c>
      <c r="AH99" s="21" t="s">
        <v>1006</v>
      </c>
      <c r="AI99" s="62">
        <f t="shared" si="1"/>
        <v>0.15</v>
      </c>
      <c r="AJ99" s="27">
        <f t="shared" si="2"/>
        <v>0</v>
      </c>
      <c r="AK99" s="63" t="str">
        <f t="shared" si="3"/>
        <v>Pass</v>
      </c>
    </row>
    <row r="100">
      <c r="A100" s="45">
        <v>45866.0</v>
      </c>
      <c r="B100" s="46"/>
      <c r="C100" s="45">
        <v>45866.0</v>
      </c>
      <c r="D100" s="49">
        <v>0.42430555555555555</v>
      </c>
      <c r="E100" s="21" t="s">
        <v>1007</v>
      </c>
      <c r="F100" s="21" t="s">
        <v>1008</v>
      </c>
      <c r="G100" s="21" t="s">
        <v>1009</v>
      </c>
      <c r="H100" s="21" t="s">
        <v>156</v>
      </c>
      <c r="I100" s="21" t="s">
        <v>60</v>
      </c>
      <c r="J100" s="47"/>
      <c r="K100" s="22" t="s">
        <v>43</v>
      </c>
      <c r="L100" s="21" t="s">
        <v>1010</v>
      </c>
      <c r="M100" s="21" t="s">
        <v>1011</v>
      </c>
      <c r="N100" s="21" t="s">
        <v>1012</v>
      </c>
      <c r="O100" s="48" t="s">
        <v>1013</v>
      </c>
      <c r="P100" s="21" t="s">
        <v>75</v>
      </c>
      <c r="Q100" s="24" t="s">
        <v>65</v>
      </c>
      <c r="R100" s="21" t="s">
        <v>1014</v>
      </c>
      <c r="S100" s="21" t="s">
        <v>51</v>
      </c>
      <c r="T100" s="21" t="s">
        <v>1015</v>
      </c>
      <c r="U100" s="21" t="s">
        <v>1016</v>
      </c>
      <c r="V100" s="21" t="s">
        <v>1011</v>
      </c>
      <c r="W100" s="45">
        <v>45866.0</v>
      </c>
      <c r="X100" s="49">
        <v>0.42430555555555555</v>
      </c>
      <c r="Y100" s="45">
        <v>45866.0</v>
      </c>
      <c r="Z100" s="49">
        <v>0.46875</v>
      </c>
      <c r="AA100" s="49">
        <v>0.4722222222222222</v>
      </c>
      <c r="AB100" s="25">
        <v>0.4861111111111111</v>
      </c>
      <c r="AC100" s="25">
        <v>0.5625</v>
      </c>
      <c r="AD100" s="25">
        <v>0.6041666666666666</v>
      </c>
      <c r="AE100" s="45">
        <v>45866.0</v>
      </c>
      <c r="AF100" s="21" t="s">
        <v>53</v>
      </c>
      <c r="AG100" s="21" t="s">
        <v>54</v>
      </c>
      <c r="AH100" s="21" t="s">
        <v>1017</v>
      </c>
      <c r="AI100" s="64"/>
      <c r="AJ100" s="65"/>
      <c r="AK100" s="66"/>
    </row>
    <row r="101">
      <c r="A101" s="45">
        <v>45866.0</v>
      </c>
      <c r="B101" s="46"/>
      <c r="C101" s="45">
        <v>45866.0</v>
      </c>
      <c r="D101" s="49">
        <v>0.5340277777777778</v>
      </c>
      <c r="E101" s="21" t="s">
        <v>1018</v>
      </c>
      <c r="F101" s="21" t="s">
        <v>81</v>
      </c>
      <c r="G101" s="21" t="s">
        <v>82</v>
      </c>
      <c r="H101" s="21" t="s">
        <v>1019</v>
      </c>
      <c r="I101" s="21" t="s">
        <v>60</v>
      </c>
      <c r="J101" s="47"/>
      <c r="K101" s="22" t="s">
        <v>61</v>
      </c>
      <c r="L101" s="47"/>
      <c r="M101" s="47"/>
      <c r="N101" s="21" t="s">
        <v>1020</v>
      </c>
      <c r="O101" s="48" t="s">
        <v>1021</v>
      </c>
      <c r="P101" s="21" t="s">
        <v>48</v>
      </c>
      <c r="Q101" s="24" t="s">
        <v>65</v>
      </c>
      <c r="R101" s="21" t="s">
        <v>1022</v>
      </c>
      <c r="S101" s="21" t="s">
        <v>51</v>
      </c>
      <c r="T101" s="21" t="s">
        <v>52</v>
      </c>
      <c r="U101" s="21" t="s">
        <v>52</v>
      </c>
      <c r="V101" s="21" t="s">
        <v>52</v>
      </c>
      <c r="W101" s="45">
        <v>45866.0</v>
      </c>
      <c r="X101" s="49">
        <v>0.5340277777777778</v>
      </c>
      <c r="Y101" s="45">
        <v>45866.0</v>
      </c>
      <c r="Z101" s="49">
        <v>0.45694444444444443</v>
      </c>
      <c r="AA101" s="49">
        <v>0.45694444444444443</v>
      </c>
      <c r="AB101" s="29"/>
      <c r="AC101" s="29"/>
      <c r="AD101" s="25">
        <v>0.4847222222222222</v>
      </c>
      <c r="AE101" s="45">
        <v>45866.0</v>
      </c>
      <c r="AF101" s="21" t="s">
        <v>53</v>
      </c>
      <c r="AG101" s="21" t="s">
        <v>1005</v>
      </c>
      <c r="AH101" s="21" t="s">
        <v>1023</v>
      </c>
      <c r="AI101" s="62">
        <f t="shared" ref="AI101:AI152" si="4">IF(OR(D101="", AD101=""), "",
   (AD101 - D101)
   - IF(AND(AB101&lt;&gt;"", AC101&lt;&gt;""), (AC101 - AB101), 0)
)</f>
        <v>-0.04930555556</v>
      </c>
      <c r="AJ101" s="27">
        <f t="shared" ref="AJ101:AJ155" si="5">IF(AI101="", "",
   MAX(0, AI101 -
     IF(Q101="Sev1", 4/24,
     IF(Q101="Sev2", 12/24,
     IF(Q101="Sev3", 24/24,
     IF(Q101="Sev4", 48/24, 0)))))
)</f>
        <v>0</v>
      </c>
      <c r="AK101" s="63" t="str">
        <f t="shared" ref="AK101:AK155" si="6">IF(AJ101="", "", IF(AJ101&gt;0, "Fail", "Pass"))</f>
        <v>Pass</v>
      </c>
    </row>
    <row r="102">
      <c r="A102" s="45">
        <v>45866.0</v>
      </c>
      <c r="B102" s="46"/>
      <c r="C102" s="45">
        <v>45866.0</v>
      </c>
      <c r="D102" s="49">
        <v>0.5375</v>
      </c>
      <c r="E102" s="21" t="s">
        <v>1024</v>
      </c>
      <c r="F102" s="21" t="s">
        <v>1025</v>
      </c>
      <c r="G102" s="21" t="s">
        <v>1026</v>
      </c>
      <c r="H102" s="21" t="s">
        <v>130</v>
      </c>
      <c r="I102" s="21" t="s">
        <v>644</v>
      </c>
      <c r="J102" s="47"/>
      <c r="K102" s="21" t="s">
        <v>333</v>
      </c>
      <c r="L102" s="21" t="s">
        <v>1027</v>
      </c>
      <c r="M102" s="21" t="s">
        <v>1028</v>
      </c>
      <c r="N102" s="21" t="s">
        <v>1029</v>
      </c>
      <c r="O102" s="48" t="s">
        <v>1030</v>
      </c>
      <c r="P102" s="21" t="s">
        <v>75</v>
      </c>
      <c r="Q102" s="24" t="s">
        <v>65</v>
      </c>
      <c r="R102" s="21" t="s">
        <v>1031</v>
      </c>
      <c r="S102" s="21" t="s">
        <v>51</v>
      </c>
      <c r="T102" s="21" t="s">
        <v>52</v>
      </c>
      <c r="U102" s="21" t="s">
        <v>52</v>
      </c>
      <c r="V102" s="21" t="s">
        <v>52</v>
      </c>
      <c r="W102" s="45">
        <v>45866.0</v>
      </c>
      <c r="X102" s="49">
        <v>0.5375</v>
      </c>
      <c r="Y102" s="45">
        <v>45866.0</v>
      </c>
      <c r="Z102" s="49">
        <v>0.6847222222222222</v>
      </c>
      <c r="AA102" s="49">
        <v>0.6861111111111111</v>
      </c>
      <c r="AB102" s="25">
        <v>0.6861111111111111</v>
      </c>
      <c r="AC102" s="25">
        <v>0.7416666666666667</v>
      </c>
      <c r="AD102" s="25">
        <v>0.7708333333333334</v>
      </c>
      <c r="AE102" s="45">
        <v>45866.0</v>
      </c>
      <c r="AF102" s="21" t="s">
        <v>53</v>
      </c>
      <c r="AG102" s="21" t="s">
        <v>1032</v>
      </c>
      <c r="AH102" s="21" t="s">
        <v>1033</v>
      </c>
      <c r="AI102" s="62">
        <f t="shared" si="4"/>
        <v>0.1777777778</v>
      </c>
      <c r="AJ102" s="27">
        <f t="shared" si="5"/>
        <v>0</v>
      </c>
      <c r="AK102" s="63" t="str">
        <f t="shared" si="6"/>
        <v>Pass</v>
      </c>
    </row>
    <row r="103">
      <c r="A103" s="18">
        <v>45866.0</v>
      </c>
      <c r="B103" s="19"/>
      <c r="C103" s="18">
        <v>45866.0</v>
      </c>
      <c r="D103" s="20">
        <v>0.6493055555555556</v>
      </c>
      <c r="E103" s="22" t="s">
        <v>1034</v>
      </c>
      <c r="F103" s="21" t="s">
        <v>1035</v>
      </c>
      <c r="G103" s="21" t="s">
        <v>1036</v>
      </c>
      <c r="H103" s="22" t="s">
        <v>756</v>
      </c>
      <c r="I103" s="22" t="s">
        <v>60</v>
      </c>
      <c r="J103" s="31"/>
      <c r="K103" s="22" t="s">
        <v>1037</v>
      </c>
      <c r="L103" s="22" t="s">
        <v>1038</v>
      </c>
      <c r="M103" s="22" t="s">
        <v>1039</v>
      </c>
      <c r="N103" s="22" t="s">
        <v>1040</v>
      </c>
      <c r="O103" s="23" t="s">
        <v>1041</v>
      </c>
      <c r="P103" s="21" t="s">
        <v>75</v>
      </c>
      <c r="Q103" s="24" t="s">
        <v>65</v>
      </c>
      <c r="R103" s="22" t="s">
        <v>1042</v>
      </c>
      <c r="S103" s="21" t="s">
        <v>51</v>
      </c>
      <c r="T103" s="21" t="s">
        <v>52</v>
      </c>
      <c r="U103" s="21" t="s">
        <v>52</v>
      </c>
      <c r="V103" s="21" t="s">
        <v>52</v>
      </c>
      <c r="W103" s="45">
        <v>45866.0</v>
      </c>
      <c r="X103" s="49">
        <v>0.6493055555555556</v>
      </c>
      <c r="Y103" s="45">
        <v>45866.0</v>
      </c>
      <c r="Z103" s="20">
        <v>0.7201388888888889</v>
      </c>
      <c r="AA103" s="20">
        <v>0.7208333333333333</v>
      </c>
      <c r="AB103" s="29"/>
      <c r="AC103" s="29"/>
      <c r="AD103" s="25">
        <v>0.7638888888888888</v>
      </c>
      <c r="AE103" s="45">
        <v>45866.0</v>
      </c>
      <c r="AF103" s="21" t="s">
        <v>53</v>
      </c>
      <c r="AG103" s="22" t="s">
        <v>239</v>
      </c>
      <c r="AH103" s="22" t="s">
        <v>1043</v>
      </c>
      <c r="AI103" s="26">
        <f t="shared" si="4"/>
        <v>0.1145833333</v>
      </c>
      <c r="AJ103" s="27">
        <f t="shared" si="5"/>
        <v>0</v>
      </c>
      <c r="AK103" s="28" t="str">
        <f t="shared" si="6"/>
        <v>Pass</v>
      </c>
    </row>
    <row r="104">
      <c r="A104" s="18">
        <v>45866.0</v>
      </c>
      <c r="B104" s="19"/>
      <c r="C104" s="18">
        <v>45866.0</v>
      </c>
      <c r="D104" s="20">
        <v>0.3715277777777778</v>
      </c>
      <c r="E104" s="22" t="s">
        <v>1044</v>
      </c>
      <c r="F104" s="22" t="s">
        <v>1045</v>
      </c>
      <c r="G104" s="22" t="s">
        <v>1046</v>
      </c>
      <c r="H104" s="22" t="s">
        <v>855</v>
      </c>
      <c r="I104" s="22" t="s">
        <v>644</v>
      </c>
      <c r="J104" s="22" t="s">
        <v>644</v>
      </c>
      <c r="K104" s="22" t="s">
        <v>333</v>
      </c>
      <c r="L104" s="22" t="s">
        <v>52</v>
      </c>
      <c r="M104" s="22" t="s">
        <v>1047</v>
      </c>
      <c r="N104" s="22" t="s">
        <v>1048</v>
      </c>
      <c r="O104" s="23" t="s">
        <v>1049</v>
      </c>
      <c r="P104" s="22" t="s">
        <v>48</v>
      </c>
      <c r="Q104" s="50" t="s">
        <v>65</v>
      </c>
      <c r="R104" s="22" t="s">
        <v>1050</v>
      </c>
      <c r="S104" s="22" t="s">
        <v>51</v>
      </c>
      <c r="T104" s="21" t="s">
        <v>52</v>
      </c>
      <c r="U104" s="21" t="s">
        <v>52</v>
      </c>
      <c r="V104" s="21" t="s">
        <v>52</v>
      </c>
      <c r="W104" s="45">
        <v>45866.0</v>
      </c>
      <c r="X104" s="49">
        <v>0.3715277777777778</v>
      </c>
      <c r="Y104" s="45">
        <v>45867.0</v>
      </c>
      <c r="Z104" s="20">
        <v>0.4270833333333333</v>
      </c>
      <c r="AA104" s="20">
        <v>0.4305555555555556</v>
      </c>
      <c r="AB104" s="51">
        <v>0.4583333333333333</v>
      </c>
      <c r="AC104" s="51">
        <v>0.5</v>
      </c>
      <c r="AD104" s="51">
        <v>0.5034722222222222</v>
      </c>
      <c r="AE104" s="18">
        <v>45867.0</v>
      </c>
      <c r="AF104" s="22" t="s">
        <v>53</v>
      </c>
      <c r="AG104" s="22" t="s">
        <v>54</v>
      </c>
      <c r="AH104" s="22" t="s">
        <v>1051</v>
      </c>
      <c r="AI104" s="26">
        <f t="shared" si="4"/>
        <v>0.09027777778</v>
      </c>
      <c r="AJ104" s="55">
        <f t="shared" si="5"/>
        <v>0</v>
      </c>
      <c r="AK104" s="28" t="str">
        <f t="shared" si="6"/>
        <v>Pass</v>
      </c>
    </row>
    <row r="105">
      <c r="A105" s="45">
        <v>45866.0</v>
      </c>
      <c r="B105" s="46"/>
      <c r="C105" s="45">
        <v>45867.0</v>
      </c>
      <c r="D105" s="49">
        <v>0.5465277777777777</v>
      </c>
      <c r="E105" s="21" t="s">
        <v>1052</v>
      </c>
      <c r="F105" s="21" t="s">
        <v>1053</v>
      </c>
      <c r="G105" s="21" t="s">
        <v>1054</v>
      </c>
      <c r="H105" s="21" t="s">
        <v>566</v>
      </c>
      <c r="I105" s="21" t="s">
        <v>1055</v>
      </c>
      <c r="J105" s="21" t="s">
        <v>1056</v>
      </c>
      <c r="K105" s="21" t="s">
        <v>635</v>
      </c>
      <c r="L105" s="21" t="s">
        <v>1057</v>
      </c>
      <c r="M105" s="21" t="s">
        <v>1058</v>
      </c>
      <c r="N105" s="21" t="s">
        <v>1059</v>
      </c>
      <c r="O105" s="48" t="s">
        <v>1060</v>
      </c>
      <c r="P105" s="21" t="s">
        <v>48</v>
      </c>
      <c r="Q105" s="24" t="s">
        <v>65</v>
      </c>
      <c r="R105" s="21" t="s">
        <v>1061</v>
      </c>
      <c r="S105" s="21" t="s">
        <v>51</v>
      </c>
      <c r="T105" s="21" t="s">
        <v>52</v>
      </c>
      <c r="U105" s="21" t="s">
        <v>52</v>
      </c>
      <c r="V105" s="21" t="s">
        <v>52</v>
      </c>
      <c r="W105" s="45">
        <v>45867.0</v>
      </c>
      <c r="X105" s="49">
        <v>0.5465277777777777</v>
      </c>
      <c r="Y105" s="45">
        <v>45867.0</v>
      </c>
      <c r="Z105" s="49">
        <v>0.5819444444444445</v>
      </c>
      <c r="AA105" s="49">
        <v>0.5840277777777778</v>
      </c>
      <c r="AB105" s="29"/>
      <c r="AC105" s="29"/>
      <c r="AD105" s="25">
        <v>0.625</v>
      </c>
      <c r="AE105" s="45">
        <v>45867.0</v>
      </c>
      <c r="AF105" s="21" t="s">
        <v>53</v>
      </c>
      <c r="AG105" s="21" t="s">
        <v>113</v>
      </c>
      <c r="AH105" s="21" t="s">
        <v>1062</v>
      </c>
      <c r="AI105" s="62">
        <f t="shared" si="4"/>
        <v>0.07847222222</v>
      </c>
      <c r="AJ105" s="27">
        <f t="shared" si="5"/>
        <v>0</v>
      </c>
      <c r="AK105" s="63" t="str">
        <f t="shared" si="6"/>
        <v>Pass</v>
      </c>
    </row>
    <row r="106">
      <c r="A106" s="45">
        <v>45867.0</v>
      </c>
      <c r="B106" s="46"/>
      <c r="C106" s="45">
        <v>45867.0</v>
      </c>
      <c r="D106" s="49">
        <v>0.3763888888888889</v>
      </c>
      <c r="E106" s="21" t="s">
        <v>1063</v>
      </c>
      <c r="F106" s="21" t="s">
        <v>1064</v>
      </c>
      <c r="G106" s="21" t="s">
        <v>1065</v>
      </c>
      <c r="H106" s="21" t="s">
        <v>59</v>
      </c>
      <c r="I106" s="21" t="s">
        <v>234</v>
      </c>
      <c r="J106" s="21" t="s">
        <v>42</v>
      </c>
      <c r="K106" s="21" t="s">
        <v>61</v>
      </c>
      <c r="L106" s="21" t="s">
        <v>1066</v>
      </c>
      <c r="M106" s="21" t="s">
        <v>1067</v>
      </c>
      <c r="N106" s="21" t="s">
        <v>1068</v>
      </c>
      <c r="O106" s="48" t="s">
        <v>1069</v>
      </c>
      <c r="P106" s="21" t="s">
        <v>75</v>
      </c>
      <c r="Q106" s="24" t="s">
        <v>65</v>
      </c>
      <c r="R106" s="21" t="s">
        <v>1070</v>
      </c>
      <c r="S106" s="21" t="s">
        <v>51</v>
      </c>
      <c r="T106" s="21" t="s">
        <v>1071</v>
      </c>
      <c r="U106" s="21" t="s">
        <v>1072</v>
      </c>
      <c r="V106" s="21" t="s">
        <v>1073</v>
      </c>
      <c r="W106" s="45">
        <v>45867.0</v>
      </c>
      <c r="X106" s="49">
        <v>0.3763888888888889</v>
      </c>
      <c r="Y106" s="45">
        <v>45867.0</v>
      </c>
      <c r="Z106" s="49">
        <v>0.41458333333333336</v>
      </c>
      <c r="AA106" s="49">
        <v>0.4166666666666667</v>
      </c>
      <c r="AB106" s="25">
        <v>0.5208333333333334</v>
      </c>
      <c r="AC106" s="25">
        <v>0.6458333333333334</v>
      </c>
      <c r="AD106" s="25">
        <v>0.8131944444444444</v>
      </c>
      <c r="AE106" s="45">
        <v>45867.0</v>
      </c>
      <c r="AF106" s="21" t="s">
        <v>53</v>
      </c>
      <c r="AG106" s="21" t="s">
        <v>293</v>
      </c>
      <c r="AH106" s="21" t="s">
        <v>1074</v>
      </c>
      <c r="AI106" s="62">
        <f t="shared" si="4"/>
        <v>0.3118055556</v>
      </c>
      <c r="AJ106" s="27">
        <f t="shared" si="5"/>
        <v>0</v>
      </c>
      <c r="AK106" s="63" t="str">
        <f t="shared" si="6"/>
        <v>Pass</v>
      </c>
    </row>
    <row r="107">
      <c r="A107" s="45">
        <v>45867.0</v>
      </c>
      <c r="B107" s="46"/>
      <c r="C107" s="45">
        <v>45867.0</v>
      </c>
      <c r="D107" s="49">
        <v>0.5201388888888889</v>
      </c>
      <c r="E107" s="21" t="s">
        <v>1075</v>
      </c>
      <c r="F107" s="21" t="s">
        <v>958</v>
      </c>
      <c r="G107" s="21" t="s">
        <v>959</v>
      </c>
      <c r="H107" s="21" t="s">
        <v>566</v>
      </c>
      <c r="I107" s="21" t="s">
        <v>644</v>
      </c>
      <c r="J107" s="21" t="s">
        <v>644</v>
      </c>
      <c r="K107" s="22" t="s">
        <v>143</v>
      </c>
      <c r="L107" s="47"/>
      <c r="M107" s="21" t="s">
        <v>1076</v>
      </c>
      <c r="N107" s="21" t="s">
        <v>1077</v>
      </c>
      <c r="O107" s="48" t="s">
        <v>1078</v>
      </c>
      <c r="P107" s="21" t="s">
        <v>48</v>
      </c>
      <c r="Q107" s="24" t="s">
        <v>65</v>
      </c>
      <c r="R107" s="21" t="s">
        <v>1079</v>
      </c>
      <c r="S107" s="21" t="s">
        <v>51</v>
      </c>
      <c r="T107" s="21" t="s">
        <v>52</v>
      </c>
      <c r="U107" s="21" t="s">
        <v>52</v>
      </c>
      <c r="V107" s="21" t="s">
        <v>52</v>
      </c>
      <c r="W107" s="45">
        <v>45867.0</v>
      </c>
      <c r="X107" s="49">
        <v>0.5201388888888889</v>
      </c>
      <c r="Y107" s="45">
        <v>45867.0</v>
      </c>
      <c r="Z107" s="49">
        <v>0.5833333333333334</v>
      </c>
      <c r="AA107" s="49">
        <v>0.5868055555555556</v>
      </c>
      <c r="AB107" s="29"/>
      <c r="AC107" s="29"/>
      <c r="AD107" s="25">
        <v>0.6423611111111112</v>
      </c>
      <c r="AE107" s="45">
        <v>45867.0</v>
      </c>
      <c r="AF107" s="21" t="s">
        <v>53</v>
      </c>
      <c r="AG107" s="21" t="s">
        <v>102</v>
      </c>
      <c r="AH107" s="57" t="s">
        <v>1080</v>
      </c>
      <c r="AI107" s="62">
        <f t="shared" si="4"/>
        <v>0.1222222222</v>
      </c>
      <c r="AJ107" s="27">
        <f t="shared" si="5"/>
        <v>0</v>
      </c>
      <c r="AK107" s="63" t="str">
        <f t="shared" si="6"/>
        <v>Pass</v>
      </c>
    </row>
    <row r="108">
      <c r="A108" s="18">
        <v>45867.0</v>
      </c>
      <c r="B108" s="19"/>
      <c r="C108" s="18">
        <v>45867.0</v>
      </c>
      <c r="D108" s="20">
        <v>0.4638888888888889</v>
      </c>
      <c r="E108" s="22" t="s">
        <v>1081</v>
      </c>
      <c r="F108" s="22" t="s">
        <v>1082</v>
      </c>
      <c r="G108" s="22" t="s">
        <v>1083</v>
      </c>
      <c r="H108" s="22" t="s">
        <v>566</v>
      </c>
      <c r="I108" s="22" t="s">
        <v>856</v>
      </c>
      <c r="J108" s="22" t="s">
        <v>1084</v>
      </c>
      <c r="K108" s="22" t="s">
        <v>1085</v>
      </c>
      <c r="L108" s="22" t="s">
        <v>1086</v>
      </c>
      <c r="M108" s="22" t="s">
        <v>1087</v>
      </c>
      <c r="N108" s="22" t="s">
        <v>1088</v>
      </c>
      <c r="O108" s="23" t="s">
        <v>1089</v>
      </c>
      <c r="P108" s="22" t="s">
        <v>48</v>
      </c>
      <c r="Q108" s="50" t="s">
        <v>198</v>
      </c>
      <c r="R108" s="22" t="s">
        <v>1090</v>
      </c>
      <c r="S108" s="22" t="s">
        <v>51</v>
      </c>
      <c r="T108" s="22" t="s">
        <v>52</v>
      </c>
      <c r="U108" s="22" t="s">
        <v>52</v>
      </c>
      <c r="V108" s="22" t="s">
        <v>52</v>
      </c>
      <c r="W108" s="18">
        <v>45867.0</v>
      </c>
      <c r="X108" s="20">
        <v>0.4638888888888889</v>
      </c>
      <c r="Y108" s="18">
        <v>45868.0</v>
      </c>
      <c r="Z108" s="20">
        <v>0.40555555555555556</v>
      </c>
      <c r="AA108" s="20">
        <v>0.40625</v>
      </c>
      <c r="AB108" s="54"/>
      <c r="AC108" s="54"/>
      <c r="AD108" s="51">
        <v>0.5833333333333334</v>
      </c>
      <c r="AE108" s="18">
        <v>45868.0</v>
      </c>
      <c r="AF108" s="22" t="s">
        <v>53</v>
      </c>
      <c r="AG108" s="22" t="s">
        <v>284</v>
      </c>
      <c r="AH108" s="22" t="s">
        <v>1091</v>
      </c>
      <c r="AI108" s="26">
        <f t="shared" si="4"/>
        <v>0.1194444444</v>
      </c>
      <c r="AJ108" s="55">
        <f t="shared" si="5"/>
        <v>0</v>
      </c>
      <c r="AK108" s="28" t="str">
        <f t="shared" si="6"/>
        <v>Pass</v>
      </c>
    </row>
    <row r="109">
      <c r="A109" s="18">
        <v>45867.0</v>
      </c>
      <c r="B109" s="19"/>
      <c r="C109" s="18">
        <v>45867.0</v>
      </c>
      <c r="D109" s="20">
        <v>0.425</v>
      </c>
      <c r="E109" s="22" t="s">
        <v>1092</v>
      </c>
      <c r="F109" s="22" t="s">
        <v>1093</v>
      </c>
      <c r="G109" s="22" t="s">
        <v>1094</v>
      </c>
      <c r="H109" s="22" t="s">
        <v>167</v>
      </c>
      <c r="I109" s="22" t="s">
        <v>1095</v>
      </c>
      <c r="J109" s="22" t="s">
        <v>42</v>
      </c>
      <c r="K109" s="22" t="s">
        <v>61</v>
      </c>
      <c r="L109" s="22" t="s">
        <v>52</v>
      </c>
      <c r="M109" s="22" t="s">
        <v>1096</v>
      </c>
      <c r="N109" s="22" t="s">
        <v>1097</v>
      </c>
      <c r="O109" s="23" t="s">
        <v>1098</v>
      </c>
      <c r="P109" s="22" t="s">
        <v>75</v>
      </c>
      <c r="Q109" s="50" t="s">
        <v>65</v>
      </c>
      <c r="R109" s="22" t="s">
        <v>1099</v>
      </c>
      <c r="S109" s="22" t="s">
        <v>51</v>
      </c>
      <c r="T109" s="22" t="s">
        <v>169</v>
      </c>
      <c r="U109" s="22" t="s">
        <v>1100</v>
      </c>
      <c r="V109" s="22" t="s">
        <v>1096</v>
      </c>
      <c r="W109" s="18">
        <v>45867.0</v>
      </c>
      <c r="X109" s="20">
        <v>0.425</v>
      </c>
      <c r="Y109" s="18">
        <v>45868.0</v>
      </c>
      <c r="Z109" s="20">
        <v>0.46875</v>
      </c>
      <c r="AA109" s="20">
        <v>0.5</v>
      </c>
      <c r="AB109" s="54"/>
      <c r="AC109" s="54"/>
      <c r="AD109" s="51">
        <v>0.5243055555555556</v>
      </c>
      <c r="AE109" s="18">
        <v>45868.0</v>
      </c>
      <c r="AF109" s="22" t="s">
        <v>53</v>
      </c>
      <c r="AG109" s="22" t="s">
        <v>78</v>
      </c>
      <c r="AH109" s="22" t="s">
        <v>1101</v>
      </c>
      <c r="AI109" s="26">
        <f t="shared" si="4"/>
        <v>0.09930555556</v>
      </c>
      <c r="AJ109" s="55">
        <f t="shared" si="5"/>
        <v>0</v>
      </c>
      <c r="AK109" s="28" t="str">
        <f t="shared" si="6"/>
        <v>Pass</v>
      </c>
    </row>
    <row r="110">
      <c r="A110" s="18">
        <v>45868.0</v>
      </c>
      <c r="B110" s="19"/>
      <c r="C110" s="18">
        <v>45868.0</v>
      </c>
      <c r="D110" s="20">
        <v>0.4222222222222222</v>
      </c>
      <c r="E110" s="22" t="s">
        <v>1102</v>
      </c>
      <c r="F110" s="22" t="s">
        <v>1103</v>
      </c>
      <c r="G110" s="22" t="s">
        <v>1104</v>
      </c>
      <c r="H110" s="22" t="s">
        <v>156</v>
      </c>
      <c r="I110" s="22" t="s">
        <v>616</v>
      </c>
      <c r="J110" s="22" t="s">
        <v>132</v>
      </c>
      <c r="K110" s="22" t="s">
        <v>43</v>
      </c>
      <c r="L110" s="22" t="s">
        <v>805</v>
      </c>
      <c r="M110" s="22" t="s">
        <v>1105</v>
      </c>
      <c r="N110" s="22" t="s">
        <v>1106</v>
      </c>
      <c r="O110" s="23" t="s">
        <v>1107</v>
      </c>
      <c r="P110" s="22" t="s">
        <v>75</v>
      </c>
      <c r="Q110" s="50" t="s">
        <v>65</v>
      </c>
      <c r="R110" s="22" t="s">
        <v>1108</v>
      </c>
      <c r="S110" s="22" t="s">
        <v>51</v>
      </c>
      <c r="T110" s="22" t="s">
        <v>912</v>
      </c>
      <c r="U110" s="22" t="s">
        <v>1109</v>
      </c>
      <c r="V110" s="22" t="s">
        <v>1105</v>
      </c>
      <c r="W110" s="18">
        <v>45868.0</v>
      </c>
      <c r="X110" s="20">
        <v>0.4222222222222222</v>
      </c>
      <c r="Y110" s="18">
        <v>45868.0</v>
      </c>
      <c r="Z110" s="20">
        <v>0.4375</v>
      </c>
      <c r="AA110" s="20">
        <v>0.4375</v>
      </c>
      <c r="AB110" s="54"/>
      <c r="AC110" s="54"/>
      <c r="AD110" s="51">
        <v>0.5625</v>
      </c>
      <c r="AE110" s="18">
        <v>45868.0</v>
      </c>
      <c r="AF110" s="22" t="s">
        <v>53</v>
      </c>
      <c r="AG110" s="22" t="s">
        <v>54</v>
      </c>
      <c r="AH110" s="22" t="s">
        <v>1110</v>
      </c>
      <c r="AI110" s="26">
        <f t="shared" si="4"/>
        <v>0.1402777778</v>
      </c>
      <c r="AJ110" s="55">
        <f t="shared" si="5"/>
        <v>0</v>
      </c>
      <c r="AK110" s="28" t="str">
        <f t="shared" si="6"/>
        <v>Pass</v>
      </c>
    </row>
    <row r="111">
      <c r="A111" s="18">
        <v>45868.0</v>
      </c>
      <c r="B111" s="19"/>
      <c r="C111" s="18">
        <v>45868.0</v>
      </c>
      <c r="D111" s="20">
        <v>0.9604166666666667</v>
      </c>
      <c r="E111" s="22" t="s">
        <v>1111</v>
      </c>
      <c r="F111" s="22" t="s">
        <v>812</v>
      </c>
      <c r="G111" s="22" t="s">
        <v>813</v>
      </c>
      <c r="H111" s="22" t="s">
        <v>156</v>
      </c>
      <c r="I111" s="22" t="s">
        <v>616</v>
      </c>
      <c r="J111" s="22" t="s">
        <v>132</v>
      </c>
      <c r="K111" s="22" t="s">
        <v>43</v>
      </c>
      <c r="L111" s="22" t="s">
        <v>805</v>
      </c>
      <c r="M111" s="22" t="s">
        <v>1112</v>
      </c>
      <c r="N111" s="22" t="s">
        <v>1113</v>
      </c>
      <c r="O111" s="23" t="s">
        <v>1114</v>
      </c>
      <c r="P111" s="22" t="s">
        <v>75</v>
      </c>
      <c r="Q111" s="50" t="s">
        <v>65</v>
      </c>
      <c r="R111" s="22" t="s">
        <v>1115</v>
      </c>
      <c r="S111" s="22" t="s">
        <v>51</v>
      </c>
      <c r="T111" s="22" t="s">
        <v>622</v>
      </c>
      <c r="U111" s="22" t="s">
        <v>1116</v>
      </c>
      <c r="V111" s="22" t="s">
        <v>1112</v>
      </c>
      <c r="W111" s="18">
        <v>45868.0</v>
      </c>
      <c r="X111" s="20">
        <v>0.9604166666666667</v>
      </c>
      <c r="Y111" s="18">
        <v>45868.0</v>
      </c>
      <c r="Z111" s="20">
        <v>0.5381944444444444</v>
      </c>
      <c r="AA111" s="20">
        <v>0.5416666666666666</v>
      </c>
      <c r="AB111" s="54"/>
      <c r="AC111" s="54"/>
      <c r="AD111" s="51">
        <v>0.5881944444444445</v>
      </c>
      <c r="AE111" s="18">
        <v>45868.0</v>
      </c>
      <c r="AF111" s="22" t="s">
        <v>53</v>
      </c>
      <c r="AG111" s="22" t="s">
        <v>1117</v>
      </c>
      <c r="AH111" s="22" t="s">
        <v>1118</v>
      </c>
      <c r="AI111" s="26">
        <f t="shared" si="4"/>
        <v>-0.3722222222</v>
      </c>
      <c r="AJ111" s="55">
        <f t="shared" si="5"/>
        <v>0</v>
      </c>
      <c r="AK111" s="28" t="str">
        <f t="shared" si="6"/>
        <v>Pass</v>
      </c>
    </row>
    <row r="112">
      <c r="A112" s="45">
        <v>45868.0</v>
      </c>
      <c r="B112" s="46"/>
      <c r="C112" s="45">
        <v>45868.0</v>
      </c>
      <c r="D112" s="49">
        <v>0.6222222222222222</v>
      </c>
      <c r="E112" s="21" t="s">
        <v>1119</v>
      </c>
      <c r="F112" s="21" t="s">
        <v>842</v>
      </c>
      <c r="G112" s="21" t="s">
        <v>843</v>
      </c>
      <c r="H112" s="21" t="s">
        <v>142</v>
      </c>
      <c r="I112" s="21" t="s">
        <v>131</v>
      </c>
      <c r="J112" s="21" t="s">
        <v>132</v>
      </c>
      <c r="K112" s="21" t="s">
        <v>43</v>
      </c>
      <c r="L112" s="21" t="s">
        <v>1120</v>
      </c>
      <c r="M112" s="21" t="s">
        <v>1121</v>
      </c>
      <c r="N112" s="21" t="s">
        <v>1122</v>
      </c>
      <c r="O112" s="48" t="s">
        <v>1123</v>
      </c>
      <c r="P112" s="21" t="s">
        <v>75</v>
      </c>
      <c r="Q112" s="24" t="s">
        <v>65</v>
      </c>
      <c r="R112" s="21" t="s">
        <v>1124</v>
      </c>
      <c r="S112" s="21" t="s">
        <v>51</v>
      </c>
      <c r="T112" s="21" t="s">
        <v>52</v>
      </c>
      <c r="U112" s="21" t="s">
        <v>52</v>
      </c>
      <c r="V112" s="21" t="s">
        <v>52</v>
      </c>
      <c r="W112" s="45">
        <v>45868.0</v>
      </c>
      <c r="X112" s="49">
        <v>0.6222222222222222</v>
      </c>
      <c r="Y112" s="45">
        <v>45868.0</v>
      </c>
      <c r="Z112" s="49">
        <v>0.6680555555555555</v>
      </c>
      <c r="AA112" s="49">
        <v>0.6701388888888888</v>
      </c>
      <c r="AB112" s="29"/>
      <c r="AC112" s="29"/>
      <c r="AD112" s="25">
        <v>0.6840277777777778</v>
      </c>
      <c r="AE112" s="45">
        <v>45868.0</v>
      </c>
      <c r="AF112" s="21" t="s">
        <v>53</v>
      </c>
      <c r="AG112" s="21" t="s">
        <v>113</v>
      </c>
      <c r="AH112" s="21" t="s">
        <v>1125</v>
      </c>
      <c r="AI112" s="62">
        <f t="shared" si="4"/>
        <v>0.06180555556</v>
      </c>
      <c r="AJ112" s="27">
        <f t="shared" si="5"/>
        <v>0</v>
      </c>
      <c r="AK112" s="63" t="str">
        <f t="shared" si="6"/>
        <v>Pass</v>
      </c>
    </row>
    <row r="113">
      <c r="A113" s="45">
        <v>45868.0</v>
      </c>
      <c r="B113" s="46"/>
      <c r="C113" s="45">
        <v>45868.0</v>
      </c>
      <c r="D113" s="49">
        <v>0.6340277777777777</v>
      </c>
      <c r="E113" s="21" t="s">
        <v>1126</v>
      </c>
      <c r="F113" s="21" t="s">
        <v>1127</v>
      </c>
      <c r="G113" s="21" t="s">
        <v>1128</v>
      </c>
      <c r="H113" s="21" t="s">
        <v>566</v>
      </c>
      <c r="I113" s="47"/>
      <c r="J113" s="47"/>
      <c r="K113" s="21" t="s">
        <v>1085</v>
      </c>
      <c r="L113" s="21" t="s">
        <v>1086</v>
      </c>
      <c r="M113" s="21" t="s">
        <v>1129</v>
      </c>
      <c r="N113" s="21" t="s">
        <v>1088</v>
      </c>
      <c r="O113" s="48" t="s">
        <v>1130</v>
      </c>
      <c r="P113" s="21" t="s">
        <v>48</v>
      </c>
      <c r="Q113" s="24" t="s">
        <v>198</v>
      </c>
      <c r="R113" s="21" t="s">
        <v>1131</v>
      </c>
      <c r="S113" s="21" t="s">
        <v>51</v>
      </c>
      <c r="T113" s="21" t="s">
        <v>52</v>
      </c>
      <c r="U113" s="21" t="s">
        <v>52</v>
      </c>
      <c r="V113" s="21" t="s">
        <v>52</v>
      </c>
      <c r="W113" s="45">
        <v>45868.0</v>
      </c>
      <c r="X113" s="49">
        <v>0.6340277777777777</v>
      </c>
      <c r="Y113" s="45">
        <v>45868.0</v>
      </c>
      <c r="Z113" s="49">
        <v>0.6152777777777778</v>
      </c>
      <c r="AA113" s="49">
        <v>0.6180555555555556</v>
      </c>
      <c r="AB113" s="29"/>
      <c r="AC113" s="29"/>
      <c r="AD113" s="25">
        <v>0.6666666666666666</v>
      </c>
      <c r="AE113" s="45">
        <v>45868.0</v>
      </c>
      <c r="AF113" s="21" t="s">
        <v>53</v>
      </c>
      <c r="AG113" s="21" t="s">
        <v>284</v>
      </c>
      <c r="AH113" s="21" t="s">
        <v>1132</v>
      </c>
      <c r="AI113" s="62">
        <f t="shared" si="4"/>
        <v>0.03263888889</v>
      </c>
      <c r="AJ113" s="27">
        <f t="shared" si="5"/>
        <v>0</v>
      </c>
      <c r="AK113" s="63" t="str">
        <f t="shared" si="6"/>
        <v>Pass</v>
      </c>
    </row>
    <row r="114">
      <c r="A114" s="18">
        <v>45860.0</v>
      </c>
      <c r="B114" s="19"/>
      <c r="C114" s="18">
        <v>45860.0</v>
      </c>
      <c r="D114" s="20">
        <v>0.42083333333333334</v>
      </c>
      <c r="E114" s="22" t="s">
        <v>1133</v>
      </c>
      <c r="F114" s="21" t="s">
        <v>375</v>
      </c>
      <c r="G114" s="21" t="s">
        <v>1134</v>
      </c>
      <c r="H114" s="22" t="s">
        <v>746</v>
      </c>
      <c r="I114" s="22" t="s">
        <v>1135</v>
      </c>
      <c r="J114" s="22" t="s">
        <v>1136</v>
      </c>
      <c r="K114" s="22" t="s">
        <v>61</v>
      </c>
      <c r="L114" s="57" t="s">
        <v>1137</v>
      </c>
      <c r="M114" s="22" t="s">
        <v>1138</v>
      </c>
      <c r="N114" s="22" t="s">
        <v>1139</v>
      </c>
      <c r="O114" s="23" t="s">
        <v>1140</v>
      </c>
      <c r="P114" s="60" t="s">
        <v>75</v>
      </c>
      <c r="Q114" s="24" t="s">
        <v>65</v>
      </c>
      <c r="R114" s="22" t="s">
        <v>1141</v>
      </c>
      <c r="S114" s="22" t="s">
        <v>51</v>
      </c>
      <c r="T114" s="22" t="s">
        <v>52</v>
      </c>
      <c r="U114" s="22" t="s">
        <v>52</v>
      </c>
      <c r="V114" s="22" t="s">
        <v>52</v>
      </c>
      <c r="W114" s="18">
        <v>45860.0</v>
      </c>
      <c r="X114" s="20">
        <v>0.42083333333333334</v>
      </c>
      <c r="Y114" s="18">
        <v>45868.0</v>
      </c>
      <c r="Z114" s="20">
        <v>0.09305555555555556</v>
      </c>
      <c r="AA114" s="20">
        <v>0.10416666666666667</v>
      </c>
      <c r="AB114" s="29"/>
      <c r="AC114" s="29"/>
      <c r="AD114" s="25">
        <v>0.12291666666666666</v>
      </c>
      <c r="AE114" s="18">
        <v>45868.0</v>
      </c>
      <c r="AF114" s="22" t="s">
        <v>53</v>
      </c>
      <c r="AG114" s="22" t="s">
        <v>382</v>
      </c>
      <c r="AH114" s="22" t="s">
        <v>1142</v>
      </c>
      <c r="AI114" s="26">
        <f t="shared" si="4"/>
        <v>-0.2979166667</v>
      </c>
      <c r="AJ114" s="27">
        <f t="shared" si="5"/>
        <v>0</v>
      </c>
      <c r="AK114" s="28" t="str">
        <f t="shared" si="6"/>
        <v>Pass</v>
      </c>
    </row>
    <row r="115">
      <c r="A115" s="18">
        <v>45867.0</v>
      </c>
      <c r="B115" s="19"/>
      <c r="C115" s="18">
        <v>45867.0</v>
      </c>
      <c r="D115" s="20">
        <v>0.4444444444444444</v>
      </c>
      <c r="E115" s="22" t="s">
        <v>1143</v>
      </c>
      <c r="F115" s="22" t="s">
        <v>1144</v>
      </c>
      <c r="G115" s="22" t="s">
        <v>1145</v>
      </c>
      <c r="H115" s="22" t="s">
        <v>253</v>
      </c>
      <c r="I115" s="22" t="s">
        <v>928</v>
      </c>
      <c r="J115" s="22" t="s">
        <v>928</v>
      </c>
      <c r="K115" s="22" t="s">
        <v>52</v>
      </c>
      <c r="L115" s="22" t="s">
        <v>52</v>
      </c>
      <c r="M115" s="22" t="s">
        <v>52</v>
      </c>
      <c r="N115" s="22" t="s">
        <v>1146</v>
      </c>
      <c r="O115" s="23" t="s">
        <v>1147</v>
      </c>
      <c r="P115" s="22" t="s">
        <v>48</v>
      </c>
      <c r="Q115" s="50" t="s">
        <v>198</v>
      </c>
      <c r="R115" s="22" t="s">
        <v>1148</v>
      </c>
      <c r="S115" s="22" t="s">
        <v>51</v>
      </c>
      <c r="T115" s="22" t="s">
        <v>52</v>
      </c>
      <c r="U115" s="22" t="s">
        <v>52</v>
      </c>
      <c r="V115" s="22" t="s">
        <v>52</v>
      </c>
      <c r="W115" s="18">
        <v>45867.0</v>
      </c>
      <c r="X115" s="20">
        <v>0.4444444444444444</v>
      </c>
      <c r="Y115" s="18">
        <v>45869.0</v>
      </c>
      <c r="Z115" s="20">
        <v>0.3888888888888889</v>
      </c>
      <c r="AA115" s="20">
        <v>0.3958333333333333</v>
      </c>
      <c r="AB115" s="54"/>
      <c r="AC115" s="54"/>
      <c r="AD115" s="51">
        <v>0.4270833333333333</v>
      </c>
      <c r="AE115" s="18">
        <v>45869.0</v>
      </c>
      <c r="AF115" s="22" t="s">
        <v>53</v>
      </c>
      <c r="AG115" s="22" t="s">
        <v>78</v>
      </c>
      <c r="AH115" s="22" t="s">
        <v>1149</v>
      </c>
      <c r="AI115" s="26">
        <f t="shared" si="4"/>
        <v>-0.01736111111</v>
      </c>
      <c r="AJ115" s="55">
        <f t="shared" si="5"/>
        <v>0</v>
      </c>
      <c r="AK115" s="28" t="str">
        <f t="shared" si="6"/>
        <v>Pass</v>
      </c>
    </row>
    <row r="116">
      <c r="A116" s="18">
        <v>45866.0</v>
      </c>
      <c r="B116" s="19"/>
      <c r="C116" s="18">
        <v>45869.0</v>
      </c>
      <c r="D116" s="20">
        <v>0.45694444444444443</v>
      </c>
      <c r="E116" s="22" t="s">
        <v>1150</v>
      </c>
      <c r="F116" s="22" t="s">
        <v>1151</v>
      </c>
      <c r="G116" s="22" t="s">
        <v>1152</v>
      </c>
      <c r="H116" s="22" t="s">
        <v>566</v>
      </c>
      <c r="I116" s="22" t="s">
        <v>1153</v>
      </c>
      <c r="J116" s="22" t="s">
        <v>1056</v>
      </c>
      <c r="K116" s="22" t="s">
        <v>635</v>
      </c>
      <c r="L116" s="22" t="s">
        <v>636</v>
      </c>
      <c r="M116" s="22" t="s">
        <v>1154</v>
      </c>
      <c r="N116" s="22" t="s">
        <v>1155</v>
      </c>
      <c r="O116" s="23" t="s">
        <v>1156</v>
      </c>
      <c r="P116" s="22" t="s">
        <v>48</v>
      </c>
      <c r="Q116" s="50" t="s">
        <v>65</v>
      </c>
      <c r="R116" s="22" t="s">
        <v>1157</v>
      </c>
      <c r="S116" s="22" t="s">
        <v>51</v>
      </c>
      <c r="T116" s="22" t="s">
        <v>52</v>
      </c>
      <c r="U116" s="22" t="s">
        <v>52</v>
      </c>
      <c r="V116" s="22" t="s">
        <v>52</v>
      </c>
      <c r="W116" s="18">
        <v>45869.0</v>
      </c>
      <c r="X116" s="20">
        <v>0.45694444444444443</v>
      </c>
      <c r="Y116" s="18">
        <v>45869.0</v>
      </c>
      <c r="Z116" s="20">
        <v>0.49722222222222223</v>
      </c>
      <c r="AA116" s="20">
        <v>0.5</v>
      </c>
      <c r="AB116" s="54"/>
      <c r="AC116" s="54"/>
      <c r="AD116" s="51">
        <v>0.6048611111111111</v>
      </c>
      <c r="AE116" s="18">
        <v>45869.0</v>
      </c>
      <c r="AF116" s="22" t="s">
        <v>53</v>
      </c>
      <c r="AG116" s="22" t="s">
        <v>293</v>
      </c>
      <c r="AH116" s="22" t="s">
        <v>1158</v>
      </c>
      <c r="AI116" s="26">
        <f t="shared" si="4"/>
        <v>0.1479166667</v>
      </c>
      <c r="AJ116" s="55">
        <f t="shared" si="5"/>
        <v>0</v>
      </c>
      <c r="AK116" s="28" t="str">
        <f t="shared" si="6"/>
        <v>Pass</v>
      </c>
    </row>
    <row r="117">
      <c r="A117" s="45">
        <v>45869.0</v>
      </c>
      <c r="B117" s="46"/>
      <c r="C117" s="45">
        <v>45870.0</v>
      </c>
      <c r="D117" s="49" t="s">
        <v>1159</v>
      </c>
      <c r="E117" s="21" t="s">
        <v>1160</v>
      </c>
      <c r="F117" s="21" t="s">
        <v>905</v>
      </c>
      <c r="G117" s="21" t="s">
        <v>1161</v>
      </c>
      <c r="H117" s="21" t="s">
        <v>746</v>
      </c>
      <c r="I117" s="21" t="s">
        <v>1162</v>
      </c>
      <c r="J117" s="21" t="s">
        <v>1136</v>
      </c>
      <c r="K117" s="21" t="s">
        <v>52</v>
      </c>
      <c r="L117" s="21" t="s">
        <v>52</v>
      </c>
      <c r="M117" s="21" t="s">
        <v>52</v>
      </c>
      <c r="N117" s="21" t="s">
        <v>1163</v>
      </c>
      <c r="O117" s="48" t="s">
        <v>1164</v>
      </c>
      <c r="P117" s="21" t="s">
        <v>75</v>
      </c>
      <c r="Q117" s="24" t="s">
        <v>65</v>
      </c>
      <c r="R117" s="21" t="s">
        <v>1165</v>
      </c>
      <c r="S117" s="21" t="s">
        <v>51</v>
      </c>
      <c r="T117" s="21" t="s">
        <v>52</v>
      </c>
      <c r="U117" s="21" t="s">
        <v>52</v>
      </c>
      <c r="V117" s="21" t="s">
        <v>52</v>
      </c>
      <c r="W117" s="45">
        <v>45870.0</v>
      </c>
      <c r="X117" s="49" t="s">
        <v>1159</v>
      </c>
      <c r="Y117" s="45">
        <v>45870.0</v>
      </c>
      <c r="Z117" s="49">
        <v>0.625</v>
      </c>
      <c r="AA117" s="49">
        <v>0.7013888888888888</v>
      </c>
      <c r="AB117" s="25" t="s">
        <v>1166</v>
      </c>
      <c r="AC117" s="25" t="s">
        <v>1167</v>
      </c>
      <c r="AD117" s="25">
        <v>0.7430555555555556</v>
      </c>
      <c r="AE117" s="45">
        <v>45870.0</v>
      </c>
      <c r="AF117" s="21" t="s">
        <v>53</v>
      </c>
      <c r="AG117" s="21" t="s">
        <v>54</v>
      </c>
      <c r="AH117" s="21" t="s">
        <v>1168</v>
      </c>
      <c r="AI117" s="62" t="str">
        <f t="shared" si="4"/>
        <v>#VALUE!</v>
      </c>
      <c r="AJ117" s="67" t="str">
        <f t="shared" si="5"/>
        <v>#VALUE!</v>
      </c>
      <c r="AK117" s="63" t="str">
        <f t="shared" si="6"/>
        <v>#VALUE!</v>
      </c>
    </row>
    <row r="118">
      <c r="A118" s="45">
        <v>45869.0</v>
      </c>
      <c r="B118" s="46"/>
      <c r="C118" s="45">
        <v>45870.0</v>
      </c>
      <c r="D118" s="49">
        <v>0.5826388888888889</v>
      </c>
      <c r="E118" s="21" t="s">
        <v>1169</v>
      </c>
      <c r="F118" s="21" t="s">
        <v>905</v>
      </c>
      <c r="G118" s="21" t="s">
        <v>1161</v>
      </c>
      <c r="H118" s="21" t="s">
        <v>156</v>
      </c>
      <c r="I118" s="21" t="s">
        <v>616</v>
      </c>
      <c r="J118" s="21" t="s">
        <v>132</v>
      </c>
      <c r="K118" s="21" t="s">
        <v>1170</v>
      </c>
      <c r="L118" s="21" t="s">
        <v>1171</v>
      </c>
      <c r="M118" s="21" t="s">
        <v>908</v>
      </c>
      <c r="N118" s="21" t="s">
        <v>1172</v>
      </c>
      <c r="O118" s="48" t="s">
        <v>1173</v>
      </c>
      <c r="P118" s="21" t="s">
        <v>75</v>
      </c>
      <c r="Q118" s="24" t="s">
        <v>65</v>
      </c>
      <c r="R118" s="21" t="s">
        <v>1174</v>
      </c>
      <c r="S118" s="21" t="s">
        <v>51</v>
      </c>
      <c r="T118" s="21" t="s">
        <v>52</v>
      </c>
      <c r="U118" s="21" t="s">
        <v>52</v>
      </c>
      <c r="V118" s="21" t="s">
        <v>52</v>
      </c>
      <c r="W118" s="45">
        <v>45870.0</v>
      </c>
      <c r="X118" s="49">
        <v>0.5826388888888889</v>
      </c>
      <c r="Y118" s="45">
        <v>45870.0</v>
      </c>
      <c r="Z118" s="49">
        <v>0.625</v>
      </c>
      <c r="AA118" s="49">
        <v>0.6284722222222222</v>
      </c>
      <c r="AB118" s="29"/>
      <c r="AC118" s="29"/>
      <c r="AD118" s="25">
        <v>0.6666666666666666</v>
      </c>
      <c r="AE118" s="45">
        <v>45870.0</v>
      </c>
      <c r="AF118" s="21" t="s">
        <v>53</v>
      </c>
      <c r="AG118" s="21" t="s">
        <v>54</v>
      </c>
      <c r="AH118" s="21" t="s">
        <v>1168</v>
      </c>
      <c r="AI118" s="62">
        <f t="shared" si="4"/>
        <v>0.08402777778</v>
      </c>
      <c r="AJ118" s="27">
        <f t="shared" si="5"/>
        <v>0</v>
      </c>
      <c r="AK118" s="63" t="str">
        <f t="shared" si="6"/>
        <v>Pass</v>
      </c>
    </row>
    <row r="119">
      <c r="A119" s="18">
        <v>45865.0</v>
      </c>
      <c r="B119" s="19"/>
      <c r="C119" s="18">
        <v>45865.0</v>
      </c>
      <c r="D119" s="20">
        <v>0.32916666666666666</v>
      </c>
      <c r="E119" s="22" t="s">
        <v>1175</v>
      </c>
      <c r="F119" s="22" t="s">
        <v>1176</v>
      </c>
      <c r="G119" s="22" t="s">
        <v>1177</v>
      </c>
      <c r="H119" s="22" t="s">
        <v>746</v>
      </c>
      <c r="I119" s="22" t="s">
        <v>1178</v>
      </c>
      <c r="J119" s="22" t="s">
        <v>1136</v>
      </c>
      <c r="K119" s="22" t="s">
        <v>61</v>
      </c>
      <c r="L119" s="22" t="s">
        <v>1179</v>
      </c>
      <c r="M119" s="22" t="s">
        <v>1180</v>
      </c>
      <c r="N119" s="22" t="s">
        <v>1181</v>
      </c>
      <c r="O119" s="23" t="s">
        <v>1182</v>
      </c>
      <c r="P119" s="22" t="s">
        <v>75</v>
      </c>
      <c r="Q119" s="50" t="s">
        <v>65</v>
      </c>
      <c r="R119" s="22" t="s">
        <v>1183</v>
      </c>
      <c r="S119" s="22" t="s">
        <v>51</v>
      </c>
      <c r="T119" s="22" t="s">
        <v>52</v>
      </c>
      <c r="U119" s="22" t="s">
        <v>52</v>
      </c>
      <c r="V119" s="22" t="s">
        <v>52</v>
      </c>
      <c r="W119" s="18">
        <v>45865.0</v>
      </c>
      <c r="X119" s="20">
        <v>0.32916666666666666</v>
      </c>
      <c r="Y119" s="18">
        <v>45870.0</v>
      </c>
      <c r="Z119" s="20">
        <v>0.4375</v>
      </c>
      <c r="AA119" s="20">
        <v>0.4583333333333333</v>
      </c>
      <c r="AB119" s="51">
        <v>0.4375</v>
      </c>
      <c r="AC119" s="51">
        <v>0.4583333333333333</v>
      </c>
      <c r="AD119" s="51">
        <v>0.46875</v>
      </c>
      <c r="AE119" s="18">
        <v>45870.0</v>
      </c>
      <c r="AF119" s="22" t="s">
        <v>53</v>
      </c>
      <c r="AG119" s="22" t="s">
        <v>54</v>
      </c>
      <c r="AH119" s="22" t="s">
        <v>1184</v>
      </c>
      <c r="AI119" s="26">
        <f t="shared" si="4"/>
        <v>0.11875</v>
      </c>
      <c r="AJ119" s="55">
        <f t="shared" si="5"/>
        <v>0</v>
      </c>
      <c r="AK119" s="28" t="str">
        <f t="shared" si="6"/>
        <v>Pass</v>
      </c>
    </row>
    <row r="120">
      <c r="A120" s="18">
        <v>45865.0</v>
      </c>
      <c r="B120" s="19"/>
      <c r="C120" s="18">
        <v>45865.0</v>
      </c>
      <c r="D120" s="20">
        <v>0.65</v>
      </c>
      <c r="E120" s="22" t="s">
        <v>1185</v>
      </c>
      <c r="F120" s="22" t="s">
        <v>1176</v>
      </c>
      <c r="G120" s="22" t="s">
        <v>1177</v>
      </c>
      <c r="H120" s="22" t="s">
        <v>1186</v>
      </c>
      <c r="I120" s="22" t="s">
        <v>60</v>
      </c>
      <c r="J120" s="22" t="s">
        <v>42</v>
      </c>
      <c r="K120" s="22" t="s">
        <v>61</v>
      </c>
      <c r="L120" s="22" t="s">
        <v>183</v>
      </c>
      <c r="M120" s="22" t="s">
        <v>1187</v>
      </c>
      <c r="N120" s="22" t="s">
        <v>1188</v>
      </c>
      <c r="O120" s="23" t="s">
        <v>1189</v>
      </c>
      <c r="P120" s="22" t="s">
        <v>75</v>
      </c>
      <c r="Q120" s="50" t="s">
        <v>65</v>
      </c>
      <c r="R120" s="22" t="s">
        <v>1190</v>
      </c>
      <c r="S120" s="22" t="s">
        <v>51</v>
      </c>
      <c r="T120" s="22" t="s">
        <v>52</v>
      </c>
      <c r="U120" s="22" t="s">
        <v>52</v>
      </c>
      <c r="V120" s="22" t="s">
        <v>52</v>
      </c>
      <c r="W120" s="18">
        <v>45870.0</v>
      </c>
      <c r="X120" s="20">
        <v>0.32916666666666666</v>
      </c>
      <c r="Y120" s="18">
        <v>45870.0</v>
      </c>
      <c r="Z120" s="20">
        <v>0.4375</v>
      </c>
      <c r="AA120" s="20">
        <v>0.5</v>
      </c>
      <c r="AB120" s="51">
        <v>0.4375</v>
      </c>
      <c r="AC120" s="51">
        <v>0.5</v>
      </c>
      <c r="AD120" s="51">
        <v>0.5208333333333334</v>
      </c>
      <c r="AE120" s="18">
        <v>45870.0</v>
      </c>
      <c r="AF120" s="22" t="s">
        <v>53</v>
      </c>
      <c r="AG120" s="22" t="s">
        <v>54</v>
      </c>
      <c r="AH120" s="22" t="s">
        <v>1184</v>
      </c>
      <c r="AI120" s="26">
        <f t="shared" si="4"/>
        <v>-0.1916666667</v>
      </c>
      <c r="AJ120" s="55">
        <f t="shared" si="5"/>
        <v>0</v>
      </c>
      <c r="AK120" s="28" t="str">
        <f t="shared" si="6"/>
        <v>Pass</v>
      </c>
    </row>
    <row r="121">
      <c r="A121" s="18">
        <v>45870.0</v>
      </c>
      <c r="B121" s="19"/>
      <c r="C121" s="18">
        <v>45870.0</v>
      </c>
      <c r="D121" s="20">
        <v>0.40625</v>
      </c>
      <c r="E121" s="22" t="s">
        <v>1191</v>
      </c>
      <c r="F121" s="22" t="s">
        <v>1192</v>
      </c>
      <c r="G121" s="22" t="s">
        <v>1193</v>
      </c>
      <c r="H121" s="22" t="s">
        <v>566</v>
      </c>
      <c r="I121" s="22" t="s">
        <v>60</v>
      </c>
      <c r="J121" s="22" t="s">
        <v>42</v>
      </c>
      <c r="K121" s="22" t="s">
        <v>61</v>
      </c>
      <c r="L121" s="22" t="s">
        <v>183</v>
      </c>
      <c r="M121" s="22" t="s">
        <v>1194</v>
      </c>
      <c r="N121" s="22" t="s">
        <v>1195</v>
      </c>
      <c r="O121" s="23" t="s">
        <v>1196</v>
      </c>
      <c r="P121" s="22" t="s">
        <v>48</v>
      </c>
      <c r="Q121" s="50" t="s">
        <v>65</v>
      </c>
      <c r="R121" s="22" t="s">
        <v>1197</v>
      </c>
      <c r="S121" s="22" t="s">
        <v>51</v>
      </c>
      <c r="T121" s="22" t="s">
        <v>52</v>
      </c>
      <c r="U121" s="22" t="s">
        <v>52</v>
      </c>
      <c r="V121" s="22" t="s">
        <v>52</v>
      </c>
      <c r="W121" s="18">
        <v>45870.0</v>
      </c>
      <c r="X121" s="20">
        <v>0.40625</v>
      </c>
      <c r="Y121" s="18">
        <v>45870.0</v>
      </c>
      <c r="Z121" s="20">
        <v>0.43680555555555556</v>
      </c>
      <c r="AA121" s="20">
        <v>0.4375</v>
      </c>
      <c r="AB121" s="54"/>
      <c r="AC121" s="54"/>
      <c r="AD121" s="51">
        <v>0.5395833333333333</v>
      </c>
      <c r="AE121" s="18">
        <v>45870.0</v>
      </c>
      <c r="AF121" s="22" t="s">
        <v>53</v>
      </c>
      <c r="AG121" s="22" t="s">
        <v>89</v>
      </c>
      <c r="AH121" s="22" t="s">
        <v>1198</v>
      </c>
      <c r="AI121" s="26">
        <f t="shared" si="4"/>
        <v>0.1333333333</v>
      </c>
      <c r="AJ121" s="55">
        <f t="shared" si="5"/>
        <v>0</v>
      </c>
      <c r="AK121" s="28" t="str">
        <f t="shared" si="6"/>
        <v>Pass</v>
      </c>
    </row>
    <row r="122">
      <c r="A122" s="45">
        <v>45870.0</v>
      </c>
      <c r="B122" s="46"/>
      <c r="C122" s="45">
        <v>45870.0</v>
      </c>
      <c r="D122" s="49">
        <v>0.4166666666666667</v>
      </c>
      <c r="E122" s="21" t="s">
        <v>1199</v>
      </c>
      <c r="F122" s="21" t="s">
        <v>1200</v>
      </c>
      <c r="G122" s="21" t="s">
        <v>1201</v>
      </c>
      <c r="H122" s="21" t="s">
        <v>756</v>
      </c>
      <c r="I122" s="21" t="s">
        <v>41</v>
      </c>
      <c r="J122" s="21" t="s">
        <v>42</v>
      </c>
      <c r="K122" s="21" t="s">
        <v>1202</v>
      </c>
      <c r="L122" s="21" t="s">
        <v>1203</v>
      </c>
      <c r="M122" s="21" t="s">
        <v>1204</v>
      </c>
      <c r="N122" s="21" t="s">
        <v>1205</v>
      </c>
      <c r="O122" s="48" t="s">
        <v>1206</v>
      </c>
      <c r="P122" s="21" t="s">
        <v>48</v>
      </c>
      <c r="Q122" s="24" t="s">
        <v>65</v>
      </c>
      <c r="R122" s="21" t="s">
        <v>1207</v>
      </c>
      <c r="S122" s="21" t="s">
        <v>51</v>
      </c>
      <c r="T122" s="21" t="s">
        <v>52</v>
      </c>
      <c r="U122" s="21" t="s">
        <v>52</v>
      </c>
      <c r="V122" s="21" t="s">
        <v>52</v>
      </c>
      <c r="W122" s="45">
        <v>45870.0</v>
      </c>
      <c r="X122" s="49">
        <v>0.4166666666666667</v>
      </c>
      <c r="Y122" s="45">
        <v>45870.0</v>
      </c>
      <c r="Z122" s="49">
        <v>0.5173611111111112</v>
      </c>
      <c r="AA122" s="49">
        <v>0.5208333333333334</v>
      </c>
      <c r="AB122" s="25">
        <v>0.5625</v>
      </c>
      <c r="AC122" s="25">
        <v>0.5972222222222222</v>
      </c>
      <c r="AD122" s="25">
        <v>0.6145833333333334</v>
      </c>
      <c r="AE122" s="45">
        <v>45870.0</v>
      </c>
      <c r="AF122" s="21" t="s">
        <v>53</v>
      </c>
      <c r="AG122" s="21" t="s">
        <v>67</v>
      </c>
      <c r="AH122" s="21" t="s">
        <v>1208</v>
      </c>
      <c r="AI122" s="62">
        <f t="shared" si="4"/>
        <v>0.1631944444</v>
      </c>
      <c r="AJ122" s="27">
        <f t="shared" si="5"/>
        <v>0</v>
      </c>
      <c r="AK122" s="63" t="str">
        <f t="shared" si="6"/>
        <v>Pass</v>
      </c>
    </row>
    <row r="123">
      <c r="A123" s="45">
        <v>45870.0</v>
      </c>
      <c r="B123" s="46"/>
      <c r="C123" s="45">
        <v>45870.0</v>
      </c>
      <c r="D123" s="49">
        <v>0.47847222222222224</v>
      </c>
      <c r="E123" s="21" t="s">
        <v>1209</v>
      </c>
      <c r="F123" s="21" t="s">
        <v>1210</v>
      </c>
      <c r="G123" s="21" t="s">
        <v>1211</v>
      </c>
      <c r="H123" s="21" t="s">
        <v>182</v>
      </c>
      <c r="I123" s="21" t="s">
        <v>234</v>
      </c>
      <c r="J123" s="21" t="s">
        <v>42</v>
      </c>
      <c r="K123" s="21" t="s">
        <v>1212</v>
      </c>
      <c r="L123" s="21" t="s">
        <v>183</v>
      </c>
      <c r="M123" s="21" t="s">
        <v>1213</v>
      </c>
      <c r="N123" s="21" t="s">
        <v>1214</v>
      </c>
      <c r="O123" s="48" t="s">
        <v>1215</v>
      </c>
      <c r="P123" s="21" t="s">
        <v>75</v>
      </c>
      <c r="Q123" s="24" t="s">
        <v>65</v>
      </c>
      <c r="R123" s="21" t="s">
        <v>1216</v>
      </c>
      <c r="S123" s="21" t="s">
        <v>51</v>
      </c>
      <c r="T123" s="21" t="s">
        <v>324</v>
      </c>
      <c r="U123" s="21" t="s">
        <v>1217</v>
      </c>
      <c r="V123" s="21" t="s">
        <v>1218</v>
      </c>
      <c r="W123" s="45">
        <v>45870.0</v>
      </c>
      <c r="X123" s="49">
        <v>0.47847222222222224</v>
      </c>
      <c r="Y123" s="45">
        <v>45870.0</v>
      </c>
      <c r="Z123" s="49">
        <v>0.5486111111111112</v>
      </c>
      <c r="AA123" s="49">
        <v>0.5625</v>
      </c>
      <c r="AB123" s="25">
        <v>0.5868055555555556</v>
      </c>
      <c r="AC123" s="25">
        <v>0.6458333333333334</v>
      </c>
      <c r="AD123" s="25">
        <v>0.6805555555555556</v>
      </c>
      <c r="AE123" s="45">
        <v>45870.0</v>
      </c>
      <c r="AF123" s="21" t="s">
        <v>53</v>
      </c>
      <c r="AG123" s="21" t="s">
        <v>78</v>
      </c>
      <c r="AH123" s="21" t="s">
        <v>1219</v>
      </c>
      <c r="AI123" s="62">
        <f t="shared" si="4"/>
        <v>0.1430555556</v>
      </c>
      <c r="AJ123" s="27">
        <f t="shared" si="5"/>
        <v>0</v>
      </c>
      <c r="AK123" s="63" t="str">
        <f t="shared" si="6"/>
        <v>Pass</v>
      </c>
    </row>
    <row r="124">
      <c r="A124" s="18">
        <v>45870.0</v>
      </c>
      <c r="B124" s="19"/>
      <c r="C124" s="18">
        <v>45870.0</v>
      </c>
      <c r="D124" s="20">
        <v>0.8194444444444444</v>
      </c>
      <c r="E124" s="22" t="s">
        <v>1220</v>
      </c>
      <c r="F124" s="22" t="s">
        <v>1221</v>
      </c>
      <c r="G124" s="22" t="s">
        <v>1222</v>
      </c>
      <c r="H124" s="22" t="s">
        <v>156</v>
      </c>
      <c r="I124" s="22" t="s">
        <v>1223</v>
      </c>
      <c r="J124" s="22" t="s">
        <v>644</v>
      </c>
      <c r="K124" s="22" t="s">
        <v>1224</v>
      </c>
      <c r="L124" s="22" t="s">
        <v>1225</v>
      </c>
      <c r="M124" s="22" t="s">
        <v>1226</v>
      </c>
      <c r="N124" s="22" t="s">
        <v>1227</v>
      </c>
      <c r="O124" s="23" t="s">
        <v>1228</v>
      </c>
      <c r="P124" s="22" t="s">
        <v>75</v>
      </c>
      <c r="Q124" s="24" t="s">
        <v>65</v>
      </c>
      <c r="R124" s="22" t="s">
        <v>1229</v>
      </c>
      <c r="S124" s="22" t="s">
        <v>51</v>
      </c>
      <c r="T124" s="31"/>
      <c r="U124" s="31"/>
      <c r="V124" s="31"/>
      <c r="W124" s="45">
        <v>45870.0</v>
      </c>
      <c r="X124" s="49">
        <v>0.8194444444444444</v>
      </c>
      <c r="Y124" s="45">
        <v>45870.0</v>
      </c>
      <c r="Z124" s="20">
        <v>0.8472222222222222</v>
      </c>
      <c r="AA124" s="20">
        <v>0.8541666666666666</v>
      </c>
      <c r="AB124" s="54"/>
      <c r="AC124" s="54"/>
      <c r="AD124" s="51">
        <v>0.9166666666666666</v>
      </c>
      <c r="AE124" s="45">
        <v>45870.0</v>
      </c>
      <c r="AF124" s="21" t="s">
        <v>53</v>
      </c>
      <c r="AG124" s="22" t="s">
        <v>54</v>
      </c>
      <c r="AH124" s="22" t="s">
        <v>1230</v>
      </c>
      <c r="AI124" s="26">
        <f t="shared" si="4"/>
        <v>0.09722222222</v>
      </c>
      <c r="AJ124" s="27">
        <f t="shared" si="5"/>
        <v>0</v>
      </c>
      <c r="AK124" s="28" t="str">
        <f t="shared" si="6"/>
        <v>Pass</v>
      </c>
    </row>
    <row r="125">
      <c r="A125" s="18">
        <v>45860.0</v>
      </c>
      <c r="B125" s="19"/>
      <c r="C125" s="18">
        <v>45870.0</v>
      </c>
      <c r="D125" s="20">
        <v>0.69375</v>
      </c>
      <c r="E125" s="22" t="s">
        <v>1231</v>
      </c>
      <c r="F125" s="22" t="s">
        <v>1232</v>
      </c>
      <c r="G125" s="22" t="s">
        <v>1233</v>
      </c>
      <c r="H125" s="22" t="s">
        <v>605</v>
      </c>
      <c r="I125" s="22" t="s">
        <v>95</v>
      </c>
      <c r="J125" s="31"/>
      <c r="K125" s="31"/>
      <c r="L125" s="31"/>
      <c r="M125" s="31"/>
      <c r="N125" s="22" t="s">
        <v>1234</v>
      </c>
      <c r="O125" s="23" t="s">
        <v>1235</v>
      </c>
      <c r="P125" s="22" t="s">
        <v>75</v>
      </c>
      <c r="Q125" s="50" t="s">
        <v>65</v>
      </c>
      <c r="R125" s="22" t="s">
        <v>1236</v>
      </c>
      <c r="S125" s="22" t="s">
        <v>51</v>
      </c>
      <c r="T125" s="22" t="s">
        <v>324</v>
      </c>
      <c r="U125" s="22" t="s">
        <v>1237</v>
      </c>
      <c r="V125" s="22" t="s">
        <v>1238</v>
      </c>
      <c r="W125" s="18">
        <v>45870.0</v>
      </c>
      <c r="X125" s="20">
        <v>0.69375</v>
      </c>
      <c r="Y125" s="18">
        <v>45871.0</v>
      </c>
      <c r="Z125" s="20">
        <v>0.8520833333333333</v>
      </c>
      <c r="AA125" s="20">
        <v>0.9270833333333334</v>
      </c>
      <c r="AB125" s="51">
        <v>0.8520833333333333</v>
      </c>
      <c r="AC125" s="51">
        <v>0.9270833333333334</v>
      </c>
      <c r="AD125" s="51">
        <v>0.20833333333333334</v>
      </c>
      <c r="AE125" s="18">
        <v>45872.0</v>
      </c>
      <c r="AF125" s="22" t="s">
        <v>53</v>
      </c>
      <c r="AG125" s="22" t="s">
        <v>284</v>
      </c>
      <c r="AH125" s="22" t="s">
        <v>1239</v>
      </c>
      <c r="AI125" s="26">
        <f t="shared" si="4"/>
        <v>-0.5604166667</v>
      </c>
      <c r="AJ125" s="55">
        <f t="shared" si="5"/>
        <v>0</v>
      </c>
      <c r="AK125" s="28" t="str">
        <f t="shared" si="6"/>
        <v>Pass</v>
      </c>
    </row>
    <row r="126">
      <c r="A126" s="45">
        <v>45870.0</v>
      </c>
      <c r="B126" s="46"/>
      <c r="C126" s="45">
        <v>45871.0</v>
      </c>
      <c r="D126" s="49">
        <v>0.37916666666666665</v>
      </c>
      <c r="E126" s="21" t="s">
        <v>1240</v>
      </c>
      <c r="F126" s="21" t="s">
        <v>1241</v>
      </c>
      <c r="G126" s="21" t="s">
        <v>1242</v>
      </c>
      <c r="H126" s="21" t="s">
        <v>756</v>
      </c>
      <c r="I126" s="21" t="s">
        <v>41</v>
      </c>
      <c r="J126" s="21" t="s">
        <v>42</v>
      </c>
      <c r="K126" s="21" t="s">
        <v>43</v>
      </c>
      <c r="L126" s="21" t="s">
        <v>44</v>
      </c>
      <c r="M126" s="21" t="s">
        <v>1243</v>
      </c>
      <c r="N126" s="21" t="s">
        <v>1244</v>
      </c>
      <c r="O126" s="48" t="s">
        <v>1245</v>
      </c>
      <c r="P126" s="21" t="s">
        <v>75</v>
      </c>
      <c r="Q126" s="24" t="s">
        <v>65</v>
      </c>
      <c r="R126" s="21" t="s">
        <v>1246</v>
      </c>
      <c r="S126" s="21" t="s">
        <v>51</v>
      </c>
      <c r="T126" s="21" t="s">
        <v>52</v>
      </c>
      <c r="U126" s="21" t="s">
        <v>52</v>
      </c>
      <c r="V126" s="21" t="s">
        <v>52</v>
      </c>
      <c r="W126" s="45">
        <v>45871.0</v>
      </c>
      <c r="X126" s="49">
        <v>0.37916666666666665</v>
      </c>
      <c r="Y126" s="45">
        <v>45871.0</v>
      </c>
      <c r="Z126" s="49">
        <v>0.4076388888888889</v>
      </c>
      <c r="AA126" s="49">
        <v>0.4166666666666667</v>
      </c>
      <c r="AB126" s="29"/>
      <c r="AC126" s="29"/>
      <c r="AD126" s="25">
        <v>0.5694444444444444</v>
      </c>
      <c r="AE126" s="45">
        <v>45871.0</v>
      </c>
      <c r="AF126" s="21" t="s">
        <v>53</v>
      </c>
      <c r="AG126" s="21" t="s">
        <v>680</v>
      </c>
      <c r="AH126" s="21" t="s">
        <v>1247</v>
      </c>
      <c r="AI126" s="62">
        <f t="shared" si="4"/>
        <v>0.1902777778</v>
      </c>
      <c r="AJ126" s="27">
        <f t="shared" si="5"/>
        <v>0</v>
      </c>
      <c r="AK126" s="63" t="str">
        <f t="shared" si="6"/>
        <v>Pass</v>
      </c>
    </row>
    <row r="127">
      <c r="A127" s="18">
        <v>45870.0</v>
      </c>
      <c r="B127" s="19"/>
      <c r="C127" s="18">
        <v>45871.0</v>
      </c>
      <c r="D127" s="20">
        <v>0.4548611111111111</v>
      </c>
      <c r="E127" s="22" t="s">
        <v>1248</v>
      </c>
      <c r="F127" s="22" t="s">
        <v>1249</v>
      </c>
      <c r="G127" s="22" t="s">
        <v>1250</v>
      </c>
      <c r="H127" s="22" t="s">
        <v>756</v>
      </c>
      <c r="I127" s="22" t="s">
        <v>616</v>
      </c>
      <c r="J127" s="22" t="s">
        <v>132</v>
      </c>
      <c r="K127" s="21" t="s">
        <v>43</v>
      </c>
      <c r="L127" s="22" t="s">
        <v>1251</v>
      </c>
      <c r="M127" s="22" t="s">
        <v>1252</v>
      </c>
      <c r="N127" s="22" t="s">
        <v>1253</v>
      </c>
      <c r="O127" s="23" t="s">
        <v>1254</v>
      </c>
      <c r="P127" s="21" t="s">
        <v>75</v>
      </c>
      <c r="Q127" s="24" t="s">
        <v>65</v>
      </c>
      <c r="R127" s="22" t="s">
        <v>1255</v>
      </c>
      <c r="S127" s="22" t="s">
        <v>51</v>
      </c>
      <c r="T127" s="22" t="s">
        <v>622</v>
      </c>
      <c r="U127" s="22" t="s">
        <v>1256</v>
      </c>
      <c r="V127" s="22" t="s">
        <v>1257</v>
      </c>
      <c r="W127" s="45">
        <v>45871.0</v>
      </c>
      <c r="X127" s="49">
        <v>0.4548611111111111</v>
      </c>
      <c r="Y127" s="45">
        <v>45873.0</v>
      </c>
      <c r="Z127" s="20">
        <v>0.5423611111111111</v>
      </c>
      <c r="AA127" s="20">
        <v>0.5458333333333333</v>
      </c>
      <c r="AB127" s="51">
        <v>0.5472222222222223</v>
      </c>
      <c r="AC127" s="51">
        <v>0.5597222222222222</v>
      </c>
      <c r="AD127" s="51">
        <v>0.6041666666666666</v>
      </c>
      <c r="AE127" s="45">
        <v>45873.0</v>
      </c>
      <c r="AF127" s="22" t="s">
        <v>53</v>
      </c>
      <c r="AG127" s="22" t="s">
        <v>162</v>
      </c>
      <c r="AH127" s="22" t="s">
        <v>1258</v>
      </c>
      <c r="AI127" s="26">
        <f t="shared" si="4"/>
        <v>0.1368055556</v>
      </c>
      <c r="AJ127" s="55">
        <f t="shared" si="5"/>
        <v>0</v>
      </c>
      <c r="AK127" s="28" t="str">
        <f t="shared" si="6"/>
        <v>Pass</v>
      </c>
    </row>
    <row r="128">
      <c r="A128" s="45">
        <v>45870.0</v>
      </c>
      <c r="B128" s="46"/>
      <c r="C128" s="45">
        <v>45870.0</v>
      </c>
      <c r="D128" s="49">
        <v>0.5229166666666667</v>
      </c>
      <c r="E128" s="21" t="s">
        <v>1259</v>
      </c>
      <c r="F128" s="21" t="s">
        <v>1260</v>
      </c>
      <c r="G128" s="21" t="s">
        <v>1261</v>
      </c>
      <c r="H128" s="21" t="s">
        <v>59</v>
      </c>
      <c r="I128" s="21" t="s">
        <v>1055</v>
      </c>
      <c r="J128" s="21" t="s">
        <v>1262</v>
      </c>
      <c r="K128" s="21" t="s">
        <v>1263</v>
      </c>
      <c r="L128" s="21" t="s">
        <v>1264</v>
      </c>
      <c r="M128" s="21" t="s">
        <v>1265</v>
      </c>
      <c r="N128" s="21" t="s">
        <v>1266</v>
      </c>
      <c r="O128" s="48" t="s">
        <v>1267</v>
      </c>
      <c r="P128" s="21" t="s">
        <v>75</v>
      </c>
      <c r="Q128" s="24" t="s">
        <v>65</v>
      </c>
      <c r="R128" s="21" t="s">
        <v>1268</v>
      </c>
      <c r="S128" s="21" t="s">
        <v>51</v>
      </c>
      <c r="T128" s="21" t="s">
        <v>52</v>
      </c>
      <c r="U128" s="21" t="s">
        <v>52</v>
      </c>
      <c r="V128" s="21" t="s">
        <v>52</v>
      </c>
      <c r="W128" s="45">
        <v>45870.0</v>
      </c>
      <c r="X128" s="49">
        <v>0.5229166666666667</v>
      </c>
      <c r="Y128" s="45">
        <v>45871.0</v>
      </c>
      <c r="Z128" s="49">
        <v>0.5833333333333334</v>
      </c>
      <c r="AA128" s="49">
        <v>0.59375</v>
      </c>
      <c r="AB128" s="25">
        <v>0.6111111111111112</v>
      </c>
      <c r="AC128" s="25">
        <v>0.6770833333333334</v>
      </c>
      <c r="AD128" s="25">
        <v>0.6805555555555556</v>
      </c>
      <c r="AE128" s="45">
        <v>45871.0</v>
      </c>
      <c r="AF128" s="21" t="s">
        <v>53</v>
      </c>
      <c r="AG128" s="21" t="s">
        <v>78</v>
      </c>
      <c r="AH128" s="21" t="s">
        <v>1269</v>
      </c>
      <c r="AI128" s="62">
        <f t="shared" si="4"/>
        <v>0.09166666667</v>
      </c>
      <c r="AJ128" s="27">
        <f t="shared" si="5"/>
        <v>0</v>
      </c>
      <c r="AK128" s="63" t="str">
        <f t="shared" si="6"/>
        <v>Pass</v>
      </c>
    </row>
    <row r="129">
      <c r="A129" s="18">
        <v>45856.0</v>
      </c>
      <c r="B129" s="19"/>
      <c r="C129" s="18">
        <v>45856.0</v>
      </c>
      <c r="D129" s="20">
        <v>0.35555555555555557</v>
      </c>
      <c r="E129" s="22" t="s">
        <v>603</v>
      </c>
      <c r="F129" s="22" t="s">
        <v>57</v>
      </c>
      <c r="G129" s="22" t="s">
        <v>604</v>
      </c>
      <c r="H129" s="22" t="s">
        <v>605</v>
      </c>
      <c r="I129" s="22" t="s">
        <v>95</v>
      </c>
      <c r="J129" s="22" t="s">
        <v>95</v>
      </c>
      <c r="K129" s="22" t="s">
        <v>143</v>
      </c>
      <c r="L129" s="22" t="s">
        <v>606</v>
      </c>
      <c r="M129" s="22" t="s">
        <v>607</v>
      </c>
      <c r="N129" s="22" t="s">
        <v>608</v>
      </c>
      <c r="O129" s="23" t="s">
        <v>1270</v>
      </c>
      <c r="P129" s="22" t="s">
        <v>75</v>
      </c>
      <c r="Q129" s="50" t="s">
        <v>49</v>
      </c>
      <c r="R129" s="22" t="s">
        <v>1271</v>
      </c>
      <c r="S129" s="22" t="s">
        <v>51</v>
      </c>
      <c r="T129" s="22" t="s">
        <v>324</v>
      </c>
      <c r="U129" s="22" t="s">
        <v>1272</v>
      </c>
      <c r="V129" s="22" t="s">
        <v>1273</v>
      </c>
      <c r="W129" s="18">
        <v>45856.0</v>
      </c>
      <c r="X129" s="20">
        <v>0.35555555555555557</v>
      </c>
      <c r="Y129" s="18">
        <v>45872.0</v>
      </c>
      <c r="Z129" s="20">
        <v>0.9125</v>
      </c>
      <c r="AA129" s="20">
        <v>0.9166666666666666</v>
      </c>
      <c r="AB129" s="54"/>
      <c r="AC129" s="54"/>
      <c r="AD129" s="51">
        <v>0.13541666666666666</v>
      </c>
      <c r="AE129" s="18">
        <v>45873.0</v>
      </c>
      <c r="AF129" s="22" t="s">
        <v>53</v>
      </c>
      <c r="AG129" s="22" t="s">
        <v>239</v>
      </c>
      <c r="AH129" s="22" t="s">
        <v>1274</v>
      </c>
      <c r="AI129" s="26">
        <f t="shared" si="4"/>
        <v>-0.2201388889</v>
      </c>
      <c r="AJ129" s="55">
        <f t="shared" si="5"/>
        <v>0</v>
      </c>
      <c r="AK129" s="28" t="str">
        <f t="shared" si="6"/>
        <v>Pass</v>
      </c>
    </row>
    <row r="130">
      <c r="A130" s="18">
        <v>45868.0</v>
      </c>
      <c r="B130" s="19"/>
      <c r="C130" s="18">
        <v>45868.0</v>
      </c>
      <c r="D130" s="20">
        <v>0.475</v>
      </c>
      <c r="E130" s="22" t="s">
        <v>1275</v>
      </c>
      <c r="F130" s="22" t="s">
        <v>1276</v>
      </c>
      <c r="G130" s="22" t="s">
        <v>1277</v>
      </c>
      <c r="H130" s="22" t="s">
        <v>1278</v>
      </c>
      <c r="I130" s="22" t="s">
        <v>131</v>
      </c>
      <c r="J130" s="22" t="s">
        <v>132</v>
      </c>
      <c r="K130" s="22" t="s">
        <v>43</v>
      </c>
      <c r="L130" s="22" t="s">
        <v>805</v>
      </c>
      <c r="M130" s="22" t="s">
        <v>1279</v>
      </c>
      <c r="N130" s="22" t="s">
        <v>1280</v>
      </c>
      <c r="O130" s="23" t="s">
        <v>1281</v>
      </c>
      <c r="P130" s="22" t="s">
        <v>75</v>
      </c>
      <c r="Q130" s="50" t="s">
        <v>65</v>
      </c>
      <c r="R130" s="22" t="s">
        <v>1282</v>
      </c>
      <c r="S130" s="22" t="s">
        <v>51</v>
      </c>
      <c r="T130" s="22" t="s">
        <v>52</v>
      </c>
      <c r="U130" s="22" t="s">
        <v>52</v>
      </c>
      <c r="V130" s="22" t="s">
        <v>52</v>
      </c>
      <c r="W130" s="18">
        <v>45868.0</v>
      </c>
      <c r="X130" s="20">
        <v>0.475</v>
      </c>
      <c r="Y130" s="18">
        <v>45872.0</v>
      </c>
      <c r="Z130" s="20">
        <v>0.5458333333333333</v>
      </c>
      <c r="AA130" s="20">
        <v>0.5486111111111112</v>
      </c>
      <c r="AB130" s="51">
        <v>0.5625</v>
      </c>
      <c r="AC130" s="51">
        <v>0.6041666666666666</v>
      </c>
      <c r="AD130" s="51">
        <v>0.6173611111111111</v>
      </c>
      <c r="AE130" s="18">
        <v>45872.0</v>
      </c>
      <c r="AF130" s="22" t="s">
        <v>53</v>
      </c>
      <c r="AG130" s="22" t="s">
        <v>293</v>
      </c>
      <c r="AH130" s="22" t="s">
        <v>1283</v>
      </c>
      <c r="AI130" s="26">
        <f t="shared" si="4"/>
        <v>0.1006944444</v>
      </c>
      <c r="AJ130" s="55">
        <f t="shared" si="5"/>
        <v>0</v>
      </c>
      <c r="AK130" s="28" t="str">
        <f t="shared" si="6"/>
        <v>Pass</v>
      </c>
    </row>
    <row r="131">
      <c r="A131" s="18">
        <v>45872.0</v>
      </c>
      <c r="B131" s="19"/>
      <c r="C131" s="18">
        <v>45872.0</v>
      </c>
      <c r="D131" s="20">
        <v>0.7368055555555556</v>
      </c>
      <c r="E131" s="22" t="s">
        <v>1284</v>
      </c>
      <c r="F131" s="22" t="s">
        <v>1285</v>
      </c>
      <c r="G131" s="22" t="s">
        <v>1286</v>
      </c>
      <c r="H131" s="22" t="s">
        <v>1287</v>
      </c>
      <c r="I131" s="22" t="s">
        <v>131</v>
      </c>
      <c r="J131" s="22" t="s">
        <v>132</v>
      </c>
      <c r="K131" s="22" t="s">
        <v>61</v>
      </c>
      <c r="L131" s="22" t="s">
        <v>1288</v>
      </c>
      <c r="M131" s="22" t="s">
        <v>1289</v>
      </c>
      <c r="N131" s="22" t="s">
        <v>1290</v>
      </c>
      <c r="O131" s="23" t="s">
        <v>1291</v>
      </c>
      <c r="P131" s="22" t="s">
        <v>75</v>
      </c>
      <c r="Q131" s="50" t="s">
        <v>65</v>
      </c>
      <c r="R131" s="22" t="s">
        <v>1292</v>
      </c>
      <c r="S131" s="22" t="s">
        <v>51</v>
      </c>
      <c r="T131" s="31"/>
      <c r="U131" s="31"/>
      <c r="V131" s="31"/>
      <c r="W131" s="18">
        <v>45872.0</v>
      </c>
      <c r="X131" s="20">
        <v>0.7368055555555556</v>
      </c>
      <c r="Y131" s="18">
        <v>45872.0</v>
      </c>
      <c r="Z131" s="20">
        <v>0.7777777777777778</v>
      </c>
      <c r="AA131" s="20">
        <v>0.78125</v>
      </c>
      <c r="AB131" s="51">
        <v>0.7881944444444444</v>
      </c>
      <c r="AC131" s="51">
        <v>0.8055555555555556</v>
      </c>
      <c r="AD131" s="51">
        <v>0.8055555555555556</v>
      </c>
      <c r="AE131" s="18">
        <v>45872.0</v>
      </c>
      <c r="AF131" s="22" t="s">
        <v>53</v>
      </c>
      <c r="AG131" s="22" t="s">
        <v>54</v>
      </c>
      <c r="AH131" s="22" t="s">
        <v>1293</v>
      </c>
      <c r="AI131" s="26">
        <f t="shared" si="4"/>
        <v>0.05138888889</v>
      </c>
      <c r="AJ131" s="55">
        <f t="shared" si="5"/>
        <v>0</v>
      </c>
      <c r="AK131" s="28" t="str">
        <f t="shared" si="6"/>
        <v>Pass</v>
      </c>
    </row>
    <row r="132">
      <c r="A132" s="18">
        <v>45872.0</v>
      </c>
      <c r="B132" s="19"/>
      <c r="C132" s="18">
        <v>45872.0</v>
      </c>
      <c r="D132" s="20">
        <v>0.7423611111111111</v>
      </c>
      <c r="E132" s="22" t="s">
        <v>1294</v>
      </c>
      <c r="F132" s="22" t="s">
        <v>1295</v>
      </c>
      <c r="G132" s="22" t="s">
        <v>1296</v>
      </c>
      <c r="H132" s="22" t="s">
        <v>156</v>
      </c>
      <c r="I132" s="22" t="s">
        <v>131</v>
      </c>
      <c r="J132" s="22" t="s">
        <v>132</v>
      </c>
      <c r="K132" s="22" t="s">
        <v>43</v>
      </c>
      <c r="L132" s="22" t="s">
        <v>805</v>
      </c>
      <c r="M132" s="22" t="s">
        <v>1297</v>
      </c>
      <c r="N132" s="22" t="s">
        <v>1298</v>
      </c>
      <c r="O132" s="23" t="s">
        <v>1299</v>
      </c>
      <c r="P132" s="22" t="s">
        <v>75</v>
      </c>
      <c r="Q132" s="50" t="s">
        <v>65</v>
      </c>
      <c r="R132" s="22" t="s">
        <v>1300</v>
      </c>
      <c r="S132" s="22" t="s">
        <v>51</v>
      </c>
      <c r="T132" s="22" t="s">
        <v>1301</v>
      </c>
      <c r="U132" s="22" t="s">
        <v>1302</v>
      </c>
      <c r="V132" s="22" t="s">
        <v>1303</v>
      </c>
      <c r="W132" s="18">
        <v>45872.0</v>
      </c>
      <c r="X132" s="20">
        <v>0.7423611111111111</v>
      </c>
      <c r="Y132" s="18">
        <v>45872.0</v>
      </c>
      <c r="Z132" s="20">
        <v>0.8472222222222222</v>
      </c>
      <c r="AA132" s="20">
        <v>0.8506944444444444</v>
      </c>
      <c r="AB132" s="51">
        <v>0.8541666666666666</v>
      </c>
      <c r="AC132" s="51">
        <v>0.9861111111111112</v>
      </c>
      <c r="AD132" s="51">
        <v>0.006944444444444444</v>
      </c>
      <c r="AE132" s="18">
        <v>45873.0</v>
      </c>
      <c r="AF132" s="22" t="s">
        <v>53</v>
      </c>
      <c r="AG132" s="22" t="s">
        <v>54</v>
      </c>
      <c r="AH132" s="22" t="s">
        <v>1304</v>
      </c>
      <c r="AI132" s="26">
        <f t="shared" si="4"/>
        <v>-0.8673611111</v>
      </c>
      <c r="AJ132" s="55">
        <f t="shared" si="5"/>
        <v>0</v>
      </c>
      <c r="AK132" s="28" t="str">
        <f t="shared" si="6"/>
        <v>Pass</v>
      </c>
    </row>
    <row r="133">
      <c r="A133" s="18">
        <v>45872.0</v>
      </c>
      <c r="B133" s="19"/>
      <c r="C133" s="18">
        <v>45872.0</v>
      </c>
      <c r="D133" s="20">
        <v>0.78125</v>
      </c>
      <c r="E133" s="22" t="s">
        <v>1305</v>
      </c>
      <c r="F133" s="22" t="s">
        <v>1306</v>
      </c>
      <c r="G133" s="22" t="s">
        <v>1307</v>
      </c>
      <c r="H133" s="22" t="s">
        <v>377</v>
      </c>
      <c r="I133" s="22" t="s">
        <v>644</v>
      </c>
      <c r="J133" s="22" t="s">
        <v>644</v>
      </c>
      <c r="K133" s="22" t="s">
        <v>143</v>
      </c>
      <c r="L133" s="22" t="s">
        <v>1308</v>
      </c>
      <c r="M133" s="22" t="s">
        <v>1309</v>
      </c>
      <c r="N133" s="22" t="s">
        <v>1310</v>
      </c>
      <c r="O133" s="23" t="s">
        <v>1311</v>
      </c>
      <c r="P133" s="31"/>
      <c r="Q133" s="50" t="s">
        <v>65</v>
      </c>
      <c r="R133" s="22" t="s">
        <v>1312</v>
      </c>
      <c r="S133" s="22" t="s">
        <v>51</v>
      </c>
      <c r="T133" s="22" t="s">
        <v>52</v>
      </c>
      <c r="U133" s="22" t="s">
        <v>52</v>
      </c>
      <c r="V133" s="22" t="s">
        <v>52</v>
      </c>
      <c r="W133" s="18">
        <v>45872.0</v>
      </c>
      <c r="X133" s="20">
        <v>0.78125</v>
      </c>
      <c r="Y133" s="18">
        <v>45873.0</v>
      </c>
      <c r="Z133" s="20">
        <v>0.46875</v>
      </c>
      <c r="AA133" s="20">
        <v>0.4722222222222222</v>
      </c>
      <c r="AB133" s="54"/>
      <c r="AC133" s="54"/>
      <c r="AD133" s="51">
        <v>0.5590277777777778</v>
      </c>
      <c r="AE133" s="18">
        <v>45873.0</v>
      </c>
      <c r="AF133" s="22" t="s">
        <v>53</v>
      </c>
      <c r="AG133" s="22" t="s">
        <v>102</v>
      </c>
      <c r="AH133" s="22" t="s">
        <v>1313</v>
      </c>
      <c r="AI133" s="26">
        <f t="shared" si="4"/>
        <v>-0.2222222222</v>
      </c>
      <c r="AJ133" s="55">
        <f t="shared" si="5"/>
        <v>0</v>
      </c>
      <c r="AK133" s="28" t="str">
        <f t="shared" si="6"/>
        <v>Pass</v>
      </c>
    </row>
    <row r="134">
      <c r="A134" s="18">
        <v>45873.0</v>
      </c>
      <c r="B134" s="19"/>
      <c r="C134" s="18">
        <v>45873.0</v>
      </c>
      <c r="D134" s="20">
        <v>0.31527777777777777</v>
      </c>
      <c r="E134" s="22" t="s">
        <v>1314</v>
      </c>
      <c r="F134" s="22" t="s">
        <v>1315</v>
      </c>
      <c r="G134" s="22" t="s">
        <v>1316</v>
      </c>
      <c r="H134" s="22" t="s">
        <v>40</v>
      </c>
      <c r="I134" s="22" t="s">
        <v>234</v>
      </c>
      <c r="J134" s="22" t="s">
        <v>42</v>
      </c>
      <c r="K134" s="22" t="s">
        <v>43</v>
      </c>
      <c r="L134" s="22" t="s">
        <v>44</v>
      </c>
      <c r="M134" s="22" t="s">
        <v>1317</v>
      </c>
      <c r="N134" s="22" t="s">
        <v>1318</v>
      </c>
      <c r="O134" s="23" t="s">
        <v>1319</v>
      </c>
      <c r="P134" s="22" t="s">
        <v>48</v>
      </c>
      <c r="Q134" s="50" t="s">
        <v>65</v>
      </c>
      <c r="R134" s="22" t="s">
        <v>1320</v>
      </c>
      <c r="S134" s="22" t="s">
        <v>51</v>
      </c>
      <c r="T134" s="22" t="s">
        <v>52</v>
      </c>
      <c r="U134" s="22" t="s">
        <v>52</v>
      </c>
      <c r="V134" s="22" t="s">
        <v>52</v>
      </c>
      <c r="W134" s="18">
        <v>45873.0</v>
      </c>
      <c r="X134" s="20">
        <v>0.31527777777777777</v>
      </c>
      <c r="Y134" s="18">
        <v>45873.0</v>
      </c>
      <c r="Z134" s="20">
        <v>0.5902777777777778</v>
      </c>
      <c r="AA134" s="20">
        <v>0.5916666666666667</v>
      </c>
      <c r="AB134" s="54"/>
      <c r="AC134" s="54"/>
      <c r="AD134" s="51">
        <v>0.6180555555555556</v>
      </c>
      <c r="AE134" s="18">
        <v>45873.0</v>
      </c>
      <c r="AF134" s="22" t="s">
        <v>53</v>
      </c>
      <c r="AG134" s="22" t="s">
        <v>1321</v>
      </c>
      <c r="AH134" s="22" t="s">
        <v>1322</v>
      </c>
      <c r="AI134" s="26">
        <f t="shared" si="4"/>
        <v>0.3027777778</v>
      </c>
      <c r="AJ134" s="55">
        <f t="shared" si="5"/>
        <v>0</v>
      </c>
      <c r="AK134" s="28" t="str">
        <f t="shared" si="6"/>
        <v>Pass</v>
      </c>
    </row>
    <row r="135">
      <c r="A135" s="18">
        <v>45873.0</v>
      </c>
      <c r="B135" s="19"/>
      <c r="C135" s="18">
        <v>45873.0</v>
      </c>
      <c r="D135" s="20">
        <v>0.3215277777777778</v>
      </c>
      <c r="E135" s="22" t="s">
        <v>1323</v>
      </c>
      <c r="F135" s="22" t="s">
        <v>1324</v>
      </c>
      <c r="G135" s="22" t="s">
        <v>1325</v>
      </c>
      <c r="H135" s="22" t="s">
        <v>59</v>
      </c>
      <c r="I135" s="22" t="s">
        <v>1326</v>
      </c>
      <c r="J135" s="22" t="s">
        <v>768</v>
      </c>
      <c r="K135" s="22" t="s">
        <v>769</v>
      </c>
      <c r="L135" s="22" t="s">
        <v>1327</v>
      </c>
      <c r="M135" s="22" t="s">
        <v>1328</v>
      </c>
      <c r="N135" s="22" t="s">
        <v>1329</v>
      </c>
      <c r="O135" s="23" t="s">
        <v>1330</v>
      </c>
      <c r="P135" s="22" t="s">
        <v>75</v>
      </c>
      <c r="Q135" s="50" t="s">
        <v>65</v>
      </c>
      <c r="R135" s="22" t="s">
        <v>1331</v>
      </c>
      <c r="S135" s="22" t="s">
        <v>51</v>
      </c>
      <c r="T135" s="22" t="s">
        <v>1332</v>
      </c>
      <c r="U135" s="22" t="s">
        <v>1333</v>
      </c>
      <c r="V135" s="22" t="s">
        <v>1328</v>
      </c>
      <c r="W135" s="18">
        <v>45873.0</v>
      </c>
      <c r="X135" s="20">
        <v>0.3215277777777778</v>
      </c>
      <c r="Y135" s="18">
        <v>45873.0</v>
      </c>
      <c r="Z135" s="20">
        <v>0.47638888888888886</v>
      </c>
      <c r="AA135" s="20">
        <v>0.4791666666666667</v>
      </c>
      <c r="AB135" s="54"/>
      <c r="AC135" s="54"/>
      <c r="AD135" s="51">
        <v>0.5472222222222223</v>
      </c>
      <c r="AE135" s="18">
        <v>45873.0</v>
      </c>
      <c r="AF135" s="22" t="s">
        <v>53</v>
      </c>
      <c r="AG135" s="22" t="s">
        <v>89</v>
      </c>
      <c r="AH135" s="22" t="s">
        <v>1334</v>
      </c>
      <c r="AI135" s="26">
        <f t="shared" si="4"/>
        <v>0.2256944444</v>
      </c>
      <c r="AJ135" s="55">
        <f t="shared" si="5"/>
        <v>0</v>
      </c>
      <c r="AK135" s="28" t="str">
        <f t="shared" si="6"/>
        <v>Pass</v>
      </c>
    </row>
    <row r="136">
      <c r="A136" s="18">
        <v>45873.0</v>
      </c>
      <c r="B136" s="19"/>
      <c r="C136" s="18">
        <v>45873.0</v>
      </c>
      <c r="D136" s="20">
        <v>0.4861111111111111</v>
      </c>
      <c r="E136" s="22" t="s">
        <v>1335</v>
      </c>
      <c r="F136" s="22" t="s">
        <v>1336</v>
      </c>
      <c r="G136" s="22" t="s">
        <v>1337</v>
      </c>
      <c r="H136" s="22" t="s">
        <v>566</v>
      </c>
      <c r="I136" s="22" t="s">
        <v>234</v>
      </c>
      <c r="J136" s="22" t="s">
        <v>42</v>
      </c>
      <c r="K136" s="22" t="s">
        <v>43</v>
      </c>
      <c r="L136" s="22" t="s">
        <v>44</v>
      </c>
      <c r="M136" s="22" t="s">
        <v>1338</v>
      </c>
      <c r="N136" s="22" t="s">
        <v>1339</v>
      </c>
      <c r="O136" s="23" t="s">
        <v>1340</v>
      </c>
      <c r="P136" s="22" t="s">
        <v>48</v>
      </c>
      <c r="Q136" s="50" t="s">
        <v>65</v>
      </c>
      <c r="R136" s="22" t="s">
        <v>1341</v>
      </c>
      <c r="S136" s="22" t="s">
        <v>51</v>
      </c>
      <c r="T136" s="22" t="s">
        <v>52</v>
      </c>
      <c r="U136" s="22" t="s">
        <v>52</v>
      </c>
      <c r="V136" s="22" t="s">
        <v>52</v>
      </c>
      <c r="W136" s="18">
        <v>45873.0</v>
      </c>
      <c r="X136" s="20">
        <v>0.4861111111111111</v>
      </c>
      <c r="Y136" s="18">
        <v>45873.0</v>
      </c>
      <c r="Z136" s="20">
        <v>0.6694444444444444</v>
      </c>
      <c r="AA136" s="20">
        <v>0.6708333333333333</v>
      </c>
      <c r="AB136" s="54"/>
      <c r="AC136" s="54"/>
      <c r="AD136" s="51">
        <v>0.75</v>
      </c>
      <c r="AE136" s="18">
        <v>45873.0</v>
      </c>
      <c r="AF136" s="22" t="s">
        <v>53</v>
      </c>
      <c r="AG136" s="22" t="s">
        <v>162</v>
      </c>
      <c r="AH136" s="22" t="s">
        <v>1342</v>
      </c>
      <c r="AI136" s="26">
        <f t="shared" si="4"/>
        <v>0.2638888889</v>
      </c>
      <c r="AJ136" s="55">
        <f t="shared" si="5"/>
        <v>0</v>
      </c>
      <c r="AK136" s="28" t="str">
        <f t="shared" si="6"/>
        <v>Pass</v>
      </c>
    </row>
    <row r="137">
      <c r="A137" s="18">
        <v>45873.0</v>
      </c>
      <c r="B137" s="19"/>
      <c r="C137" s="18">
        <v>45873.0</v>
      </c>
      <c r="D137" s="20">
        <v>0.5375</v>
      </c>
      <c r="E137" s="22" t="s">
        <v>1343</v>
      </c>
      <c r="F137" s="22" t="s">
        <v>1344</v>
      </c>
      <c r="G137" s="22" t="s">
        <v>1345</v>
      </c>
      <c r="H137" s="22" t="s">
        <v>156</v>
      </c>
      <c r="I137" s="22" t="s">
        <v>1346</v>
      </c>
      <c r="J137" s="22" t="s">
        <v>132</v>
      </c>
      <c r="K137" s="22" t="s">
        <v>43</v>
      </c>
      <c r="L137" s="22" t="s">
        <v>805</v>
      </c>
      <c r="M137" s="22" t="s">
        <v>1347</v>
      </c>
      <c r="N137" s="22" t="s">
        <v>1348</v>
      </c>
      <c r="O137" s="23" t="s">
        <v>1349</v>
      </c>
      <c r="P137" s="22" t="s">
        <v>75</v>
      </c>
      <c r="Q137" s="50" t="s">
        <v>49</v>
      </c>
      <c r="R137" s="22" t="s">
        <v>1350</v>
      </c>
      <c r="S137" s="22" t="s">
        <v>51</v>
      </c>
      <c r="T137" s="22" t="s">
        <v>52</v>
      </c>
      <c r="U137" s="22" t="s">
        <v>52</v>
      </c>
      <c r="V137" s="22" t="s">
        <v>52</v>
      </c>
      <c r="W137" s="18">
        <v>45873.0</v>
      </c>
      <c r="X137" s="20">
        <v>0.5375</v>
      </c>
      <c r="Y137" s="18">
        <v>45873.0</v>
      </c>
      <c r="Z137" s="20">
        <v>0.7027777777777777</v>
      </c>
      <c r="AA137" s="20">
        <v>0.7027777777777777</v>
      </c>
      <c r="AB137" s="54"/>
      <c r="AC137" s="54"/>
      <c r="AD137" s="51">
        <v>0.7291666666666666</v>
      </c>
      <c r="AE137" s="18">
        <v>45873.0</v>
      </c>
      <c r="AF137" s="22" t="s">
        <v>53</v>
      </c>
      <c r="AG137" s="22" t="s">
        <v>848</v>
      </c>
      <c r="AH137" s="22" t="s">
        <v>1351</v>
      </c>
      <c r="AI137" s="26">
        <f t="shared" si="4"/>
        <v>0.1916666667</v>
      </c>
      <c r="AJ137" s="55">
        <f t="shared" si="5"/>
        <v>0.025</v>
      </c>
      <c r="AK137" s="28" t="str">
        <f t="shared" si="6"/>
        <v>Fail</v>
      </c>
    </row>
    <row r="138">
      <c r="A138" s="18">
        <v>45873.0</v>
      </c>
      <c r="B138" s="19"/>
      <c r="C138" s="18">
        <v>45873.0</v>
      </c>
      <c r="D138" s="20">
        <v>0.5951388888888889</v>
      </c>
      <c r="E138" s="22" t="s">
        <v>1352</v>
      </c>
      <c r="F138" s="22" t="s">
        <v>1353</v>
      </c>
      <c r="G138" s="22" t="s">
        <v>1354</v>
      </c>
      <c r="H138" s="22" t="s">
        <v>40</v>
      </c>
      <c r="I138" s="22" t="s">
        <v>41</v>
      </c>
      <c r="J138" s="22" t="s">
        <v>42</v>
      </c>
      <c r="K138" s="22" t="s">
        <v>61</v>
      </c>
      <c r="L138" s="22" t="s">
        <v>183</v>
      </c>
      <c r="M138" s="22" t="s">
        <v>1355</v>
      </c>
      <c r="N138" s="22" t="s">
        <v>1356</v>
      </c>
      <c r="O138" s="23" t="s">
        <v>1357</v>
      </c>
      <c r="P138" s="22" t="s">
        <v>48</v>
      </c>
      <c r="Q138" s="50" t="s">
        <v>49</v>
      </c>
      <c r="R138" s="22" t="s">
        <v>1358</v>
      </c>
      <c r="S138" s="22" t="s">
        <v>51</v>
      </c>
      <c r="T138" s="22" t="s">
        <v>52</v>
      </c>
      <c r="U138" s="22" t="s">
        <v>52</v>
      </c>
      <c r="V138" s="22" t="s">
        <v>52</v>
      </c>
      <c r="W138" s="18">
        <v>45873.0</v>
      </c>
      <c r="X138" s="20">
        <v>0.5951388888888889</v>
      </c>
      <c r="Y138" s="18">
        <v>45873.0</v>
      </c>
      <c r="Z138" s="20">
        <v>0.6756944444444445</v>
      </c>
      <c r="AA138" s="20">
        <v>0.6770833333333334</v>
      </c>
      <c r="AB138" s="51">
        <v>0.7430555555555556</v>
      </c>
      <c r="AC138" s="51">
        <v>0.7916666666666666</v>
      </c>
      <c r="AD138" s="51">
        <v>0.7916666666666666</v>
      </c>
      <c r="AE138" s="18">
        <v>45873.0</v>
      </c>
      <c r="AF138" s="22" t="s">
        <v>53</v>
      </c>
      <c r="AG138" s="22" t="s">
        <v>1359</v>
      </c>
      <c r="AH138" s="22" t="s">
        <v>1360</v>
      </c>
      <c r="AI138" s="26">
        <f t="shared" si="4"/>
        <v>0.1479166667</v>
      </c>
      <c r="AJ138" s="55">
        <f t="shared" si="5"/>
        <v>0</v>
      </c>
      <c r="AK138" s="28" t="str">
        <f t="shared" si="6"/>
        <v>Pass</v>
      </c>
    </row>
    <row r="139">
      <c r="A139" s="18">
        <v>45873.0</v>
      </c>
      <c r="B139" s="19"/>
      <c r="C139" s="18">
        <v>45873.0</v>
      </c>
      <c r="D139" s="20">
        <v>0.7611111111111111</v>
      </c>
      <c r="E139" s="22" t="s">
        <v>1361</v>
      </c>
      <c r="F139" s="22" t="s">
        <v>1362</v>
      </c>
      <c r="G139" s="22" t="s">
        <v>1363</v>
      </c>
      <c r="H139" s="22" t="s">
        <v>40</v>
      </c>
      <c r="I139" s="22" t="s">
        <v>60</v>
      </c>
      <c r="J139" s="22" t="s">
        <v>42</v>
      </c>
      <c r="K139" s="22" t="s">
        <v>61</v>
      </c>
      <c r="L139" s="22" t="s">
        <v>183</v>
      </c>
      <c r="M139" s="22" t="s">
        <v>1364</v>
      </c>
      <c r="N139" s="22" t="s">
        <v>1365</v>
      </c>
      <c r="O139" s="23" t="s">
        <v>1366</v>
      </c>
      <c r="P139" s="22" t="s">
        <v>75</v>
      </c>
      <c r="Q139" s="50" t="s">
        <v>65</v>
      </c>
      <c r="R139" s="22" t="s">
        <v>1367</v>
      </c>
      <c r="S139" s="22" t="s">
        <v>51</v>
      </c>
      <c r="T139" s="22" t="s">
        <v>52</v>
      </c>
      <c r="U139" s="22" t="s">
        <v>52</v>
      </c>
      <c r="V139" s="22" t="s">
        <v>52</v>
      </c>
      <c r="W139" s="18">
        <v>45873.0</v>
      </c>
      <c r="X139" s="20">
        <v>0.7611111111111111</v>
      </c>
      <c r="Y139" s="18">
        <v>45873.0</v>
      </c>
      <c r="Z139" s="20">
        <v>0.8388888888888889</v>
      </c>
      <c r="AA139" s="20">
        <v>0.8402777777777778</v>
      </c>
      <c r="AB139" s="54"/>
      <c r="AC139" s="54"/>
      <c r="AD139" s="51">
        <v>0.9166666666666666</v>
      </c>
      <c r="AE139" s="18">
        <v>45873.0</v>
      </c>
      <c r="AF139" s="22" t="s">
        <v>53</v>
      </c>
      <c r="AG139" s="22" t="s">
        <v>1368</v>
      </c>
      <c r="AH139" s="22" t="s">
        <v>1369</v>
      </c>
      <c r="AI139" s="26">
        <f t="shared" si="4"/>
        <v>0.1555555556</v>
      </c>
      <c r="AJ139" s="55">
        <f t="shared" si="5"/>
        <v>0</v>
      </c>
      <c r="AK139" s="28" t="str">
        <f t="shared" si="6"/>
        <v>Pass</v>
      </c>
    </row>
    <row r="140">
      <c r="A140" s="18">
        <v>45867.0</v>
      </c>
      <c r="B140" s="19"/>
      <c r="C140" s="18">
        <v>45867.0</v>
      </c>
      <c r="D140" s="20">
        <v>0.31875</v>
      </c>
      <c r="E140" s="22" t="s">
        <v>1370</v>
      </c>
      <c r="F140" s="22" t="s">
        <v>1371</v>
      </c>
      <c r="G140" s="22" t="s">
        <v>1372</v>
      </c>
      <c r="H140" s="22" t="s">
        <v>1373</v>
      </c>
      <c r="I140" s="22" t="s">
        <v>1374</v>
      </c>
      <c r="J140" s="22" t="s">
        <v>1136</v>
      </c>
      <c r="K140" s="22" t="s">
        <v>43</v>
      </c>
      <c r="L140" s="22" t="s">
        <v>44</v>
      </c>
      <c r="M140" s="22" t="s">
        <v>1375</v>
      </c>
      <c r="N140" s="22" t="s">
        <v>1376</v>
      </c>
      <c r="O140" s="23" t="s">
        <v>1377</v>
      </c>
      <c r="P140" s="22" t="s">
        <v>75</v>
      </c>
      <c r="Q140" s="50" t="s">
        <v>65</v>
      </c>
      <c r="R140" s="22" t="s">
        <v>1378</v>
      </c>
      <c r="S140" s="22" t="s">
        <v>51</v>
      </c>
      <c r="T140" s="22" t="s">
        <v>1379</v>
      </c>
      <c r="U140" s="22" t="s">
        <v>52</v>
      </c>
      <c r="V140" s="22" t="s">
        <v>52</v>
      </c>
      <c r="W140" s="18">
        <v>45867.0</v>
      </c>
      <c r="X140" s="20">
        <v>0.31875</v>
      </c>
      <c r="Y140" s="18">
        <v>45874.0</v>
      </c>
      <c r="Z140" s="20">
        <v>0.4395833333333333</v>
      </c>
      <c r="AA140" s="20">
        <v>0.4409722222222222</v>
      </c>
      <c r="AB140" s="54"/>
      <c r="AC140" s="54"/>
      <c r="AD140" s="51">
        <v>0.4826388888888889</v>
      </c>
      <c r="AE140" s="18">
        <v>45874.0</v>
      </c>
      <c r="AF140" s="22" t="s">
        <v>53</v>
      </c>
      <c r="AG140" s="22" t="s">
        <v>284</v>
      </c>
      <c r="AH140" s="22" t="s">
        <v>1380</v>
      </c>
      <c r="AI140" s="26">
        <f t="shared" si="4"/>
        <v>0.1638888889</v>
      </c>
      <c r="AJ140" s="55">
        <f t="shared" si="5"/>
        <v>0</v>
      </c>
      <c r="AK140" s="28" t="str">
        <f t="shared" si="6"/>
        <v>Pass</v>
      </c>
    </row>
    <row r="141">
      <c r="A141" s="18">
        <v>45867.0</v>
      </c>
      <c r="B141" s="19"/>
      <c r="C141" s="18">
        <v>45867.0</v>
      </c>
      <c r="D141" s="20">
        <v>0.6854166666666667</v>
      </c>
      <c r="E141" s="22" t="s">
        <v>1381</v>
      </c>
      <c r="F141" s="22" t="s">
        <v>38</v>
      </c>
      <c r="G141" s="22" t="s">
        <v>1382</v>
      </c>
      <c r="H141" s="22" t="s">
        <v>142</v>
      </c>
      <c r="I141" s="22" t="s">
        <v>41</v>
      </c>
      <c r="J141" s="22" t="s">
        <v>95</v>
      </c>
      <c r="K141" s="22" t="s">
        <v>143</v>
      </c>
      <c r="L141" s="22" t="s">
        <v>606</v>
      </c>
      <c r="M141" s="22" t="s">
        <v>1383</v>
      </c>
      <c r="N141" s="22" t="s">
        <v>1384</v>
      </c>
      <c r="O141" s="23" t="s">
        <v>1385</v>
      </c>
      <c r="P141" s="22" t="s">
        <v>48</v>
      </c>
      <c r="Q141" s="50" t="s">
        <v>49</v>
      </c>
      <c r="R141" s="22" t="s">
        <v>1386</v>
      </c>
      <c r="S141" s="22" t="s">
        <v>51</v>
      </c>
      <c r="T141" s="22" t="s">
        <v>324</v>
      </c>
      <c r="U141" s="22" t="s">
        <v>1387</v>
      </c>
      <c r="V141" s="22" t="s">
        <v>1388</v>
      </c>
      <c r="W141" s="18">
        <v>45867.0</v>
      </c>
      <c r="X141" s="20">
        <v>0.6854166666666667</v>
      </c>
      <c r="Y141" s="18">
        <v>45874.0</v>
      </c>
      <c r="Z141" s="20">
        <v>0.017361111111111112</v>
      </c>
      <c r="AA141" s="20">
        <v>0.08333333333333333</v>
      </c>
      <c r="AB141" s="54"/>
      <c r="AC141" s="54"/>
      <c r="AD141" s="51">
        <v>0.2916666666666667</v>
      </c>
      <c r="AE141" s="18">
        <v>45874.0</v>
      </c>
      <c r="AF141" s="22" t="s">
        <v>53</v>
      </c>
      <c r="AG141" s="22" t="s">
        <v>1389</v>
      </c>
      <c r="AH141" s="22" t="s">
        <v>1274</v>
      </c>
      <c r="AI141" s="26">
        <f t="shared" si="4"/>
        <v>-0.39375</v>
      </c>
      <c r="AJ141" s="55">
        <f t="shared" si="5"/>
        <v>0</v>
      </c>
      <c r="AK141" s="28" t="str">
        <f t="shared" si="6"/>
        <v>Pass</v>
      </c>
    </row>
    <row r="142">
      <c r="A142" s="18">
        <v>45853.0</v>
      </c>
      <c r="B142" s="19"/>
      <c r="C142" s="18">
        <v>45853.0</v>
      </c>
      <c r="D142" s="20">
        <v>0.30833333333333335</v>
      </c>
      <c r="E142" s="22" t="s">
        <v>1390</v>
      </c>
      <c r="F142" s="22" t="s">
        <v>1391</v>
      </c>
      <c r="G142" s="22" t="s">
        <v>1392</v>
      </c>
      <c r="H142" s="22" t="s">
        <v>253</v>
      </c>
      <c r="I142" s="22" t="s">
        <v>1393</v>
      </c>
      <c r="J142" s="22" t="s">
        <v>1394</v>
      </c>
      <c r="K142" s="22" t="s">
        <v>52</v>
      </c>
      <c r="L142" s="22" t="s">
        <v>52</v>
      </c>
      <c r="M142" s="22" t="s">
        <v>52</v>
      </c>
      <c r="N142" s="22" t="s">
        <v>1395</v>
      </c>
      <c r="O142" s="23" t="s">
        <v>1396</v>
      </c>
      <c r="P142" s="22" t="s">
        <v>48</v>
      </c>
      <c r="Q142" s="50" t="s">
        <v>65</v>
      </c>
      <c r="R142" s="56" t="s">
        <v>1397</v>
      </c>
      <c r="S142" s="22" t="s">
        <v>51</v>
      </c>
      <c r="T142" s="22" t="s">
        <v>52</v>
      </c>
      <c r="U142" s="22" t="s">
        <v>52</v>
      </c>
      <c r="V142" s="22" t="s">
        <v>52</v>
      </c>
      <c r="W142" s="18">
        <v>45853.0</v>
      </c>
      <c r="X142" s="20">
        <v>0.30833333333333335</v>
      </c>
      <c r="Y142" s="18">
        <v>45874.0</v>
      </c>
      <c r="Z142" s="20">
        <v>0.4152777777777778</v>
      </c>
      <c r="AA142" s="20">
        <v>0.63125</v>
      </c>
      <c r="AB142" s="51">
        <v>0.4166666666666667</v>
      </c>
      <c r="AC142" s="51">
        <v>0.6305555555555555</v>
      </c>
      <c r="AD142" s="51">
        <v>0.7222222222222222</v>
      </c>
      <c r="AE142" s="18">
        <v>45874.0</v>
      </c>
      <c r="AF142" s="22" t="s">
        <v>53</v>
      </c>
      <c r="AG142" s="22" t="s">
        <v>89</v>
      </c>
      <c r="AH142" s="22" t="s">
        <v>1398</v>
      </c>
      <c r="AI142" s="26">
        <f t="shared" si="4"/>
        <v>0.2</v>
      </c>
      <c r="AJ142" s="55">
        <f t="shared" si="5"/>
        <v>0</v>
      </c>
      <c r="AK142" s="28" t="str">
        <f t="shared" si="6"/>
        <v>Pass</v>
      </c>
    </row>
    <row r="143">
      <c r="A143" s="18">
        <v>45874.0</v>
      </c>
      <c r="B143" s="19"/>
      <c r="C143" s="18">
        <v>45874.0</v>
      </c>
      <c r="D143" s="20">
        <v>0.39791666666666664</v>
      </c>
      <c r="E143" s="22" t="s">
        <v>1399</v>
      </c>
      <c r="F143" s="22" t="s">
        <v>1400</v>
      </c>
      <c r="G143" s="22" t="s">
        <v>1401</v>
      </c>
      <c r="H143" s="22" t="s">
        <v>756</v>
      </c>
      <c r="I143" s="22" t="s">
        <v>234</v>
      </c>
      <c r="J143" s="22" t="s">
        <v>42</v>
      </c>
      <c r="K143" s="22" t="s">
        <v>61</v>
      </c>
      <c r="L143" s="22" t="s">
        <v>183</v>
      </c>
      <c r="M143" s="22" t="s">
        <v>1402</v>
      </c>
      <c r="N143" s="22" t="s">
        <v>1403</v>
      </c>
      <c r="O143" s="23" t="s">
        <v>1404</v>
      </c>
      <c r="P143" s="22" t="s">
        <v>75</v>
      </c>
      <c r="Q143" s="50" t="s">
        <v>65</v>
      </c>
      <c r="R143" s="22" t="s">
        <v>1405</v>
      </c>
      <c r="S143" s="22" t="s">
        <v>51</v>
      </c>
      <c r="T143" s="22" t="s">
        <v>52</v>
      </c>
      <c r="U143" s="22" t="s">
        <v>52</v>
      </c>
      <c r="V143" s="22" t="s">
        <v>52</v>
      </c>
      <c r="W143" s="18">
        <v>45874.0</v>
      </c>
      <c r="X143" s="20">
        <v>0.39791666666666664</v>
      </c>
      <c r="Y143" s="18">
        <v>45873.0</v>
      </c>
      <c r="Z143" s="20">
        <v>0.5006944444444444</v>
      </c>
      <c r="AA143" s="20">
        <v>0.5069444444444444</v>
      </c>
      <c r="AB143" s="51">
        <v>0.6055555555555555</v>
      </c>
      <c r="AC143" s="51">
        <v>0.625</v>
      </c>
      <c r="AD143" s="51">
        <v>0.6368055555555555</v>
      </c>
      <c r="AE143" s="18">
        <v>45874.0</v>
      </c>
      <c r="AF143" s="22" t="s">
        <v>53</v>
      </c>
      <c r="AG143" s="22" t="s">
        <v>293</v>
      </c>
      <c r="AH143" s="22" t="s">
        <v>1406</v>
      </c>
      <c r="AI143" s="26">
        <f t="shared" si="4"/>
        <v>0.2194444444</v>
      </c>
      <c r="AJ143" s="55">
        <f t="shared" si="5"/>
        <v>0</v>
      </c>
      <c r="AK143" s="28" t="str">
        <f t="shared" si="6"/>
        <v>Pass</v>
      </c>
    </row>
    <row r="144">
      <c r="A144" s="18">
        <v>45872.0</v>
      </c>
      <c r="B144" s="19"/>
      <c r="C144" s="18">
        <v>45872.0</v>
      </c>
      <c r="D144" s="20">
        <v>0.6111111111111112</v>
      </c>
      <c r="E144" s="22" t="s">
        <v>1407</v>
      </c>
      <c r="F144" s="22" t="s">
        <v>1408</v>
      </c>
      <c r="G144" s="22" t="s">
        <v>1409</v>
      </c>
      <c r="H144" s="22" t="s">
        <v>1373</v>
      </c>
      <c r="I144" s="22" t="s">
        <v>1162</v>
      </c>
      <c r="J144" s="22" t="s">
        <v>1136</v>
      </c>
      <c r="K144" s="22" t="s">
        <v>43</v>
      </c>
      <c r="L144" s="22" t="s">
        <v>675</v>
      </c>
      <c r="M144" s="22">
        <v>2.02203280497E11</v>
      </c>
      <c r="N144" s="22" t="s">
        <v>1410</v>
      </c>
      <c r="O144" s="23" t="s">
        <v>1411</v>
      </c>
      <c r="P144" s="22" t="s">
        <v>75</v>
      </c>
      <c r="Q144" s="50" t="s">
        <v>65</v>
      </c>
      <c r="R144" s="22" t="s">
        <v>1412</v>
      </c>
      <c r="S144" s="22" t="s">
        <v>51</v>
      </c>
      <c r="T144" s="22" t="s">
        <v>751</v>
      </c>
      <c r="U144" s="22" t="s">
        <v>52</v>
      </c>
      <c r="V144" s="22" t="s">
        <v>52</v>
      </c>
      <c r="W144" s="18">
        <v>45872.0</v>
      </c>
      <c r="X144" s="20">
        <v>0.6111111111111112</v>
      </c>
      <c r="Y144" s="18">
        <v>45874.0</v>
      </c>
      <c r="Z144" s="20">
        <v>0.6673611111111111</v>
      </c>
      <c r="AA144" s="20">
        <v>0.6680555555555555</v>
      </c>
      <c r="AB144" s="54"/>
      <c r="AC144" s="54"/>
      <c r="AD144" s="51">
        <v>0.6840277777777778</v>
      </c>
      <c r="AE144" s="18">
        <v>45874.0</v>
      </c>
      <c r="AF144" s="22" t="s">
        <v>53</v>
      </c>
      <c r="AG144" s="22" t="s">
        <v>848</v>
      </c>
      <c r="AH144" s="22" t="s">
        <v>1413</v>
      </c>
      <c r="AI144" s="26">
        <f t="shared" si="4"/>
        <v>0.07291666667</v>
      </c>
      <c r="AJ144" s="55">
        <f t="shared" si="5"/>
        <v>0</v>
      </c>
      <c r="AK144" s="28" t="str">
        <f t="shared" si="6"/>
        <v>Pass</v>
      </c>
    </row>
    <row r="145">
      <c r="A145" s="18">
        <v>45874.0</v>
      </c>
      <c r="B145" s="19"/>
      <c r="C145" s="18">
        <v>45874.0</v>
      </c>
      <c r="D145" s="20">
        <v>0.48541666666666666</v>
      </c>
      <c r="E145" s="22" t="s">
        <v>1414</v>
      </c>
      <c r="F145" s="22" t="s">
        <v>865</v>
      </c>
      <c r="G145" s="22" t="s">
        <v>866</v>
      </c>
      <c r="H145" s="22" t="s">
        <v>566</v>
      </c>
      <c r="I145" s="22" t="s">
        <v>867</v>
      </c>
      <c r="J145" s="22" t="s">
        <v>1056</v>
      </c>
      <c r="K145" s="22" t="s">
        <v>52</v>
      </c>
      <c r="L145" s="22" t="s">
        <v>52</v>
      </c>
      <c r="M145" s="22" t="s">
        <v>52</v>
      </c>
      <c r="N145" s="22" t="s">
        <v>1415</v>
      </c>
      <c r="O145" s="23" t="s">
        <v>1416</v>
      </c>
      <c r="P145" s="22" t="s">
        <v>48</v>
      </c>
      <c r="Q145" s="50" t="s">
        <v>65</v>
      </c>
      <c r="R145" s="22" t="s">
        <v>1417</v>
      </c>
      <c r="S145" s="22" t="s">
        <v>51</v>
      </c>
      <c r="T145" s="22" t="s">
        <v>52</v>
      </c>
      <c r="U145" s="22" t="s">
        <v>52</v>
      </c>
      <c r="V145" s="22" t="s">
        <v>52</v>
      </c>
      <c r="W145" s="18">
        <v>45874.0</v>
      </c>
      <c r="X145" s="20">
        <v>0.48541666666666666</v>
      </c>
      <c r="Y145" s="18">
        <v>45874.0</v>
      </c>
      <c r="Z145" s="20">
        <v>0.5430555555555555</v>
      </c>
      <c r="AA145" s="20">
        <v>0.5486111111111112</v>
      </c>
      <c r="AB145" s="54"/>
      <c r="AC145" s="54"/>
      <c r="AD145" s="51">
        <v>0.6319444444444444</v>
      </c>
      <c r="AE145" s="18">
        <v>45874.0</v>
      </c>
      <c r="AF145" s="22" t="s">
        <v>53</v>
      </c>
      <c r="AG145" s="22" t="s">
        <v>102</v>
      </c>
      <c r="AH145" s="22" t="s">
        <v>1418</v>
      </c>
      <c r="AI145" s="26">
        <f t="shared" si="4"/>
        <v>0.1465277778</v>
      </c>
      <c r="AJ145" s="55">
        <f t="shared" si="5"/>
        <v>0</v>
      </c>
      <c r="AK145" s="28" t="str">
        <f t="shared" si="6"/>
        <v>Pass</v>
      </c>
    </row>
    <row r="146">
      <c r="A146" s="18">
        <v>45874.0</v>
      </c>
      <c r="B146" s="19"/>
      <c r="C146" s="18">
        <v>45875.0</v>
      </c>
      <c r="D146" s="20">
        <v>0.3111111111111111</v>
      </c>
      <c r="E146" s="22" t="s">
        <v>1419</v>
      </c>
      <c r="F146" s="22" t="s">
        <v>1420</v>
      </c>
      <c r="G146" s="22" t="s">
        <v>1421</v>
      </c>
      <c r="H146" s="22" t="s">
        <v>1422</v>
      </c>
      <c r="I146" s="22" t="s">
        <v>234</v>
      </c>
      <c r="J146" s="22" t="s">
        <v>42</v>
      </c>
      <c r="K146" s="22" t="s">
        <v>61</v>
      </c>
      <c r="L146" s="22" t="s">
        <v>1423</v>
      </c>
      <c r="M146" s="22" t="s">
        <v>1424</v>
      </c>
      <c r="N146" s="22" t="s">
        <v>1425</v>
      </c>
      <c r="O146" s="23" t="s">
        <v>1426</v>
      </c>
      <c r="P146" s="22" t="s">
        <v>75</v>
      </c>
      <c r="Q146" s="50" t="s">
        <v>65</v>
      </c>
      <c r="R146" s="22" t="s">
        <v>1427</v>
      </c>
      <c r="S146" s="22" t="s">
        <v>51</v>
      </c>
      <c r="T146" s="22" t="s">
        <v>324</v>
      </c>
      <c r="U146" s="22" t="s">
        <v>1428</v>
      </c>
      <c r="V146" s="22" t="s">
        <v>1429</v>
      </c>
      <c r="W146" s="18">
        <v>45875.0</v>
      </c>
      <c r="X146" s="20">
        <v>0.3111111111111111</v>
      </c>
      <c r="Y146" s="18">
        <v>45875.0</v>
      </c>
      <c r="Z146" s="20">
        <v>0.47638888888888886</v>
      </c>
      <c r="AA146" s="20">
        <v>0.47638888888888886</v>
      </c>
      <c r="AB146" s="51">
        <v>0.47638888888888886</v>
      </c>
      <c r="AC146" s="51">
        <v>0.5611111111111111</v>
      </c>
      <c r="AD146" s="51">
        <v>0.7236111111111111</v>
      </c>
      <c r="AE146" s="18">
        <v>45875.0</v>
      </c>
      <c r="AF146" s="22" t="s">
        <v>53</v>
      </c>
      <c r="AG146" s="22" t="s">
        <v>89</v>
      </c>
      <c r="AH146" s="22" t="s">
        <v>1430</v>
      </c>
      <c r="AI146" s="26">
        <f t="shared" si="4"/>
        <v>0.3277777778</v>
      </c>
      <c r="AJ146" s="55">
        <f t="shared" si="5"/>
        <v>0</v>
      </c>
      <c r="AK146" s="28" t="str">
        <f t="shared" si="6"/>
        <v>Pass</v>
      </c>
    </row>
    <row r="147">
      <c r="A147" s="18">
        <v>45873.0</v>
      </c>
      <c r="B147" s="19"/>
      <c r="C147" s="18">
        <v>45875.0</v>
      </c>
      <c r="D147" s="20">
        <v>0.3111111111111111</v>
      </c>
      <c r="E147" s="22" t="s">
        <v>1431</v>
      </c>
      <c r="F147" s="22" t="s">
        <v>1432</v>
      </c>
      <c r="G147" s="22" t="s">
        <v>1433</v>
      </c>
      <c r="H147" s="22" t="s">
        <v>566</v>
      </c>
      <c r="I147" s="22" t="s">
        <v>577</v>
      </c>
      <c r="J147" s="22" t="s">
        <v>309</v>
      </c>
      <c r="K147" s="22" t="s">
        <v>52</v>
      </c>
      <c r="L147" s="22" t="s">
        <v>52</v>
      </c>
      <c r="M147" s="22" t="s">
        <v>52</v>
      </c>
      <c r="N147" s="22" t="s">
        <v>1434</v>
      </c>
      <c r="O147" s="23" t="s">
        <v>1435</v>
      </c>
      <c r="P147" s="22" t="s">
        <v>48</v>
      </c>
      <c r="Q147" s="50" t="s">
        <v>65</v>
      </c>
      <c r="R147" s="22" t="s">
        <v>1436</v>
      </c>
      <c r="S147" s="22" t="s">
        <v>51</v>
      </c>
      <c r="T147" s="22" t="s">
        <v>52</v>
      </c>
      <c r="U147" s="22" t="s">
        <v>52</v>
      </c>
      <c r="V147" s="22" t="s">
        <v>52</v>
      </c>
      <c r="W147" s="18">
        <v>45875.0</v>
      </c>
      <c r="X147" s="20">
        <v>0.3111111111111111</v>
      </c>
      <c r="Y147" s="18">
        <v>45875.0</v>
      </c>
      <c r="Z147" s="20">
        <v>0.4083333333333333</v>
      </c>
      <c r="AA147" s="20">
        <v>0.4097222222222222</v>
      </c>
      <c r="AB147" s="51">
        <v>0.44375</v>
      </c>
      <c r="AC147" s="51">
        <v>0.5416666666666666</v>
      </c>
      <c r="AD147" s="51">
        <v>0.6736111111111112</v>
      </c>
      <c r="AE147" s="18">
        <v>45875.0</v>
      </c>
      <c r="AF147" s="22" t="s">
        <v>53</v>
      </c>
      <c r="AG147" s="22" t="s">
        <v>313</v>
      </c>
      <c r="AH147" s="22" t="s">
        <v>1437</v>
      </c>
      <c r="AI147" s="26">
        <f t="shared" si="4"/>
        <v>0.2645833333</v>
      </c>
      <c r="AJ147" s="55">
        <f t="shared" si="5"/>
        <v>0</v>
      </c>
      <c r="AK147" s="28" t="str">
        <f t="shared" si="6"/>
        <v>Pass</v>
      </c>
    </row>
    <row r="148">
      <c r="A148" s="18">
        <v>45874.0</v>
      </c>
      <c r="B148" s="19"/>
      <c r="C148" s="18">
        <v>45875.0</v>
      </c>
      <c r="D148" s="20">
        <v>0.31180555555555556</v>
      </c>
      <c r="E148" s="22" t="s">
        <v>1438</v>
      </c>
      <c r="F148" s="22" t="s">
        <v>1439</v>
      </c>
      <c r="G148" s="22" t="s">
        <v>1440</v>
      </c>
      <c r="H148" s="22" t="s">
        <v>142</v>
      </c>
      <c r="I148" s="22" t="s">
        <v>644</v>
      </c>
      <c r="J148" s="22" t="s">
        <v>644</v>
      </c>
      <c r="K148" s="22" t="s">
        <v>333</v>
      </c>
      <c r="L148" s="22" t="s">
        <v>1441</v>
      </c>
      <c r="M148" s="22" t="s">
        <v>1442</v>
      </c>
      <c r="N148" s="22" t="s">
        <v>1443</v>
      </c>
      <c r="O148" s="23" t="s">
        <v>1444</v>
      </c>
      <c r="P148" s="22" t="s">
        <v>75</v>
      </c>
      <c r="Q148" s="50" t="s">
        <v>65</v>
      </c>
      <c r="R148" s="22" t="s">
        <v>1445</v>
      </c>
      <c r="S148" s="22" t="s">
        <v>51</v>
      </c>
      <c r="T148" s="22" t="s">
        <v>52</v>
      </c>
      <c r="U148" s="22" t="s">
        <v>52</v>
      </c>
      <c r="V148" s="22" t="s">
        <v>52</v>
      </c>
      <c r="W148" s="18">
        <v>45875.0</v>
      </c>
      <c r="X148" s="20">
        <v>0.31180555555555556</v>
      </c>
      <c r="Y148" s="18">
        <v>45875.0</v>
      </c>
      <c r="Z148" s="20">
        <v>0.48541666666666666</v>
      </c>
      <c r="AA148" s="20">
        <v>0.4861111111111111</v>
      </c>
      <c r="AB148" s="54"/>
      <c r="AC148" s="54"/>
      <c r="AD148" s="51">
        <v>0.5590277777777778</v>
      </c>
      <c r="AE148" s="18">
        <v>45875.0</v>
      </c>
      <c r="AF148" s="22" t="s">
        <v>53</v>
      </c>
      <c r="AG148" s="22" t="s">
        <v>293</v>
      </c>
      <c r="AH148" s="22" t="s">
        <v>1446</v>
      </c>
      <c r="AI148" s="26">
        <f t="shared" si="4"/>
        <v>0.2472222222</v>
      </c>
      <c r="AJ148" s="55">
        <f t="shared" si="5"/>
        <v>0</v>
      </c>
      <c r="AK148" s="28" t="str">
        <f t="shared" si="6"/>
        <v>Pass</v>
      </c>
    </row>
    <row r="149">
      <c r="A149" s="18">
        <v>45875.0</v>
      </c>
      <c r="B149" s="19"/>
      <c r="C149" s="18">
        <v>45875.0</v>
      </c>
      <c r="D149" s="20">
        <v>0.7423611111111111</v>
      </c>
      <c r="E149" s="22" t="s">
        <v>1447</v>
      </c>
      <c r="F149" s="22" t="s">
        <v>1448</v>
      </c>
      <c r="G149" s="22" t="s">
        <v>1449</v>
      </c>
      <c r="H149" s="22" t="s">
        <v>1450</v>
      </c>
      <c r="I149" s="22" t="s">
        <v>1162</v>
      </c>
      <c r="J149" s="22" t="s">
        <v>1136</v>
      </c>
      <c r="K149" s="22" t="s">
        <v>61</v>
      </c>
      <c r="L149" s="22" t="s">
        <v>1179</v>
      </c>
      <c r="M149" s="22" t="s">
        <v>1451</v>
      </c>
      <c r="N149" s="22" t="s">
        <v>1452</v>
      </c>
      <c r="O149" s="23" t="s">
        <v>1453</v>
      </c>
      <c r="P149" s="22" t="s">
        <v>75</v>
      </c>
      <c r="Q149" s="50" t="s">
        <v>65</v>
      </c>
      <c r="R149" s="22" t="s">
        <v>1454</v>
      </c>
      <c r="S149" s="22" t="s">
        <v>51</v>
      </c>
      <c r="T149" s="22" t="s">
        <v>52</v>
      </c>
      <c r="U149" s="22" t="s">
        <v>52</v>
      </c>
      <c r="V149" s="22" t="s">
        <v>52</v>
      </c>
      <c r="W149" s="18">
        <v>45875.0</v>
      </c>
      <c r="X149" s="20">
        <v>0.7423611111111111</v>
      </c>
      <c r="Y149" s="18">
        <v>45875.0</v>
      </c>
      <c r="Z149" s="20">
        <v>0.8055555555555556</v>
      </c>
      <c r="AA149" s="20">
        <v>0.8125</v>
      </c>
      <c r="AB149" s="51">
        <v>0.8333333333333334</v>
      </c>
      <c r="AC149" s="51">
        <v>0.8541666666666666</v>
      </c>
      <c r="AD149" s="51">
        <v>0.8541666666666666</v>
      </c>
      <c r="AE149" s="18">
        <v>45875.0</v>
      </c>
      <c r="AF149" s="22" t="s">
        <v>53</v>
      </c>
      <c r="AG149" s="22" t="s">
        <v>54</v>
      </c>
      <c r="AH149" s="22" t="s">
        <v>1455</v>
      </c>
      <c r="AI149" s="26">
        <f t="shared" si="4"/>
        <v>0.09097222222</v>
      </c>
      <c r="AJ149" s="55">
        <f t="shared" si="5"/>
        <v>0</v>
      </c>
      <c r="AK149" s="28" t="str">
        <f t="shared" si="6"/>
        <v>Pass</v>
      </c>
    </row>
    <row r="150">
      <c r="A150" s="18">
        <v>45873.0</v>
      </c>
      <c r="B150" s="19"/>
      <c r="C150" s="18">
        <v>45873.0</v>
      </c>
      <c r="D150" s="20">
        <v>0.41458333333333336</v>
      </c>
      <c r="E150" s="22" t="s">
        <v>1456</v>
      </c>
      <c r="F150" s="21" t="s">
        <v>1457</v>
      </c>
      <c r="G150" s="21" t="s">
        <v>1458</v>
      </c>
      <c r="H150" s="22" t="s">
        <v>59</v>
      </c>
      <c r="I150" s="22" t="s">
        <v>1326</v>
      </c>
      <c r="J150" s="22" t="s">
        <v>768</v>
      </c>
      <c r="K150" s="22" t="s">
        <v>769</v>
      </c>
      <c r="L150" s="22" t="s">
        <v>1459</v>
      </c>
      <c r="M150" s="22" t="s">
        <v>1460</v>
      </c>
      <c r="N150" s="22" t="s">
        <v>1461</v>
      </c>
      <c r="O150" s="23" t="s">
        <v>1462</v>
      </c>
      <c r="P150" s="22" t="s">
        <v>75</v>
      </c>
      <c r="Q150" s="24" t="s">
        <v>65</v>
      </c>
      <c r="R150" s="21" t="s">
        <v>1463</v>
      </c>
      <c r="S150" s="22" t="s">
        <v>51</v>
      </c>
      <c r="T150" s="22" t="s">
        <v>52</v>
      </c>
      <c r="U150" s="22" t="s">
        <v>52</v>
      </c>
      <c r="V150" s="22" t="s">
        <v>52</v>
      </c>
      <c r="W150" s="18">
        <v>45873.0</v>
      </c>
      <c r="X150" s="20">
        <v>0.41458333333333336</v>
      </c>
      <c r="Y150" s="18">
        <v>45876.0</v>
      </c>
      <c r="Z150" s="20">
        <v>0.4652777777777778</v>
      </c>
      <c r="AA150" s="20">
        <v>0.4652777777777778</v>
      </c>
      <c r="AB150" s="25">
        <v>0.5055555555555555</v>
      </c>
      <c r="AC150" s="25">
        <v>0.5069444444444444</v>
      </c>
      <c r="AD150" s="25">
        <v>0.5277777777777778</v>
      </c>
      <c r="AE150" s="18">
        <v>45876.0</v>
      </c>
      <c r="AF150" s="22" t="s">
        <v>53</v>
      </c>
      <c r="AG150" s="22" t="s">
        <v>102</v>
      </c>
      <c r="AH150" s="22" t="s">
        <v>1464</v>
      </c>
      <c r="AI150" s="26">
        <f t="shared" si="4"/>
        <v>0.1118055556</v>
      </c>
      <c r="AJ150" s="55">
        <f t="shared" si="5"/>
        <v>0</v>
      </c>
      <c r="AK150" s="28" t="str">
        <f t="shared" si="6"/>
        <v>Pass</v>
      </c>
    </row>
    <row r="151">
      <c r="A151" s="18">
        <v>45875.0</v>
      </c>
      <c r="B151" s="19"/>
      <c r="C151" s="18">
        <v>45875.0</v>
      </c>
      <c r="D151" s="20">
        <v>0.63125</v>
      </c>
      <c r="E151" s="22" t="s">
        <v>1465</v>
      </c>
      <c r="F151" s="22" t="s">
        <v>1466</v>
      </c>
      <c r="G151" s="22" t="s">
        <v>1467</v>
      </c>
      <c r="H151" s="22" t="s">
        <v>1468</v>
      </c>
      <c r="I151" s="22" t="s">
        <v>856</v>
      </c>
      <c r="J151" s="22" t="s">
        <v>1084</v>
      </c>
      <c r="K151" s="22" t="s">
        <v>1469</v>
      </c>
      <c r="L151" s="22" t="s">
        <v>1470</v>
      </c>
      <c r="M151" s="22" t="s">
        <v>1471</v>
      </c>
      <c r="N151" s="22" t="s">
        <v>1472</v>
      </c>
      <c r="O151" s="23" t="s">
        <v>1473</v>
      </c>
      <c r="P151" s="22" t="s">
        <v>48</v>
      </c>
      <c r="Q151" s="50" t="s">
        <v>198</v>
      </c>
      <c r="R151" s="22" t="s">
        <v>1474</v>
      </c>
      <c r="S151" s="22" t="s">
        <v>51</v>
      </c>
      <c r="T151" s="22" t="s">
        <v>52</v>
      </c>
      <c r="U151" s="22" t="s">
        <v>52</v>
      </c>
      <c r="V151" s="22" t="s">
        <v>52</v>
      </c>
      <c r="W151" s="18">
        <v>45875.0</v>
      </c>
      <c r="X151" s="20">
        <v>0.63125</v>
      </c>
      <c r="Y151" s="18">
        <v>45875.0</v>
      </c>
      <c r="Z151" s="20">
        <v>0.375</v>
      </c>
      <c r="AA151" s="20">
        <v>0.375</v>
      </c>
      <c r="AB151" s="54"/>
      <c r="AC151" s="54"/>
      <c r="AD151" s="51">
        <v>0.75</v>
      </c>
      <c r="AE151" s="18">
        <v>45875.0</v>
      </c>
      <c r="AF151" s="22" t="s">
        <v>53</v>
      </c>
      <c r="AG151" s="22" t="s">
        <v>1475</v>
      </c>
      <c r="AH151" s="22" t="s">
        <v>1476</v>
      </c>
      <c r="AI151" s="26">
        <f t="shared" si="4"/>
        <v>0.11875</v>
      </c>
      <c r="AJ151" s="55">
        <f t="shared" si="5"/>
        <v>0</v>
      </c>
      <c r="AK151" s="28" t="str">
        <f t="shared" si="6"/>
        <v>Pass</v>
      </c>
    </row>
    <row r="152">
      <c r="A152" s="18">
        <v>45875.0</v>
      </c>
      <c r="B152" s="19"/>
      <c r="C152" s="18">
        <v>45876.0</v>
      </c>
      <c r="D152" s="20">
        <v>0.37777777777777777</v>
      </c>
      <c r="E152" s="22" t="s">
        <v>1477</v>
      </c>
      <c r="F152" s="22" t="s">
        <v>140</v>
      </c>
      <c r="G152" s="22" t="s">
        <v>835</v>
      </c>
      <c r="H152" s="22" t="s">
        <v>156</v>
      </c>
      <c r="I152" s="22" t="s">
        <v>476</v>
      </c>
      <c r="J152" s="22" t="s">
        <v>195</v>
      </c>
      <c r="K152" s="22" t="s">
        <v>411</v>
      </c>
      <c r="L152" s="22">
        <v>201901.0</v>
      </c>
      <c r="M152" s="22" t="s">
        <v>1478</v>
      </c>
      <c r="N152" s="22" t="s">
        <v>1479</v>
      </c>
      <c r="O152" s="23" t="s">
        <v>1480</v>
      </c>
      <c r="P152" s="22" t="s">
        <v>75</v>
      </c>
      <c r="Q152" s="50" t="s">
        <v>49</v>
      </c>
      <c r="R152" s="22" t="s">
        <v>1481</v>
      </c>
      <c r="S152" s="22" t="s">
        <v>51</v>
      </c>
      <c r="T152" s="22" t="s">
        <v>52</v>
      </c>
      <c r="U152" s="22" t="s">
        <v>52</v>
      </c>
      <c r="V152" s="22" t="s">
        <v>52</v>
      </c>
      <c r="W152" s="18">
        <v>45876.0</v>
      </c>
      <c r="X152" s="20">
        <v>0.37777777777777777</v>
      </c>
      <c r="Y152" s="18">
        <v>45876.0</v>
      </c>
      <c r="Z152" s="20">
        <v>0.42777777777777776</v>
      </c>
      <c r="AA152" s="20">
        <v>0.42986111111111114</v>
      </c>
      <c r="AB152" s="54"/>
      <c r="AC152" s="54"/>
      <c r="AD152" s="51">
        <v>0.47638888888888886</v>
      </c>
      <c r="AE152" s="18">
        <v>45876.0</v>
      </c>
      <c r="AF152" s="22" t="s">
        <v>53</v>
      </c>
      <c r="AG152" s="22" t="s">
        <v>1482</v>
      </c>
      <c r="AH152" s="22" t="s">
        <v>1483</v>
      </c>
      <c r="AI152" s="26">
        <f t="shared" si="4"/>
        <v>0.09861111111</v>
      </c>
      <c r="AJ152" s="55">
        <f t="shared" si="5"/>
        <v>0</v>
      </c>
      <c r="AK152" s="28" t="str">
        <f t="shared" si="6"/>
        <v>Pass</v>
      </c>
    </row>
    <row r="153">
      <c r="A153" s="45">
        <v>45876.0</v>
      </c>
      <c r="B153" s="46"/>
      <c r="C153" s="45">
        <v>45876.0</v>
      </c>
      <c r="D153" s="49">
        <v>0.3111111111111111</v>
      </c>
      <c r="E153" s="21" t="s">
        <v>1484</v>
      </c>
      <c r="F153" s="21" t="s">
        <v>1485</v>
      </c>
      <c r="G153" s="21" t="s">
        <v>1486</v>
      </c>
      <c r="H153" s="21" t="s">
        <v>130</v>
      </c>
      <c r="I153" s="21" t="s">
        <v>1487</v>
      </c>
      <c r="J153" s="21" t="s">
        <v>928</v>
      </c>
      <c r="K153" s="21" t="s">
        <v>1488</v>
      </c>
      <c r="L153" s="21" t="s">
        <v>52</v>
      </c>
      <c r="M153" s="21" t="s">
        <v>52</v>
      </c>
      <c r="N153" s="21" t="s">
        <v>1489</v>
      </c>
      <c r="O153" s="48" t="s">
        <v>1490</v>
      </c>
      <c r="P153" s="21" t="s">
        <v>48</v>
      </c>
      <c r="Q153" s="24" t="s">
        <v>49</v>
      </c>
      <c r="R153" s="21" t="s">
        <v>1491</v>
      </c>
      <c r="S153" s="21" t="s">
        <v>51</v>
      </c>
      <c r="T153" s="21" t="s">
        <v>52</v>
      </c>
      <c r="U153" s="21" t="s">
        <v>52</v>
      </c>
      <c r="V153" s="21" t="s">
        <v>52</v>
      </c>
      <c r="W153" s="45">
        <v>45876.0</v>
      </c>
      <c r="X153" s="49">
        <v>0.3111111111111111</v>
      </c>
      <c r="Y153" s="45">
        <v>45876.0</v>
      </c>
      <c r="Z153" s="49">
        <v>0.375</v>
      </c>
      <c r="AA153" s="49">
        <v>0.3819444444444444</v>
      </c>
      <c r="AB153" s="25">
        <v>0.4652777777777778</v>
      </c>
      <c r="AC153" s="25">
        <v>0.5208333333333334</v>
      </c>
      <c r="AD153" s="25">
        <v>0.5208333333333334</v>
      </c>
      <c r="AE153" s="45">
        <v>45876.0</v>
      </c>
      <c r="AF153" s="21" t="s">
        <v>53</v>
      </c>
      <c r="AG153" s="21" t="s">
        <v>1492</v>
      </c>
      <c r="AH153" s="21" t="s">
        <v>1493</v>
      </c>
      <c r="AI153" s="62">
        <f>IF(OR(X153="", AD153=""), "",
   (AD153 - X153)
   - IF(AND(AB153&lt;&gt;"", AC153&lt;&gt;""), (AC153 - AB153), 0)
)</f>
        <v>0.1541666667</v>
      </c>
      <c r="AJ153" s="27">
        <f t="shared" si="5"/>
        <v>0</v>
      </c>
      <c r="AK153" s="63" t="str">
        <f t="shared" si="6"/>
        <v>Pass</v>
      </c>
    </row>
    <row r="154">
      <c r="A154" s="45">
        <v>45876.0</v>
      </c>
      <c r="B154" s="46"/>
      <c r="C154" s="45">
        <v>45876.0</v>
      </c>
      <c r="D154" s="49">
        <v>0.4013888888888889</v>
      </c>
      <c r="E154" s="21" t="s">
        <v>1494</v>
      </c>
      <c r="F154" s="21" t="s">
        <v>1495</v>
      </c>
      <c r="G154" s="21" t="s">
        <v>1496</v>
      </c>
      <c r="H154" s="21" t="s">
        <v>566</v>
      </c>
      <c r="I154" s="21" t="s">
        <v>1497</v>
      </c>
      <c r="J154" s="21" t="s">
        <v>95</v>
      </c>
      <c r="K154" s="21" t="s">
        <v>143</v>
      </c>
      <c r="L154" s="21" t="s">
        <v>1498</v>
      </c>
      <c r="M154" s="47"/>
      <c r="N154" s="21" t="s">
        <v>1499</v>
      </c>
      <c r="O154" s="48" t="s">
        <v>1500</v>
      </c>
      <c r="P154" s="21" t="s">
        <v>48</v>
      </c>
      <c r="Q154" s="24" t="s">
        <v>49</v>
      </c>
      <c r="R154" s="21" t="s">
        <v>1501</v>
      </c>
      <c r="S154" s="21" t="s">
        <v>51</v>
      </c>
      <c r="T154" s="21" t="s">
        <v>52</v>
      </c>
      <c r="U154" s="21" t="s">
        <v>52</v>
      </c>
      <c r="V154" s="21" t="s">
        <v>52</v>
      </c>
      <c r="W154" s="45">
        <v>45876.0</v>
      </c>
      <c r="X154" s="49">
        <v>0.4013888888888889</v>
      </c>
      <c r="Y154" s="45">
        <v>45876.0</v>
      </c>
      <c r="Z154" s="49">
        <v>0.5138888888888888</v>
      </c>
      <c r="AA154" s="49">
        <v>0.5208333333333334</v>
      </c>
      <c r="AB154" s="25">
        <v>0.5416666666666666</v>
      </c>
      <c r="AC154" s="25">
        <v>0.5833333333333334</v>
      </c>
      <c r="AD154" s="25">
        <v>0.5833333333333334</v>
      </c>
      <c r="AE154" s="45">
        <v>45876.0</v>
      </c>
      <c r="AF154" s="21" t="s">
        <v>53</v>
      </c>
      <c r="AG154" s="21" t="s">
        <v>54</v>
      </c>
      <c r="AH154" s="21" t="s">
        <v>1502</v>
      </c>
      <c r="AI154" s="62">
        <f t="shared" ref="AI154:AI155" si="7">IF(OR(D154="", AD154=""), "",
   (AD154 - D154)
   - IF(AND(AB154&lt;&gt;"", AC154&lt;&gt;""), (AC154 - AB154), 0)
)</f>
        <v>0.1402777778</v>
      </c>
      <c r="AJ154" s="27">
        <f t="shared" si="5"/>
        <v>0</v>
      </c>
      <c r="AK154" s="63" t="str">
        <f t="shared" si="6"/>
        <v>Pass</v>
      </c>
    </row>
    <row r="155">
      <c r="A155" s="18">
        <v>45876.0</v>
      </c>
      <c r="B155" s="19"/>
      <c r="C155" s="18">
        <v>45876.0</v>
      </c>
      <c r="D155" s="20">
        <v>0.4840277777777778</v>
      </c>
      <c r="E155" s="22" t="s">
        <v>1503</v>
      </c>
      <c r="F155" s="21" t="s">
        <v>1504</v>
      </c>
      <c r="G155" s="21" t="s">
        <v>1505</v>
      </c>
      <c r="H155" s="22" t="s">
        <v>343</v>
      </c>
      <c r="I155" s="22" t="s">
        <v>644</v>
      </c>
      <c r="J155" s="22" t="s">
        <v>644</v>
      </c>
      <c r="K155" s="22" t="s">
        <v>143</v>
      </c>
      <c r="L155" s="22" t="s">
        <v>1506</v>
      </c>
      <c r="M155" s="22" t="s">
        <v>1507</v>
      </c>
      <c r="N155" s="22" t="s">
        <v>1508</v>
      </c>
      <c r="O155" s="23" t="s">
        <v>1509</v>
      </c>
      <c r="P155" s="22" t="s">
        <v>187</v>
      </c>
      <c r="Q155" s="50" t="s">
        <v>65</v>
      </c>
      <c r="R155" s="21" t="s">
        <v>1510</v>
      </c>
      <c r="S155" s="22" t="s">
        <v>51</v>
      </c>
      <c r="T155" s="21" t="s">
        <v>52</v>
      </c>
      <c r="U155" s="21" t="s">
        <v>52</v>
      </c>
      <c r="V155" s="21" t="s">
        <v>52</v>
      </c>
      <c r="W155" s="45">
        <v>45876.0</v>
      </c>
      <c r="X155" s="49">
        <v>0.4840277777777778</v>
      </c>
      <c r="Y155" s="45">
        <v>45876.0</v>
      </c>
      <c r="Z155" s="20">
        <v>0.5541666666666667</v>
      </c>
      <c r="AA155" s="20">
        <v>0.5590277777777778</v>
      </c>
      <c r="AB155" s="29"/>
      <c r="AC155" s="29"/>
      <c r="AD155" s="25">
        <v>0.8486111111111111</v>
      </c>
      <c r="AE155" s="45">
        <v>45876.0</v>
      </c>
      <c r="AF155" s="21" t="s">
        <v>53</v>
      </c>
      <c r="AG155" s="22" t="s">
        <v>1511</v>
      </c>
      <c r="AH155" s="22" t="s">
        <v>1512</v>
      </c>
      <c r="AI155" s="26">
        <f t="shared" si="7"/>
        <v>0.3645833333</v>
      </c>
      <c r="AJ155" s="55">
        <f t="shared" si="5"/>
        <v>0</v>
      </c>
      <c r="AK155" s="28" t="str">
        <f t="shared" si="6"/>
        <v>Pass</v>
      </c>
    </row>
    <row r="156">
      <c r="A156" s="18">
        <v>45876.0</v>
      </c>
      <c r="B156" s="19"/>
      <c r="C156" s="18">
        <v>45876.0</v>
      </c>
      <c r="D156" s="20">
        <v>0.7604166666666666</v>
      </c>
      <c r="E156" s="22" t="s">
        <v>1513</v>
      </c>
      <c r="F156" s="22" t="s">
        <v>1514</v>
      </c>
      <c r="G156" s="22" t="s">
        <v>1515</v>
      </c>
      <c r="H156" s="22" t="s">
        <v>244</v>
      </c>
      <c r="I156" s="22" t="s">
        <v>234</v>
      </c>
      <c r="J156" s="22" t="s">
        <v>42</v>
      </c>
      <c r="K156" s="22" t="s">
        <v>61</v>
      </c>
      <c r="L156" s="22" t="s">
        <v>183</v>
      </c>
      <c r="M156" s="22" t="s">
        <v>1516</v>
      </c>
      <c r="N156" s="22" t="s">
        <v>1517</v>
      </c>
      <c r="O156" s="23" t="s">
        <v>1518</v>
      </c>
      <c r="P156" s="22" t="s">
        <v>48</v>
      </c>
      <c r="Q156" s="50" t="s">
        <v>65</v>
      </c>
      <c r="R156" s="22" t="s">
        <v>1519</v>
      </c>
      <c r="S156" s="22" t="s">
        <v>51</v>
      </c>
      <c r="T156" s="22" t="s">
        <v>52</v>
      </c>
      <c r="U156" s="22" t="s">
        <v>52</v>
      </c>
      <c r="V156" s="22" t="s">
        <v>52</v>
      </c>
      <c r="W156" s="18">
        <v>45881.0</v>
      </c>
      <c r="X156" s="20">
        <v>0.4166666666666667</v>
      </c>
      <c r="Y156" s="18">
        <v>45881.0</v>
      </c>
      <c r="Z156" s="20">
        <v>0.4534722222222222</v>
      </c>
      <c r="AA156" s="20">
        <v>0.4965277777777778</v>
      </c>
      <c r="AB156" s="51">
        <v>0.4548611111111111</v>
      </c>
      <c r="AC156" s="51">
        <v>0.5798611111111112</v>
      </c>
      <c r="AD156" s="51">
        <v>0.875</v>
      </c>
      <c r="AE156" s="18">
        <v>45881.0</v>
      </c>
      <c r="AF156" s="22" t="s">
        <v>53</v>
      </c>
      <c r="AG156" s="22" t="s">
        <v>284</v>
      </c>
      <c r="AH156" s="22" t="s">
        <v>1520</v>
      </c>
      <c r="AI156" s="26">
        <v>0.33333333333333326</v>
      </c>
      <c r="AJ156" s="55">
        <v>0.0</v>
      </c>
      <c r="AK156" s="28" t="s">
        <v>1521</v>
      </c>
    </row>
    <row r="157">
      <c r="A157" s="32">
        <v>45878.0</v>
      </c>
      <c r="B157" s="19"/>
      <c r="C157" s="18">
        <v>45878.0</v>
      </c>
      <c r="D157" s="20">
        <v>0.375</v>
      </c>
      <c r="E157" s="22" t="s">
        <v>1522</v>
      </c>
      <c r="F157" s="22" t="s">
        <v>842</v>
      </c>
      <c r="G157" s="22" t="s">
        <v>843</v>
      </c>
      <c r="H157" s="22" t="s">
        <v>142</v>
      </c>
      <c r="I157" s="22" t="s">
        <v>131</v>
      </c>
      <c r="J157" s="22" t="s">
        <v>132</v>
      </c>
      <c r="K157" s="22" t="s">
        <v>43</v>
      </c>
      <c r="L157" s="22" t="s">
        <v>1120</v>
      </c>
      <c r="M157" s="22" t="s">
        <v>1121</v>
      </c>
      <c r="N157" s="22" t="s">
        <v>1523</v>
      </c>
      <c r="O157" s="23" t="s">
        <v>1524</v>
      </c>
      <c r="P157" s="22" t="s">
        <v>75</v>
      </c>
      <c r="Q157" s="50" t="s">
        <v>65</v>
      </c>
      <c r="R157" s="22" t="s">
        <v>1525</v>
      </c>
      <c r="S157" s="22" t="s">
        <v>51</v>
      </c>
      <c r="T157" s="22" t="s">
        <v>657</v>
      </c>
      <c r="U157" s="22" t="s">
        <v>1526</v>
      </c>
      <c r="V157" s="22" t="s">
        <v>1527</v>
      </c>
      <c r="W157" s="18">
        <v>45878.0</v>
      </c>
      <c r="X157" s="20">
        <v>0.375</v>
      </c>
      <c r="Y157" s="18">
        <v>45878.0</v>
      </c>
      <c r="Z157" s="20" t="s">
        <v>1528</v>
      </c>
      <c r="AA157" s="20">
        <v>0.4638888888888889</v>
      </c>
      <c r="AB157" s="54"/>
      <c r="AC157" s="54"/>
      <c r="AD157" s="51">
        <v>0.4722222222222222</v>
      </c>
      <c r="AE157" s="18">
        <v>45878.0</v>
      </c>
      <c r="AF157" s="22" t="s">
        <v>53</v>
      </c>
      <c r="AG157" s="22" t="s">
        <v>848</v>
      </c>
      <c r="AH157" s="22" t="s">
        <v>1529</v>
      </c>
      <c r="AI157" s="26">
        <f t="shared" ref="AI157:AI158" si="8">IF(OR(D157="", AD157=""), "",
   (AD157 - D157)
   - IF(AND(AB157&lt;&gt;"", AC157&lt;&gt;""), (AC157 - AB157), 0)
)</f>
        <v>0.09722222222</v>
      </c>
      <c r="AJ157" s="55">
        <f t="shared" ref="AJ157:AJ809" si="9">IF(AI157="", "",
   MAX(0, AI157 -
     IF(Q157="Sev1", 4/24,
     IF(Q157="Sev2", 12/24,
     IF(Q157="Sev3", 24/24,
     IF(Q157="Sev4", 48/24, 0)))))
)</f>
        <v>0</v>
      </c>
      <c r="AK157" s="28" t="str">
        <f t="shared" ref="AK157:AK809" si="10">IF(AJ157="", "", IF(AJ157&gt;0, "Fail", "Pass"))</f>
        <v>Pass</v>
      </c>
    </row>
    <row r="158">
      <c r="A158" s="45">
        <v>45878.0</v>
      </c>
      <c r="B158" s="46"/>
      <c r="C158" s="45">
        <v>45878.0</v>
      </c>
      <c r="D158" s="49">
        <v>0.5083333333333333</v>
      </c>
      <c r="E158" s="21" t="s">
        <v>1530</v>
      </c>
      <c r="F158" s="21" t="s">
        <v>1531</v>
      </c>
      <c r="G158" s="21" t="s">
        <v>1532</v>
      </c>
      <c r="H158" s="21" t="s">
        <v>756</v>
      </c>
      <c r="I158" s="21" t="s">
        <v>118</v>
      </c>
      <c r="J158" s="21" t="s">
        <v>119</v>
      </c>
      <c r="K158" s="47"/>
      <c r="L158" s="47"/>
      <c r="M158" s="47"/>
      <c r="N158" s="21" t="s">
        <v>1533</v>
      </c>
      <c r="O158" s="48" t="s">
        <v>1534</v>
      </c>
      <c r="P158" s="21" t="s">
        <v>75</v>
      </c>
      <c r="Q158" s="24" t="s">
        <v>65</v>
      </c>
      <c r="R158" s="21" t="s">
        <v>1535</v>
      </c>
      <c r="S158" s="21" t="s">
        <v>51</v>
      </c>
      <c r="T158" s="47"/>
      <c r="U158" s="47"/>
      <c r="V158" s="47"/>
      <c r="W158" s="45">
        <v>45878.0</v>
      </c>
      <c r="X158" s="49">
        <v>0.5597222222222222</v>
      </c>
      <c r="Y158" s="45">
        <v>45878.0</v>
      </c>
      <c r="Z158" s="49">
        <v>0.5777777777777777</v>
      </c>
      <c r="AA158" s="49">
        <v>0.5819444444444445</v>
      </c>
      <c r="AB158" s="25">
        <v>0.5833333333333334</v>
      </c>
      <c r="AC158" s="25">
        <v>0.6736111111111112</v>
      </c>
      <c r="AD158" s="25">
        <v>0.6875</v>
      </c>
      <c r="AE158" s="45">
        <v>45878.0</v>
      </c>
      <c r="AF158" s="21" t="s">
        <v>53</v>
      </c>
      <c r="AG158" s="21" t="s">
        <v>89</v>
      </c>
      <c r="AH158" s="21" t="s">
        <v>1536</v>
      </c>
      <c r="AI158" s="62">
        <f t="shared" si="8"/>
        <v>0.08888888889</v>
      </c>
      <c r="AJ158" s="27">
        <f t="shared" si="9"/>
        <v>0</v>
      </c>
      <c r="AK158" s="63" t="str">
        <f t="shared" si="10"/>
        <v>Pass</v>
      </c>
    </row>
    <row r="159">
      <c r="A159" s="32">
        <v>45878.0</v>
      </c>
      <c r="B159" s="19"/>
      <c r="C159" s="18">
        <v>45878.0</v>
      </c>
      <c r="D159" s="20">
        <v>0.5090277777777777</v>
      </c>
      <c r="E159" s="22" t="s">
        <v>1537</v>
      </c>
      <c r="F159" s="22" t="s">
        <v>444</v>
      </c>
      <c r="G159" s="22" t="s">
        <v>445</v>
      </c>
      <c r="H159" s="22" t="s">
        <v>156</v>
      </c>
      <c r="I159" s="22" t="s">
        <v>616</v>
      </c>
      <c r="J159" s="22" t="s">
        <v>132</v>
      </c>
      <c r="K159" s="22" t="s">
        <v>43</v>
      </c>
      <c r="L159" s="22" t="s">
        <v>157</v>
      </c>
      <c r="M159" s="22" t="s">
        <v>1538</v>
      </c>
      <c r="N159" s="22" t="s">
        <v>1539</v>
      </c>
      <c r="O159" s="23" t="s">
        <v>1540</v>
      </c>
      <c r="P159" s="22" t="s">
        <v>75</v>
      </c>
      <c r="Q159" s="50" t="s">
        <v>65</v>
      </c>
      <c r="R159" s="22" t="s">
        <v>1541</v>
      </c>
      <c r="S159" s="22" t="s">
        <v>51</v>
      </c>
      <c r="T159" s="22" t="s">
        <v>657</v>
      </c>
      <c r="U159" s="22" t="s">
        <v>1542</v>
      </c>
      <c r="V159" s="22" t="s">
        <v>1538</v>
      </c>
      <c r="W159" s="18">
        <v>45879.0</v>
      </c>
      <c r="X159" s="20">
        <v>0.2791666666666667</v>
      </c>
      <c r="Y159" s="18">
        <v>45879.0</v>
      </c>
      <c r="Z159" s="20">
        <v>0.38680555555555557</v>
      </c>
      <c r="AA159" s="20">
        <v>0.3888888888888889</v>
      </c>
      <c r="AB159" s="54"/>
      <c r="AC159" s="54"/>
      <c r="AD159" s="51">
        <v>0.4305555555555556</v>
      </c>
      <c r="AE159" s="18">
        <v>45879.0</v>
      </c>
      <c r="AF159" s="22" t="s">
        <v>53</v>
      </c>
      <c r="AG159" s="22" t="s">
        <v>162</v>
      </c>
      <c r="AH159" s="22" t="s">
        <v>1543</v>
      </c>
      <c r="AI159" s="26">
        <f>IF(OR(X159="", AD159=""), "",
   (AD159 - X159)
   - IF(AND(AB159&lt;&gt;"", AC159&lt;&gt;""), (AC159 - AB159), 0)
)</f>
        <v>0.1513888889</v>
      </c>
      <c r="AJ159" s="55">
        <f t="shared" si="9"/>
        <v>0</v>
      </c>
      <c r="AK159" s="28" t="str">
        <f t="shared" si="10"/>
        <v>Pass</v>
      </c>
    </row>
    <row r="160">
      <c r="A160" s="68">
        <v>45876.0</v>
      </c>
      <c r="B160" s="46"/>
      <c r="C160" s="45">
        <v>45876.0</v>
      </c>
      <c r="D160" s="49">
        <v>0.3368055555555556</v>
      </c>
      <c r="E160" s="21" t="s">
        <v>1544</v>
      </c>
      <c r="F160" s="21" t="s">
        <v>1545</v>
      </c>
      <c r="G160" s="21" t="s">
        <v>1546</v>
      </c>
      <c r="H160" s="21" t="s">
        <v>605</v>
      </c>
      <c r="I160" s="21" t="s">
        <v>95</v>
      </c>
      <c r="J160" s="21" t="s">
        <v>95</v>
      </c>
      <c r="K160" s="21" t="s">
        <v>143</v>
      </c>
      <c r="L160" s="21" t="s">
        <v>606</v>
      </c>
      <c r="M160" s="21" t="s">
        <v>1547</v>
      </c>
      <c r="N160" s="21" t="s">
        <v>1548</v>
      </c>
      <c r="O160" s="48" t="s">
        <v>1549</v>
      </c>
      <c r="P160" s="21" t="s">
        <v>75</v>
      </c>
      <c r="Q160" s="24" t="s">
        <v>49</v>
      </c>
      <c r="R160" s="21" t="s">
        <v>1550</v>
      </c>
      <c r="S160" s="21" t="s">
        <v>51</v>
      </c>
      <c r="T160" s="21" t="s">
        <v>324</v>
      </c>
      <c r="U160" s="21" t="s">
        <v>1551</v>
      </c>
      <c r="V160" s="21" t="s">
        <v>1552</v>
      </c>
      <c r="W160" s="45">
        <v>45880.0</v>
      </c>
      <c r="X160" s="49">
        <v>0.041666666666666664</v>
      </c>
      <c r="Y160" s="18">
        <v>45880.0</v>
      </c>
      <c r="Z160" s="20">
        <v>0.04097222222222222</v>
      </c>
      <c r="AA160" s="20">
        <v>0.041666666666666664</v>
      </c>
      <c r="AB160" s="25">
        <v>0.041666666666666664</v>
      </c>
      <c r="AC160" s="25">
        <v>0.06736111111111111</v>
      </c>
      <c r="AD160" s="25">
        <v>0.2590277777777778</v>
      </c>
      <c r="AE160" s="18">
        <v>45880.0</v>
      </c>
      <c r="AF160" s="21" t="s">
        <v>53</v>
      </c>
      <c r="AG160" s="21" t="s">
        <v>89</v>
      </c>
      <c r="AH160" s="21" t="s">
        <v>1553</v>
      </c>
      <c r="AI160" s="26" t="str">
        <f>IFERROR(__xludf.DUMMYFUNCTION("IF(OR(W160="""",X160="""",AE160="""",AD160=""""),"""",
   TEXT(
     (
       (AE160+AD160 + IF(AE160+AD160 &lt; W160+X160,1,0)) - (W160+X160)
     )
     - IF(AND(AB160&lt;&gt;"""",AC160&lt;&gt;""""), 
          SUM(ARRAYFORMULA(SPLIT(AC160,"","") - SPLIT(AB160,"",""))"&amp;"), 
          0
       ),
     ""[hh]:mm""
   )
)
"),"04:36")</f>
        <v>04:36</v>
      </c>
      <c r="AJ160" s="55">
        <f t="shared" si="9"/>
        <v>0.025</v>
      </c>
      <c r="AK160" s="28" t="str">
        <f t="shared" si="10"/>
        <v>Fail</v>
      </c>
    </row>
    <row r="161">
      <c r="A161" s="45">
        <v>45880.0</v>
      </c>
      <c r="B161" s="46"/>
      <c r="C161" s="45">
        <v>45880.0</v>
      </c>
      <c r="D161" s="49">
        <v>0.29791666666666666</v>
      </c>
      <c r="E161" s="22" t="s">
        <v>1554</v>
      </c>
      <c r="F161" s="21" t="s">
        <v>1555</v>
      </c>
      <c r="G161" s="21" t="s">
        <v>1556</v>
      </c>
      <c r="H161" s="22" t="s">
        <v>244</v>
      </c>
      <c r="I161" s="22" t="s">
        <v>41</v>
      </c>
      <c r="J161" s="22" t="s">
        <v>42</v>
      </c>
      <c r="K161" s="22" t="s">
        <v>1557</v>
      </c>
      <c r="L161" s="22" t="s">
        <v>1558</v>
      </c>
      <c r="M161" s="31"/>
      <c r="N161" s="22" t="s">
        <v>1559</v>
      </c>
      <c r="O161" s="23" t="s">
        <v>1560</v>
      </c>
      <c r="P161" s="22" t="s">
        <v>48</v>
      </c>
      <c r="Q161" s="24" t="s">
        <v>49</v>
      </c>
      <c r="R161" s="21" t="s">
        <v>1561</v>
      </c>
      <c r="S161" s="22" t="s">
        <v>51</v>
      </c>
      <c r="T161" s="21" t="s">
        <v>52</v>
      </c>
      <c r="U161" s="21" t="s">
        <v>52</v>
      </c>
      <c r="V161" s="21" t="s">
        <v>52</v>
      </c>
      <c r="W161" s="18">
        <v>45880.0</v>
      </c>
      <c r="X161" s="20">
        <v>0.29791666666666666</v>
      </c>
      <c r="Y161" s="18">
        <v>45880.0</v>
      </c>
      <c r="Z161" s="20">
        <v>0.425</v>
      </c>
      <c r="AA161" s="20">
        <v>0.4263888888888889</v>
      </c>
      <c r="AB161" s="25">
        <v>0.4375</v>
      </c>
      <c r="AC161" s="25">
        <v>0.625</v>
      </c>
      <c r="AD161" s="25">
        <v>0.625</v>
      </c>
      <c r="AE161" s="18">
        <v>45880.0</v>
      </c>
      <c r="AF161" s="21" t="s">
        <v>53</v>
      </c>
      <c r="AG161" s="22" t="s">
        <v>1562</v>
      </c>
      <c r="AH161" s="22" t="s">
        <v>1563</v>
      </c>
      <c r="AI161" s="62">
        <f t="shared" ref="AI161:AI182" si="11">IF(OR(X161="", AD161=""), "",
   (AD161 - X161)
   - IF(AND(AB161&lt;&gt;"", AC161&lt;&gt;""), (AC161 - AB161), 0)
)</f>
        <v>0.1395833333</v>
      </c>
      <c r="AJ161" s="27">
        <f t="shared" si="9"/>
        <v>0</v>
      </c>
      <c r="AK161" s="63" t="str">
        <f t="shared" si="10"/>
        <v>Pass</v>
      </c>
    </row>
    <row r="162">
      <c r="A162" s="45">
        <v>45880.0</v>
      </c>
      <c r="B162" s="46"/>
      <c r="C162" s="45">
        <v>45880.0</v>
      </c>
      <c r="D162" s="20">
        <v>0.37430555555555556</v>
      </c>
      <c r="E162" s="22" t="s">
        <v>1564</v>
      </c>
      <c r="F162" s="21" t="s">
        <v>1565</v>
      </c>
      <c r="G162" s="21" t="s">
        <v>1566</v>
      </c>
      <c r="H162" s="22" t="s">
        <v>244</v>
      </c>
      <c r="I162" s="22" t="s">
        <v>41</v>
      </c>
      <c r="J162" s="22" t="s">
        <v>42</v>
      </c>
      <c r="K162" s="22" t="s">
        <v>1557</v>
      </c>
      <c r="L162" s="22" t="s">
        <v>1567</v>
      </c>
      <c r="M162" s="22" t="s">
        <v>1568</v>
      </c>
      <c r="N162" s="22" t="s">
        <v>1569</v>
      </c>
      <c r="O162" s="23" t="s">
        <v>1570</v>
      </c>
      <c r="P162" s="22" t="s">
        <v>48</v>
      </c>
      <c r="Q162" s="24" t="s">
        <v>49</v>
      </c>
      <c r="R162" s="21" t="s">
        <v>1571</v>
      </c>
      <c r="S162" s="22" t="s">
        <v>51</v>
      </c>
      <c r="T162" s="21" t="s">
        <v>52</v>
      </c>
      <c r="U162" s="21" t="s">
        <v>52</v>
      </c>
      <c r="V162" s="21" t="s">
        <v>52</v>
      </c>
      <c r="W162" s="18">
        <v>45880.0</v>
      </c>
      <c r="X162" s="20">
        <v>0.46875</v>
      </c>
      <c r="Y162" s="18">
        <v>45880.0</v>
      </c>
      <c r="Z162" s="20">
        <v>0.4305555555555556</v>
      </c>
      <c r="AA162" s="20">
        <v>0.43819444444444444</v>
      </c>
      <c r="AB162" s="25">
        <v>0.4861111111111111</v>
      </c>
      <c r="AC162" s="25">
        <v>0.6493055555555556</v>
      </c>
      <c r="AD162" s="25">
        <v>0.6493055555555556</v>
      </c>
      <c r="AE162" s="18">
        <v>45880.0</v>
      </c>
      <c r="AF162" s="21" t="s">
        <v>53</v>
      </c>
      <c r="AG162" s="22" t="s">
        <v>879</v>
      </c>
      <c r="AH162" s="22" t="s">
        <v>1572</v>
      </c>
      <c r="AI162" s="62">
        <f t="shared" si="11"/>
        <v>0.01736111111</v>
      </c>
      <c r="AJ162" s="27">
        <f t="shared" si="9"/>
        <v>0</v>
      </c>
      <c r="AK162" s="63" t="str">
        <f t="shared" si="10"/>
        <v>Pass</v>
      </c>
    </row>
    <row r="163">
      <c r="A163" s="45">
        <v>45880.0</v>
      </c>
      <c r="B163" s="46"/>
      <c r="C163" s="45">
        <v>45880.0</v>
      </c>
      <c r="D163" s="49">
        <v>0.6298611111111111</v>
      </c>
      <c r="E163" s="21" t="s">
        <v>1573</v>
      </c>
      <c r="F163" s="21" t="s">
        <v>1574</v>
      </c>
      <c r="G163" s="21" t="s">
        <v>1575</v>
      </c>
      <c r="H163" s="21" t="s">
        <v>566</v>
      </c>
      <c r="I163" s="21" t="s">
        <v>1393</v>
      </c>
      <c r="J163" s="21" t="s">
        <v>928</v>
      </c>
      <c r="K163" s="21" t="s">
        <v>1576</v>
      </c>
      <c r="L163" s="21" t="s">
        <v>1577</v>
      </c>
      <c r="M163" s="21" t="s">
        <v>1578</v>
      </c>
      <c r="N163" s="21" t="s">
        <v>1579</v>
      </c>
      <c r="O163" s="48" t="s">
        <v>1580</v>
      </c>
      <c r="P163" s="21" t="s">
        <v>48</v>
      </c>
      <c r="Q163" s="24" t="s">
        <v>449</v>
      </c>
      <c r="R163" s="21" t="s">
        <v>1581</v>
      </c>
      <c r="S163" s="21" t="s">
        <v>51</v>
      </c>
      <c r="T163" s="21" t="s">
        <v>52</v>
      </c>
      <c r="U163" s="21" t="s">
        <v>52</v>
      </c>
      <c r="V163" s="21" t="s">
        <v>52</v>
      </c>
      <c r="W163" s="45">
        <v>45880.0</v>
      </c>
      <c r="X163" s="49">
        <v>0.6298611111111111</v>
      </c>
      <c r="Y163" s="45">
        <v>45880.0</v>
      </c>
      <c r="Z163" s="49">
        <v>0.9444444444444444</v>
      </c>
      <c r="AA163" s="49">
        <v>0.9479166666666666</v>
      </c>
      <c r="AB163" s="29"/>
      <c r="AC163" s="29"/>
      <c r="AD163" s="25">
        <v>0.041666666666666664</v>
      </c>
      <c r="AE163" s="45">
        <v>45881.0</v>
      </c>
      <c r="AF163" s="21" t="s">
        <v>53</v>
      </c>
      <c r="AG163" s="21" t="s">
        <v>1582</v>
      </c>
      <c r="AH163" s="21" t="s">
        <v>1583</v>
      </c>
      <c r="AI163" s="62">
        <f t="shared" si="11"/>
        <v>-0.5881944444</v>
      </c>
      <c r="AJ163" s="27">
        <f t="shared" si="9"/>
        <v>0</v>
      </c>
      <c r="AK163" s="63" t="str">
        <f t="shared" si="10"/>
        <v>Pass</v>
      </c>
    </row>
    <row r="164">
      <c r="A164" s="45">
        <v>45880.0</v>
      </c>
      <c r="B164" s="46"/>
      <c r="C164" s="45">
        <v>45880.0</v>
      </c>
      <c r="D164" s="49">
        <v>0.6618055555555555</v>
      </c>
      <c r="E164" s="21" t="s">
        <v>1584</v>
      </c>
      <c r="F164" s="21" t="s">
        <v>661</v>
      </c>
      <c r="G164" s="21" t="s">
        <v>662</v>
      </c>
      <c r="H164" s="21" t="s">
        <v>454</v>
      </c>
      <c r="I164" s="21" t="s">
        <v>1055</v>
      </c>
      <c r="J164" s="21" t="s">
        <v>1056</v>
      </c>
      <c r="K164" s="47"/>
      <c r="L164" s="21" t="s">
        <v>1585</v>
      </c>
      <c r="M164" s="21" t="s">
        <v>1586</v>
      </c>
      <c r="N164" s="21" t="s">
        <v>1587</v>
      </c>
      <c r="O164" s="48" t="s">
        <v>1588</v>
      </c>
      <c r="P164" s="21" t="s">
        <v>75</v>
      </c>
      <c r="Q164" s="24" t="s">
        <v>65</v>
      </c>
      <c r="R164" s="21" t="s">
        <v>1589</v>
      </c>
      <c r="S164" s="21" t="s">
        <v>51</v>
      </c>
      <c r="T164" s="21" t="s">
        <v>52</v>
      </c>
      <c r="U164" s="21" t="s">
        <v>52</v>
      </c>
      <c r="V164" s="21" t="s">
        <v>52</v>
      </c>
      <c r="W164" s="45">
        <v>45880.0</v>
      </c>
      <c r="X164" s="49">
        <v>0.6701388888888888</v>
      </c>
      <c r="Y164" s="45">
        <v>45880.0</v>
      </c>
      <c r="Z164" s="20">
        <v>0.71875</v>
      </c>
      <c r="AA164" s="20">
        <v>0.7291666666666666</v>
      </c>
      <c r="AB164" s="29"/>
      <c r="AC164" s="29"/>
      <c r="AD164" s="25">
        <v>0.7916666666666666</v>
      </c>
      <c r="AE164" s="45">
        <v>45880.0</v>
      </c>
      <c r="AF164" s="21" t="s">
        <v>53</v>
      </c>
      <c r="AG164" s="21" t="s">
        <v>382</v>
      </c>
      <c r="AH164" s="21" t="s">
        <v>1590</v>
      </c>
      <c r="AI164" s="62">
        <f t="shared" si="11"/>
        <v>0.1215277778</v>
      </c>
      <c r="AJ164" s="27">
        <f t="shared" si="9"/>
        <v>0</v>
      </c>
      <c r="AK164" s="63" t="str">
        <f t="shared" si="10"/>
        <v>Pass</v>
      </c>
    </row>
    <row r="165">
      <c r="A165" s="45">
        <v>45880.0</v>
      </c>
      <c r="B165" s="46"/>
      <c r="C165" s="45">
        <v>45880.0</v>
      </c>
      <c r="D165" s="49">
        <v>0.7409722222222223</v>
      </c>
      <c r="E165" s="21" t="s">
        <v>1591</v>
      </c>
      <c r="F165" s="21" t="s">
        <v>1232</v>
      </c>
      <c r="G165" s="21" t="s">
        <v>1233</v>
      </c>
      <c r="H165" s="21" t="s">
        <v>756</v>
      </c>
      <c r="I165" s="21" t="s">
        <v>95</v>
      </c>
      <c r="J165" s="21" t="s">
        <v>95</v>
      </c>
      <c r="K165" s="21" t="s">
        <v>143</v>
      </c>
      <c r="L165" s="21" t="s">
        <v>1592</v>
      </c>
      <c r="M165" s="21" t="s">
        <v>1593</v>
      </c>
      <c r="N165" s="21" t="s">
        <v>1594</v>
      </c>
      <c r="O165" s="48" t="s">
        <v>1595</v>
      </c>
      <c r="P165" s="21" t="s">
        <v>48</v>
      </c>
      <c r="Q165" s="24" t="s">
        <v>49</v>
      </c>
      <c r="R165" s="21" t="s">
        <v>1596</v>
      </c>
      <c r="S165" s="21" t="s">
        <v>51</v>
      </c>
      <c r="T165" s="21" t="s">
        <v>52</v>
      </c>
      <c r="U165" s="21" t="s">
        <v>52</v>
      </c>
      <c r="V165" s="21" t="s">
        <v>52</v>
      </c>
      <c r="W165" s="45">
        <v>45880.0</v>
      </c>
      <c r="X165" s="49">
        <v>0.7506944444444444</v>
      </c>
      <c r="Y165" s="45">
        <v>45880.0</v>
      </c>
      <c r="Z165" s="49">
        <v>0.8680555555555556</v>
      </c>
      <c r="AA165" s="49">
        <v>0.875</v>
      </c>
      <c r="AB165" s="25">
        <v>0.9166666666666666</v>
      </c>
      <c r="AC165" s="25">
        <v>0.9375</v>
      </c>
      <c r="AD165" s="25">
        <v>0.9375</v>
      </c>
      <c r="AE165" s="45">
        <v>45880.0</v>
      </c>
      <c r="AF165" s="21" t="s">
        <v>53</v>
      </c>
      <c r="AG165" s="21" t="s">
        <v>1597</v>
      </c>
      <c r="AH165" s="21" t="s">
        <v>1598</v>
      </c>
      <c r="AI165" s="62">
        <f t="shared" si="11"/>
        <v>0.1659722222</v>
      </c>
      <c r="AJ165" s="27">
        <f t="shared" si="9"/>
        <v>0</v>
      </c>
      <c r="AK165" s="63" t="str">
        <f t="shared" si="10"/>
        <v>Pass</v>
      </c>
    </row>
    <row r="166">
      <c r="A166" s="32">
        <v>45880.0</v>
      </c>
      <c r="B166" s="19"/>
      <c r="C166" s="18">
        <v>45880.0</v>
      </c>
      <c r="D166" s="20">
        <v>0.8993055555555556</v>
      </c>
      <c r="E166" s="22" t="s">
        <v>1599</v>
      </c>
      <c r="F166" s="22" t="s">
        <v>1306</v>
      </c>
      <c r="G166" s="22" t="s">
        <v>1307</v>
      </c>
      <c r="H166" s="22" t="s">
        <v>377</v>
      </c>
      <c r="I166" s="22" t="s">
        <v>644</v>
      </c>
      <c r="J166" s="22" t="s">
        <v>644</v>
      </c>
      <c r="K166" s="22" t="s">
        <v>143</v>
      </c>
      <c r="L166" s="22" t="s">
        <v>1308</v>
      </c>
      <c r="M166" s="22" t="s">
        <v>1309</v>
      </c>
      <c r="N166" s="22" t="s">
        <v>1310</v>
      </c>
      <c r="O166" s="23" t="s">
        <v>1600</v>
      </c>
      <c r="P166" s="22" t="s">
        <v>75</v>
      </c>
      <c r="Q166" s="50" t="s">
        <v>65</v>
      </c>
      <c r="R166" s="22" t="s">
        <v>1601</v>
      </c>
      <c r="S166" s="22" t="s">
        <v>51</v>
      </c>
      <c r="T166" s="22" t="s">
        <v>1602</v>
      </c>
      <c r="U166" s="22" t="s">
        <v>1603</v>
      </c>
      <c r="V166" s="22" t="s">
        <v>1309</v>
      </c>
      <c r="W166" s="18">
        <v>45881.0</v>
      </c>
      <c r="X166" s="20">
        <v>0.4465277777777778</v>
      </c>
      <c r="Y166" s="18">
        <v>45881.0</v>
      </c>
      <c r="Z166" s="20">
        <v>0.5638888888888889</v>
      </c>
      <c r="AA166" s="20">
        <v>0.5222222222222223</v>
      </c>
      <c r="AB166" s="51">
        <v>0.5222222222222223</v>
      </c>
      <c r="AC166" s="51">
        <v>0.5402777777777777</v>
      </c>
      <c r="AD166" s="51">
        <v>0.7604166666666666</v>
      </c>
      <c r="AE166" s="18">
        <v>45881.0</v>
      </c>
      <c r="AF166" s="22" t="s">
        <v>53</v>
      </c>
      <c r="AG166" s="22" t="s">
        <v>102</v>
      </c>
      <c r="AH166" s="22" t="s">
        <v>1604</v>
      </c>
      <c r="AI166" s="26">
        <f t="shared" si="11"/>
        <v>0.2958333333</v>
      </c>
      <c r="AJ166" s="55">
        <f t="shared" si="9"/>
        <v>0</v>
      </c>
      <c r="AK166" s="28" t="str">
        <f t="shared" si="10"/>
        <v>Pass</v>
      </c>
    </row>
    <row r="167">
      <c r="A167" s="18">
        <v>45880.0</v>
      </c>
      <c r="B167" s="19"/>
      <c r="C167" s="18">
        <v>45880.0</v>
      </c>
      <c r="D167" s="20">
        <v>0.6548611111111111</v>
      </c>
      <c r="E167" s="22" t="s">
        <v>1605</v>
      </c>
      <c r="F167" s="22" t="s">
        <v>1514</v>
      </c>
      <c r="G167" s="22" t="s">
        <v>1515</v>
      </c>
      <c r="H167" s="22" t="s">
        <v>253</v>
      </c>
      <c r="I167" s="22" t="s">
        <v>234</v>
      </c>
      <c r="J167" s="22" t="s">
        <v>42</v>
      </c>
      <c r="K167" s="22" t="s">
        <v>61</v>
      </c>
      <c r="L167" s="22" t="s">
        <v>183</v>
      </c>
      <c r="M167" s="22" t="s">
        <v>1516</v>
      </c>
      <c r="N167" s="22" t="s">
        <v>1606</v>
      </c>
      <c r="O167" s="23" t="s">
        <v>1518</v>
      </c>
      <c r="P167" s="22" t="s">
        <v>48</v>
      </c>
      <c r="Q167" s="50" t="s">
        <v>198</v>
      </c>
      <c r="R167" s="22" t="s">
        <v>1519</v>
      </c>
      <c r="S167" s="22" t="s">
        <v>51</v>
      </c>
      <c r="T167" s="22" t="s">
        <v>52</v>
      </c>
      <c r="U167" s="22" t="s">
        <v>52</v>
      </c>
      <c r="V167" s="22" t="s">
        <v>52</v>
      </c>
      <c r="W167" s="18">
        <v>45881.0</v>
      </c>
      <c r="X167" s="20">
        <v>0.4166666666666667</v>
      </c>
      <c r="Y167" s="18">
        <v>45881.0</v>
      </c>
      <c r="Z167" s="20">
        <v>0.4534722222222222</v>
      </c>
      <c r="AA167" s="20">
        <v>0.4965277777777778</v>
      </c>
      <c r="AB167" s="51">
        <v>0.4548611111111111</v>
      </c>
      <c r="AC167" s="51">
        <v>0.5798611111111112</v>
      </c>
      <c r="AD167" s="51">
        <v>0.875</v>
      </c>
      <c r="AE167" s="18">
        <v>45881.0</v>
      </c>
      <c r="AF167" s="22" t="s">
        <v>53</v>
      </c>
      <c r="AG167" s="22" t="s">
        <v>284</v>
      </c>
      <c r="AH167" s="22" t="s">
        <v>1520</v>
      </c>
      <c r="AI167" s="26">
        <f t="shared" si="11"/>
        <v>0.3333333333</v>
      </c>
      <c r="AJ167" s="55">
        <f t="shared" si="9"/>
        <v>0</v>
      </c>
      <c r="AK167" s="28" t="str">
        <f t="shared" si="10"/>
        <v>Pass</v>
      </c>
    </row>
    <row r="168">
      <c r="A168" s="18">
        <v>45881.0</v>
      </c>
      <c r="B168" s="19"/>
      <c r="C168" s="18">
        <v>45881.0</v>
      </c>
      <c r="D168" s="20">
        <v>0.4340277777777778</v>
      </c>
      <c r="E168" s="22" t="s">
        <v>1607</v>
      </c>
      <c r="F168" s="22" t="s">
        <v>1608</v>
      </c>
      <c r="G168" s="22" t="s">
        <v>1609</v>
      </c>
      <c r="H168" s="22" t="s">
        <v>1610</v>
      </c>
      <c r="I168" s="22" t="s">
        <v>1611</v>
      </c>
      <c r="J168" s="22" t="s">
        <v>1612</v>
      </c>
      <c r="K168" s="22" t="s">
        <v>143</v>
      </c>
      <c r="L168" s="22" t="s">
        <v>1613</v>
      </c>
      <c r="M168" s="22" t="s">
        <v>1614</v>
      </c>
      <c r="N168" s="22" t="s">
        <v>1615</v>
      </c>
      <c r="O168" s="23" t="s">
        <v>1616</v>
      </c>
      <c r="P168" s="22" t="s">
        <v>187</v>
      </c>
      <c r="Q168" s="50" t="s">
        <v>65</v>
      </c>
      <c r="R168" s="22" t="s">
        <v>1617</v>
      </c>
      <c r="S168" s="22" t="s">
        <v>51</v>
      </c>
      <c r="T168" s="22" t="s">
        <v>52</v>
      </c>
      <c r="U168" s="22" t="s">
        <v>52</v>
      </c>
      <c r="V168" s="22" t="s">
        <v>52</v>
      </c>
      <c r="W168" s="18">
        <v>45881.0</v>
      </c>
      <c r="X168" s="20">
        <v>0.4340277777777778</v>
      </c>
      <c r="Y168" s="18">
        <v>45881.0</v>
      </c>
      <c r="Z168" s="20">
        <v>0.5472222222222223</v>
      </c>
      <c r="AA168" s="20">
        <v>0.5520833333333334</v>
      </c>
      <c r="AB168" s="51">
        <v>0.5625</v>
      </c>
      <c r="AC168" s="51">
        <v>0.7013888888888888</v>
      </c>
      <c r="AD168" s="51">
        <v>0.7430555555555556</v>
      </c>
      <c r="AE168" s="18">
        <v>45881.0</v>
      </c>
      <c r="AF168" s="22" t="s">
        <v>53</v>
      </c>
      <c r="AG168" s="22" t="s">
        <v>392</v>
      </c>
      <c r="AH168" s="22" t="s">
        <v>1618</v>
      </c>
      <c r="AI168" s="26">
        <f t="shared" si="11"/>
        <v>0.1701388889</v>
      </c>
      <c r="AJ168" s="55">
        <f t="shared" si="9"/>
        <v>0</v>
      </c>
      <c r="AK168" s="28" t="str">
        <f t="shared" si="10"/>
        <v>Pass</v>
      </c>
    </row>
    <row r="169">
      <c r="A169" s="18">
        <v>45881.0</v>
      </c>
      <c r="B169" s="19"/>
      <c r="C169" s="18">
        <v>45881.0</v>
      </c>
      <c r="D169" s="20">
        <v>0.48194444444444445</v>
      </c>
      <c r="E169" s="22" t="s">
        <v>1619</v>
      </c>
      <c r="F169" s="22" t="s">
        <v>1620</v>
      </c>
      <c r="G169" s="22" t="s">
        <v>1621</v>
      </c>
      <c r="H169" s="22" t="s">
        <v>156</v>
      </c>
      <c r="I169" s="22" t="s">
        <v>131</v>
      </c>
      <c r="J169" s="22" t="s">
        <v>132</v>
      </c>
      <c r="K169" s="22" t="s">
        <v>43</v>
      </c>
      <c r="L169" s="22" t="s">
        <v>805</v>
      </c>
      <c r="M169" s="22" t="s">
        <v>1622</v>
      </c>
      <c r="N169" s="22" t="s">
        <v>1623</v>
      </c>
      <c r="O169" s="23" t="s">
        <v>1624</v>
      </c>
      <c r="P169" s="22" t="s">
        <v>75</v>
      </c>
      <c r="Q169" s="50" t="s">
        <v>65</v>
      </c>
      <c r="R169" s="22" t="s">
        <v>1625</v>
      </c>
      <c r="S169" s="22" t="s">
        <v>51</v>
      </c>
      <c r="T169" s="22" t="s">
        <v>964</v>
      </c>
      <c r="U169" s="22" t="s">
        <v>1626</v>
      </c>
      <c r="V169" s="22" t="s">
        <v>1627</v>
      </c>
      <c r="W169" s="18">
        <v>45881.0</v>
      </c>
      <c r="X169" s="20">
        <v>0.48194444444444445</v>
      </c>
      <c r="Y169" s="18">
        <v>45881.0</v>
      </c>
      <c r="Z169" s="20">
        <v>0.5451388888888888</v>
      </c>
      <c r="AA169" s="20">
        <v>0.6048611111111111</v>
      </c>
      <c r="AB169" s="51">
        <v>0.5451388888888888</v>
      </c>
      <c r="AC169" s="51">
        <v>0.6354166666666666</v>
      </c>
      <c r="AD169" s="51">
        <v>0.7243055555555555</v>
      </c>
      <c r="AE169" s="18">
        <v>45881.0</v>
      </c>
      <c r="AF169" s="22" t="s">
        <v>53</v>
      </c>
      <c r="AG169" s="22" t="s">
        <v>293</v>
      </c>
      <c r="AH169" s="22" t="s">
        <v>1628</v>
      </c>
      <c r="AI169" s="26">
        <f t="shared" si="11"/>
        <v>0.1520833333</v>
      </c>
      <c r="AJ169" s="55">
        <f t="shared" si="9"/>
        <v>0</v>
      </c>
      <c r="AK169" s="28" t="str">
        <f t="shared" si="10"/>
        <v>Pass</v>
      </c>
    </row>
    <row r="170">
      <c r="A170" s="32">
        <v>45881.0</v>
      </c>
      <c r="B170" s="19"/>
      <c r="C170" s="18">
        <v>45881.0</v>
      </c>
      <c r="D170" s="20">
        <v>0.47847222222222224</v>
      </c>
      <c r="E170" s="22" t="s">
        <v>1629</v>
      </c>
      <c r="F170" s="22" t="s">
        <v>1630</v>
      </c>
      <c r="G170" s="22" t="s">
        <v>1631</v>
      </c>
      <c r="H170" s="22" t="s">
        <v>746</v>
      </c>
      <c r="I170" s="22" t="s">
        <v>1632</v>
      </c>
      <c r="J170" s="22" t="s">
        <v>1136</v>
      </c>
      <c r="K170" s="22" t="s">
        <v>43</v>
      </c>
      <c r="L170" s="22" t="s">
        <v>675</v>
      </c>
      <c r="M170" s="22">
        <v>2.02203280014E11</v>
      </c>
      <c r="N170" s="22" t="s">
        <v>1633</v>
      </c>
      <c r="O170" s="23" t="s">
        <v>1634</v>
      </c>
      <c r="P170" s="22" t="s">
        <v>75</v>
      </c>
      <c r="Q170" s="50" t="s">
        <v>65</v>
      </c>
      <c r="R170" s="22" t="s">
        <v>1635</v>
      </c>
      <c r="S170" s="22" t="s">
        <v>51</v>
      </c>
      <c r="T170" s="22" t="s">
        <v>679</v>
      </c>
      <c r="U170" s="22">
        <v>2.02408290178E11</v>
      </c>
      <c r="V170" s="22">
        <v>2.02203280014E11</v>
      </c>
      <c r="W170" s="18">
        <v>45882.0</v>
      </c>
      <c r="X170" s="20">
        <v>0.3888888888888889</v>
      </c>
      <c r="Y170" s="18">
        <v>45882.0</v>
      </c>
      <c r="Z170" s="20">
        <v>0.40625</v>
      </c>
      <c r="AA170" s="20">
        <v>0.4166666666666667</v>
      </c>
      <c r="AB170" s="54"/>
      <c r="AC170" s="54"/>
      <c r="AD170" s="51">
        <v>0.4722222222222222</v>
      </c>
      <c r="AE170" s="18">
        <v>45882.0</v>
      </c>
      <c r="AF170" s="22" t="s">
        <v>53</v>
      </c>
      <c r="AG170" s="22" t="s">
        <v>583</v>
      </c>
      <c r="AH170" s="22" t="s">
        <v>1636</v>
      </c>
      <c r="AI170" s="26">
        <f t="shared" si="11"/>
        <v>0.08333333333</v>
      </c>
      <c r="AJ170" s="55">
        <f t="shared" si="9"/>
        <v>0</v>
      </c>
      <c r="AK170" s="28" t="str">
        <f t="shared" si="10"/>
        <v>Pass</v>
      </c>
    </row>
    <row r="171">
      <c r="A171" s="18">
        <v>45882.0</v>
      </c>
      <c r="B171" s="19"/>
      <c r="C171" s="18">
        <v>45882.0</v>
      </c>
      <c r="D171" s="20">
        <v>0.34375</v>
      </c>
      <c r="E171" s="22" t="s">
        <v>1637</v>
      </c>
      <c r="F171" s="22" t="s">
        <v>1620</v>
      </c>
      <c r="G171" s="22" t="s">
        <v>1621</v>
      </c>
      <c r="H171" s="22" t="s">
        <v>1638</v>
      </c>
      <c r="I171" s="22" t="s">
        <v>1326</v>
      </c>
      <c r="J171" s="22" t="s">
        <v>768</v>
      </c>
      <c r="K171" s="22" t="s">
        <v>769</v>
      </c>
      <c r="L171" s="22" t="s">
        <v>1327</v>
      </c>
      <c r="M171" s="22" t="s">
        <v>1639</v>
      </c>
      <c r="N171" s="22" t="s">
        <v>1640</v>
      </c>
      <c r="O171" s="23" t="s">
        <v>1641</v>
      </c>
      <c r="P171" s="22" t="s">
        <v>75</v>
      </c>
      <c r="Q171" s="50" t="s">
        <v>65</v>
      </c>
      <c r="R171" s="22" t="s">
        <v>1642</v>
      </c>
      <c r="S171" s="22" t="s">
        <v>51</v>
      </c>
      <c r="T171" s="22" t="s">
        <v>52</v>
      </c>
      <c r="U171" s="22" t="s">
        <v>52</v>
      </c>
      <c r="V171" s="22" t="s">
        <v>52</v>
      </c>
      <c r="W171" s="18">
        <v>45882.0</v>
      </c>
      <c r="X171" s="20">
        <v>0.34375</v>
      </c>
      <c r="Y171" s="18">
        <v>45882.0</v>
      </c>
      <c r="Z171" s="20">
        <v>0.4340277777777778</v>
      </c>
      <c r="AA171" s="20">
        <v>0.4479166666666667</v>
      </c>
      <c r="AB171" s="51">
        <v>0.4340277777777778</v>
      </c>
      <c r="AC171" s="51">
        <v>0.48819444444444443</v>
      </c>
      <c r="AD171" s="51">
        <v>0.5229166666666667</v>
      </c>
      <c r="AE171" s="18">
        <v>45882.0</v>
      </c>
      <c r="AF171" s="22" t="s">
        <v>53</v>
      </c>
      <c r="AG171" s="22" t="s">
        <v>293</v>
      </c>
      <c r="AH171" s="22" t="s">
        <v>1643</v>
      </c>
      <c r="AI171" s="26">
        <f t="shared" si="11"/>
        <v>0.125</v>
      </c>
      <c r="AJ171" s="55">
        <f t="shared" si="9"/>
        <v>0</v>
      </c>
      <c r="AK171" s="28" t="str">
        <f t="shared" si="10"/>
        <v>Pass</v>
      </c>
    </row>
    <row r="172">
      <c r="A172" s="18">
        <v>45876.0</v>
      </c>
      <c r="B172" s="19"/>
      <c r="C172" s="18">
        <v>45882.0</v>
      </c>
      <c r="D172" s="20">
        <v>0.41458333333333336</v>
      </c>
      <c r="E172" s="22" t="s">
        <v>1503</v>
      </c>
      <c r="F172" s="22" t="s">
        <v>1504</v>
      </c>
      <c r="G172" s="22" t="s">
        <v>1505</v>
      </c>
      <c r="H172" s="22" t="s">
        <v>343</v>
      </c>
      <c r="I172" s="22" t="s">
        <v>644</v>
      </c>
      <c r="J172" s="22" t="s">
        <v>644</v>
      </c>
      <c r="K172" s="22" t="s">
        <v>143</v>
      </c>
      <c r="L172" s="22" t="s">
        <v>1506</v>
      </c>
      <c r="M172" s="22" t="s">
        <v>1507</v>
      </c>
      <c r="N172" s="22" t="s">
        <v>1644</v>
      </c>
      <c r="O172" s="23" t="s">
        <v>1645</v>
      </c>
      <c r="P172" s="22" t="s">
        <v>187</v>
      </c>
      <c r="Q172" s="50" t="s">
        <v>65</v>
      </c>
      <c r="R172" s="22" t="s">
        <v>1646</v>
      </c>
      <c r="S172" s="22" t="s">
        <v>51</v>
      </c>
      <c r="T172" s="22" t="s">
        <v>52</v>
      </c>
      <c r="U172" s="22" t="s">
        <v>52</v>
      </c>
      <c r="V172" s="22" t="s">
        <v>52</v>
      </c>
      <c r="W172" s="18">
        <v>45882.0</v>
      </c>
      <c r="X172" s="20">
        <v>0.41458333333333336</v>
      </c>
      <c r="Y172" s="18">
        <v>45882.0</v>
      </c>
      <c r="Z172" s="20">
        <v>0.4965277777777778</v>
      </c>
      <c r="AA172" s="20">
        <v>0.5</v>
      </c>
      <c r="AB172" s="51">
        <v>0.6805555555555556</v>
      </c>
      <c r="AC172" s="51">
        <v>0.7048611111111112</v>
      </c>
      <c r="AD172" s="51">
        <v>0.7291666666666666</v>
      </c>
      <c r="AE172" s="18">
        <v>45882.0</v>
      </c>
      <c r="AF172" s="22" t="s">
        <v>53</v>
      </c>
      <c r="AG172" s="22" t="s">
        <v>879</v>
      </c>
      <c r="AH172" s="22" t="s">
        <v>1512</v>
      </c>
      <c r="AI172" s="26">
        <f t="shared" si="11"/>
        <v>0.2902777778</v>
      </c>
      <c r="AJ172" s="55">
        <f t="shared" si="9"/>
        <v>0</v>
      </c>
      <c r="AK172" s="28" t="str">
        <f t="shared" si="10"/>
        <v>Pass</v>
      </c>
    </row>
    <row r="173">
      <c r="A173" s="18">
        <v>45882.0</v>
      </c>
      <c r="B173" s="19"/>
      <c r="C173" s="18">
        <v>45882.0</v>
      </c>
      <c r="D173" s="20">
        <v>0.46111111111111114</v>
      </c>
      <c r="E173" s="22" t="s">
        <v>1647</v>
      </c>
      <c r="F173" s="22" t="s">
        <v>1648</v>
      </c>
      <c r="G173" s="22" t="s">
        <v>1649</v>
      </c>
      <c r="H173" s="22" t="s">
        <v>566</v>
      </c>
      <c r="I173" s="22" t="s">
        <v>1055</v>
      </c>
      <c r="J173" s="22" t="s">
        <v>1056</v>
      </c>
      <c r="K173" s="22" t="s">
        <v>635</v>
      </c>
      <c r="L173" s="22" t="s">
        <v>664</v>
      </c>
      <c r="M173" s="22" t="s">
        <v>1650</v>
      </c>
      <c r="N173" s="22" t="s">
        <v>1651</v>
      </c>
      <c r="O173" s="23" t="s">
        <v>1652</v>
      </c>
      <c r="P173" s="22" t="s">
        <v>48</v>
      </c>
      <c r="Q173" s="50" t="s">
        <v>65</v>
      </c>
      <c r="R173" s="22" t="s">
        <v>1653</v>
      </c>
      <c r="S173" s="22" t="s">
        <v>51</v>
      </c>
      <c r="T173" s="22" t="s">
        <v>52</v>
      </c>
      <c r="U173" s="22" t="s">
        <v>52</v>
      </c>
      <c r="V173" s="22" t="s">
        <v>52</v>
      </c>
      <c r="W173" s="18">
        <v>45882.0</v>
      </c>
      <c r="X173" s="20">
        <v>0.46111111111111114</v>
      </c>
      <c r="Y173" s="18">
        <v>45882.0</v>
      </c>
      <c r="Z173" s="20">
        <v>0.5520833333333334</v>
      </c>
      <c r="AA173" s="20">
        <v>0.5555555555555556</v>
      </c>
      <c r="AB173" s="54"/>
      <c r="AC173" s="54"/>
      <c r="AD173" s="51">
        <v>0.5798611111111112</v>
      </c>
      <c r="AE173" s="18">
        <v>45882.0</v>
      </c>
      <c r="AF173" s="22" t="s">
        <v>53</v>
      </c>
      <c r="AG173" s="22" t="s">
        <v>162</v>
      </c>
      <c r="AH173" s="22" t="s">
        <v>1654</v>
      </c>
      <c r="AI173" s="26">
        <f t="shared" si="11"/>
        <v>0.11875</v>
      </c>
      <c r="AJ173" s="55">
        <f t="shared" si="9"/>
        <v>0</v>
      </c>
      <c r="AK173" s="28" t="str">
        <f t="shared" si="10"/>
        <v>Pass</v>
      </c>
    </row>
    <row r="174">
      <c r="A174" s="18">
        <v>45882.0</v>
      </c>
      <c r="B174" s="19"/>
      <c r="C174" s="18">
        <v>45882.0</v>
      </c>
      <c r="D174" s="20">
        <v>0.6069444444444444</v>
      </c>
      <c r="E174" s="22" t="s">
        <v>1655</v>
      </c>
      <c r="F174" s="22" t="s">
        <v>1656</v>
      </c>
      <c r="G174" s="22" t="s">
        <v>1657</v>
      </c>
      <c r="H174" s="22" t="s">
        <v>142</v>
      </c>
      <c r="I174" s="22" t="s">
        <v>644</v>
      </c>
      <c r="J174" s="22" t="s">
        <v>644</v>
      </c>
      <c r="K174" s="22" t="s">
        <v>143</v>
      </c>
      <c r="L174" s="22" t="s">
        <v>52</v>
      </c>
      <c r="M174" s="22" t="s">
        <v>1658</v>
      </c>
      <c r="N174" s="22" t="s">
        <v>1659</v>
      </c>
      <c r="O174" s="23" t="s">
        <v>1660</v>
      </c>
      <c r="P174" s="22" t="s">
        <v>75</v>
      </c>
      <c r="Q174" s="50" t="s">
        <v>198</v>
      </c>
      <c r="R174" s="22" t="s">
        <v>1661</v>
      </c>
      <c r="S174" s="22" t="s">
        <v>51</v>
      </c>
      <c r="T174" s="22" t="s">
        <v>52</v>
      </c>
      <c r="U174" s="22" t="s">
        <v>52</v>
      </c>
      <c r="V174" s="22" t="s">
        <v>52</v>
      </c>
      <c r="W174" s="18">
        <v>45882.0</v>
      </c>
      <c r="X174" s="20">
        <v>0.6069444444444444</v>
      </c>
      <c r="Y174" s="18">
        <v>45882.0</v>
      </c>
      <c r="Z174" s="20">
        <v>0.6590277777777778</v>
      </c>
      <c r="AA174" s="20">
        <v>0.6625</v>
      </c>
      <c r="AB174" s="51">
        <v>0.6875</v>
      </c>
      <c r="AC174" s="51">
        <v>0.7291666666666666</v>
      </c>
      <c r="AD174" s="51">
        <v>0.7736111111111111</v>
      </c>
      <c r="AE174" s="18">
        <v>45882.0</v>
      </c>
      <c r="AF174" s="22" t="s">
        <v>53</v>
      </c>
      <c r="AG174" s="22" t="s">
        <v>293</v>
      </c>
      <c r="AH174" s="22" t="s">
        <v>1662</v>
      </c>
      <c r="AI174" s="26">
        <f t="shared" si="11"/>
        <v>0.125</v>
      </c>
      <c r="AJ174" s="55">
        <f t="shared" si="9"/>
        <v>0</v>
      </c>
      <c r="AK174" s="28" t="str">
        <f t="shared" si="10"/>
        <v>Pass</v>
      </c>
    </row>
    <row r="175">
      <c r="A175" s="18">
        <v>45882.0</v>
      </c>
      <c r="B175" s="19"/>
      <c r="C175" s="18">
        <v>45882.0</v>
      </c>
      <c r="D175" s="20">
        <v>0.6861111111111111</v>
      </c>
      <c r="E175" s="22" t="s">
        <v>1663</v>
      </c>
      <c r="F175" s="22" t="s">
        <v>1664</v>
      </c>
      <c r="G175" s="22" t="s">
        <v>1665</v>
      </c>
      <c r="H175" s="22" t="s">
        <v>746</v>
      </c>
      <c r="I175" s="22" t="s">
        <v>1178</v>
      </c>
      <c r="J175" s="22" t="s">
        <v>1136</v>
      </c>
      <c r="K175" s="22" t="s">
        <v>43</v>
      </c>
      <c r="L175" s="22" t="s">
        <v>1666</v>
      </c>
      <c r="M175" s="22">
        <v>2.02405020218E11</v>
      </c>
      <c r="N175" s="22" t="s">
        <v>1667</v>
      </c>
      <c r="O175" s="23" t="s">
        <v>1668</v>
      </c>
      <c r="P175" s="22" t="s">
        <v>75</v>
      </c>
      <c r="Q175" s="50" t="s">
        <v>65</v>
      </c>
      <c r="R175" s="22" t="s">
        <v>1669</v>
      </c>
      <c r="S175" s="22" t="s">
        <v>51</v>
      </c>
      <c r="T175" s="22" t="s">
        <v>52</v>
      </c>
      <c r="U175" s="22" t="s">
        <v>52</v>
      </c>
      <c r="V175" s="22" t="s">
        <v>52</v>
      </c>
      <c r="W175" s="18">
        <v>45882.0</v>
      </c>
      <c r="X175" s="20">
        <v>0.6861111111111111</v>
      </c>
      <c r="Y175" s="18">
        <v>45882.0</v>
      </c>
      <c r="Z175" s="20">
        <v>0.7291666666666666</v>
      </c>
      <c r="AA175" s="20">
        <v>0.7326388888888888</v>
      </c>
      <c r="AB175" s="54"/>
      <c r="AC175" s="54"/>
      <c r="AD175" s="51">
        <v>0.7395833333333334</v>
      </c>
      <c r="AE175" s="18">
        <v>45882.0</v>
      </c>
      <c r="AF175" s="22" t="s">
        <v>53</v>
      </c>
      <c r="AG175" s="22" t="s">
        <v>1582</v>
      </c>
      <c r="AH175" s="22" t="s">
        <v>1670</v>
      </c>
      <c r="AI175" s="26">
        <f t="shared" si="11"/>
        <v>0.05347222222</v>
      </c>
      <c r="AJ175" s="55">
        <f t="shared" si="9"/>
        <v>0</v>
      </c>
      <c r="AK175" s="28" t="str">
        <f t="shared" si="10"/>
        <v>Pass</v>
      </c>
    </row>
    <row r="176">
      <c r="A176" s="18">
        <v>45882.0</v>
      </c>
      <c r="B176" s="19"/>
      <c r="C176" s="18">
        <v>45882.0</v>
      </c>
      <c r="D176" s="20">
        <v>0.8</v>
      </c>
      <c r="E176" s="22" t="s">
        <v>1671</v>
      </c>
      <c r="F176" s="22" t="s">
        <v>287</v>
      </c>
      <c r="G176" s="22" t="s">
        <v>288</v>
      </c>
      <c r="H176" s="22" t="s">
        <v>40</v>
      </c>
      <c r="I176" s="22" t="s">
        <v>60</v>
      </c>
      <c r="J176" s="22" t="s">
        <v>42</v>
      </c>
      <c r="K176" s="22" t="s">
        <v>61</v>
      </c>
      <c r="L176" s="22" t="s">
        <v>757</v>
      </c>
      <c r="M176" s="22" t="s">
        <v>1672</v>
      </c>
      <c r="N176" s="22" t="s">
        <v>1673</v>
      </c>
      <c r="O176" s="23" t="s">
        <v>1674</v>
      </c>
      <c r="P176" s="22" t="s">
        <v>75</v>
      </c>
      <c r="Q176" s="50" t="s">
        <v>65</v>
      </c>
      <c r="R176" s="22" t="s">
        <v>1675</v>
      </c>
      <c r="S176" s="22" t="s">
        <v>51</v>
      </c>
      <c r="T176" s="22" t="s">
        <v>52</v>
      </c>
      <c r="U176" s="22" t="s">
        <v>52</v>
      </c>
      <c r="V176" s="22" t="s">
        <v>52</v>
      </c>
      <c r="W176" s="18">
        <v>45882.0</v>
      </c>
      <c r="X176" s="20">
        <v>0.8048611111111111</v>
      </c>
      <c r="Y176" s="18">
        <v>45882.0</v>
      </c>
      <c r="Z176" s="20">
        <v>0.8541666666666666</v>
      </c>
      <c r="AA176" s="20">
        <v>0.8576388888888888</v>
      </c>
      <c r="AB176" s="51">
        <v>0.8819444444444444</v>
      </c>
      <c r="AC176" s="51">
        <v>0.9027777777777778</v>
      </c>
      <c r="AD176" s="51">
        <v>0.9097222222222222</v>
      </c>
      <c r="AE176" s="18">
        <v>45882.0</v>
      </c>
      <c r="AF176" s="22" t="s">
        <v>53</v>
      </c>
      <c r="AG176" s="22" t="s">
        <v>1582</v>
      </c>
      <c r="AH176" s="22" t="s">
        <v>1676</v>
      </c>
      <c r="AI176" s="26">
        <f t="shared" si="11"/>
        <v>0.08402777778</v>
      </c>
      <c r="AJ176" s="55">
        <f t="shared" si="9"/>
        <v>0</v>
      </c>
      <c r="AK176" s="28" t="str">
        <f t="shared" si="10"/>
        <v>Pass</v>
      </c>
    </row>
    <row r="177">
      <c r="A177" s="45">
        <v>45882.0</v>
      </c>
      <c r="B177" s="46"/>
      <c r="C177" s="45">
        <v>45882.0</v>
      </c>
      <c r="D177" s="49">
        <v>0.8263888888888888</v>
      </c>
      <c r="E177" s="21" t="s">
        <v>1677</v>
      </c>
      <c r="F177" s="21" t="s">
        <v>989</v>
      </c>
      <c r="G177" s="21" t="s">
        <v>990</v>
      </c>
      <c r="H177" s="21" t="s">
        <v>419</v>
      </c>
      <c r="I177" s="21" t="s">
        <v>41</v>
      </c>
      <c r="J177" s="21" t="s">
        <v>42</v>
      </c>
      <c r="K177" s="21" t="s">
        <v>1212</v>
      </c>
      <c r="L177" s="21" t="s">
        <v>183</v>
      </c>
      <c r="M177" s="21" t="s">
        <v>1678</v>
      </c>
      <c r="N177" s="21" t="s">
        <v>1679</v>
      </c>
      <c r="O177" s="48" t="s">
        <v>1680</v>
      </c>
      <c r="P177" s="21" t="s">
        <v>48</v>
      </c>
      <c r="Q177" s="24" t="s">
        <v>49</v>
      </c>
      <c r="R177" s="21" t="s">
        <v>1681</v>
      </c>
      <c r="S177" s="21" t="s">
        <v>51</v>
      </c>
      <c r="T177" s="21" t="s">
        <v>52</v>
      </c>
      <c r="U177" s="21" t="s">
        <v>52</v>
      </c>
      <c r="V177" s="21" t="s">
        <v>52</v>
      </c>
      <c r="W177" s="45">
        <v>45882.0</v>
      </c>
      <c r="X177" s="49">
        <v>0.8590277777777777</v>
      </c>
      <c r="Y177" s="45">
        <v>45882.0</v>
      </c>
      <c r="Z177" s="49">
        <v>0.9027777777777778</v>
      </c>
      <c r="AA177" s="49">
        <v>0.9097222222222222</v>
      </c>
      <c r="AB177" s="25">
        <v>0.9166666666666666</v>
      </c>
      <c r="AC177" s="25">
        <v>0.9583333333333334</v>
      </c>
      <c r="AD177" s="25">
        <v>0.9583333333333334</v>
      </c>
      <c r="AE177" s="45">
        <v>45882.0</v>
      </c>
      <c r="AF177" s="21" t="s">
        <v>53</v>
      </c>
      <c r="AG177" s="21" t="s">
        <v>78</v>
      </c>
      <c r="AH177" s="21" t="s">
        <v>1682</v>
      </c>
      <c r="AI177" s="62">
        <f t="shared" si="11"/>
        <v>0.05763888889</v>
      </c>
      <c r="AJ177" s="27">
        <f t="shared" si="9"/>
        <v>0</v>
      </c>
      <c r="AK177" s="63" t="str">
        <f t="shared" si="10"/>
        <v>Pass</v>
      </c>
    </row>
    <row r="178">
      <c r="A178" s="68">
        <v>45883.0</v>
      </c>
      <c r="B178" s="46"/>
      <c r="C178" s="45">
        <v>45883.0</v>
      </c>
      <c r="D178" s="20">
        <v>0.325</v>
      </c>
      <c r="E178" s="22" t="s">
        <v>1683</v>
      </c>
      <c r="F178" s="21" t="s">
        <v>1192</v>
      </c>
      <c r="G178" s="21" t="s">
        <v>1193</v>
      </c>
      <c r="H178" s="22" t="s">
        <v>244</v>
      </c>
      <c r="I178" s="22" t="s">
        <v>234</v>
      </c>
      <c r="J178" s="22" t="s">
        <v>42</v>
      </c>
      <c r="K178" s="22" t="s">
        <v>61</v>
      </c>
      <c r="L178" s="22" t="s">
        <v>1684</v>
      </c>
      <c r="M178" s="22" t="s">
        <v>1685</v>
      </c>
      <c r="N178" s="22" t="s">
        <v>1686</v>
      </c>
      <c r="O178" s="23" t="s">
        <v>1687</v>
      </c>
      <c r="P178" s="22" t="s">
        <v>48</v>
      </c>
      <c r="Q178" s="24" t="s">
        <v>65</v>
      </c>
      <c r="R178" s="22" t="s">
        <v>1688</v>
      </c>
      <c r="S178" s="22" t="s">
        <v>51</v>
      </c>
      <c r="T178" s="21" t="s">
        <v>52</v>
      </c>
      <c r="U178" s="21" t="s">
        <v>52</v>
      </c>
      <c r="V178" s="21" t="s">
        <v>52</v>
      </c>
      <c r="W178" s="18">
        <v>45883.0</v>
      </c>
      <c r="X178" s="20">
        <v>0.325</v>
      </c>
      <c r="Y178" s="45">
        <v>45883.0</v>
      </c>
      <c r="Z178" s="20">
        <v>0.4354166666666667</v>
      </c>
      <c r="AA178" s="20">
        <v>0.4375</v>
      </c>
      <c r="AB178" s="29"/>
      <c r="AC178" s="29"/>
      <c r="AD178" s="25">
        <v>0.4618055555555556</v>
      </c>
      <c r="AE178" s="69"/>
      <c r="AF178" s="21" t="s">
        <v>53</v>
      </c>
      <c r="AG178" s="22" t="s">
        <v>1689</v>
      </c>
      <c r="AH178" s="22" t="s">
        <v>1690</v>
      </c>
      <c r="AI178" s="26">
        <f t="shared" si="11"/>
        <v>0.1368055556</v>
      </c>
      <c r="AJ178" s="55">
        <f t="shared" si="9"/>
        <v>0</v>
      </c>
      <c r="AK178" s="28" t="str">
        <f t="shared" si="10"/>
        <v>Pass</v>
      </c>
    </row>
    <row r="179">
      <c r="A179" s="45">
        <v>45883.0</v>
      </c>
      <c r="B179" s="46"/>
      <c r="C179" s="45">
        <v>45883.0</v>
      </c>
      <c r="D179" s="20">
        <v>0.37430555555555556</v>
      </c>
      <c r="E179" s="22" t="s">
        <v>1691</v>
      </c>
      <c r="F179" s="21" t="s">
        <v>1391</v>
      </c>
      <c r="G179" s="21" t="s">
        <v>1392</v>
      </c>
      <c r="H179" s="22" t="s">
        <v>855</v>
      </c>
      <c r="I179" s="22" t="s">
        <v>60</v>
      </c>
      <c r="J179" s="22" t="s">
        <v>42</v>
      </c>
      <c r="K179" s="22" t="s">
        <v>43</v>
      </c>
      <c r="L179" s="22" t="s">
        <v>44</v>
      </c>
      <c r="M179" s="22" t="s">
        <v>1692</v>
      </c>
      <c r="N179" s="22" t="s">
        <v>1693</v>
      </c>
      <c r="O179" s="23" t="s">
        <v>1694</v>
      </c>
      <c r="P179" s="22" t="s">
        <v>48</v>
      </c>
      <c r="Q179" s="24" t="s">
        <v>65</v>
      </c>
      <c r="R179" s="22" t="s">
        <v>1688</v>
      </c>
      <c r="S179" s="22" t="s">
        <v>51</v>
      </c>
      <c r="T179" s="21" t="s">
        <v>52</v>
      </c>
      <c r="U179" s="21" t="s">
        <v>52</v>
      </c>
      <c r="V179" s="21" t="s">
        <v>52</v>
      </c>
      <c r="W179" s="18">
        <v>45883.0</v>
      </c>
      <c r="X179" s="20">
        <v>0.37430555555555556</v>
      </c>
      <c r="Y179" s="45">
        <v>45883.0</v>
      </c>
      <c r="Z179" s="20">
        <v>0.4673611111111111</v>
      </c>
      <c r="AA179" s="20">
        <v>0.46875</v>
      </c>
      <c r="AB179" s="29"/>
      <c r="AC179" s="29"/>
      <c r="AD179" s="25">
        <v>0.4826388888888889</v>
      </c>
      <c r="AE179" s="45">
        <v>45883.0</v>
      </c>
      <c r="AF179" s="21" t="s">
        <v>53</v>
      </c>
      <c r="AG179" s="22" t="s">
        <v>1689</v>
      </c>
      <c r="AH179" s="22" t="s">
        <v>1695</v>
      </c>
      <c r="AI179" s="26">
        <f t="shared" si="11"/>
        <v>0.1083333333</v>
      </c>
      <c r="AJ179" s="55">
        <f t="shared" si="9"/>
        <v>0</v>
      </c>
      <c r="AK179" s="28" t="str">
        <f t="shared" si="10"/>
        <v>Pass</v>
      </c>
    </row>
    <row r="180">
      <c r="A180" s="45">
        <v>45883.0</v>
      </c>
      <c r="B180" s="46"/>
      <c r="C180" s="45">
        <v>45883.0</v>
      </c>
      <c r="D180" s="49">
        <v>0.5861111111111111</v>
      </c>
      <c r="E180" s="21" t="s">
        <v>1696</v>
      </c>
      <c r="F180" s="21" t="s">
        <v>1697</v>
      </c>
      <c r="G180" s="21" t="s">
        <v>1698</v>
      </c>
      <c r="H180" s="21" t="s">
        <v>756</v>
      </c>
      <c r="I180" s="21" t="s">
        <v>234</v>
      </c>
      <c r="J180" s="21" t="s">
        <v>42</v>
      </c>
      <c r="K180" s="21" t="s">
        <v>61</v>
      </c>
      <c r="L180" s="21" t="s">
        <v>1699</v>
      </c>
      <c r="M180" s="21" t="s">
        <v>1700</v>
      </c>
      <c r="N180" s="21" t="s">
        <v>1701</v>
      </c>
      <c r="O180" s="48" t="s">
        <v>1702</v>
      </c>
      <c r="P180" s="21" t="s">
        <v>75</v>
      </c>
      <c r="Q180" s="24" t="s">
        <v>65</v>
      </c>
      <c r="R180" s="21" t="s">
        <v>1703</v>
      </c>
      <c r="S180" s="21" t="s">
        <v>51</v>
      </c>
      <c r="T180" s="21" t="s">
        <v>52</v>
      </c>
      <c r="U180" s="21" t="s">
        <v>52</v>
      </c>
      <c r="V180" s="21" t="s">
        <v>52</v>
      </c>
      <c r="W180" s="45">
        <v>45883.0</v>
      </c>
      <c r="X180" s="49">
        <v>0.5958333333333333</v>
      </c>
      <c r="Y180" s="45">
        <v>45883.0</v>
      </c>
      <c r="Z180" s="49">
        <v>0.7194444444444444</v>
      </c>
      <c r="AA180" s="49">
        <v>0.7256944444444444</v>
      </c>
      <c r="AB180" s="29"/>
      <c r="AC180" s="29"/>
      <c r="AD180" s="25">
        <v>0.7569444444444444</v>
      </c>
      <c r="AE180" s="45">
        <v>45883.0</v>
      </c>
      <c r="AF180" s="21" t="s">
        <v>53</v>
      </c>
      <c r="AG180" s="21" t="s">
        <v>102</v>
      </c>
      <c r="AH180" s="21" t="s">
        <v>1704</v>
      </c>
      <c r="AI180" s="62">
        <f t="shared" si="11"/>
        <v>0.1611111111</v>
      </c>
      <c r="AJ180" s="27">
        <f t="shared" si="9"/>
        <v>0</v>
      </c>
      <c r="AK180" s="63" t="str">
        <f t="shared" si="10"/>
        <v>Pass</v>
      </c>
    </row>
    <row r="181">
      <c r="A181" s="45">
        <v>45883.0</v>
      </c>
      <c r="B181" s="46"/>
      <c r="C181" s="45">
        <v>45883.0</v>
      </c>
      <c r="D181" s="49">
        <v>0.6208333333333333</v>
      </c>
      <c r="E181" s="21" t="s">
        <v>1705</v>
      </c>
      <c r="F181" s="21" t="s">
        <v>1706</v>
      </c>
      <c r="G181" s="21" t="s">
        <v>1707</v>
      </c>
      <c r="H181" s="21" t="s">
        <v>130</v>
      </c>
      <c r="I181" s="21" t="s">
        <v>194</v>
      </c>
      <c r="J181" s="21" t="s">
        <v>195</v>
      </c>
      <c r="K181" s="21" t="s">
        <v>411</v>
      </c>
      <c r="L181" s="21" t="s">
        <v>1708</v>
      </c>
      <c r="M181" s="21" t="s">
        <v>1709</v>
      </c>
      <c r="N181" s="21" t="s">
        <v>1710</v>
      </c>
      <c r="O181" s="48" t="s">
        <v>1711</v>
      </c>
      <c r="P181" s="21" t="s">
        <v>75</v>
      </c>
      <c r="Q181" s="24" t="s">
        <v>65</v>
      </c>
      <c r="R181" s="21" t="s">
        <v>1712</v>
      </c>
      <c r="S181" s="21" t="s">
        <v>51</v>
      </c>
      <c r="T181" s="21" t="s">
        <v>964</v>
      </c>
      <c r="U181" s="21" t="s">
        <v>1713</v>
      </c>
      <c r="V181" s="21" t="s">
        <v>1714</v>
      </c>
      <c r="W181" s="45">
        <v>45883.0</v>
      </c>
      <c r="X181" s="49">
        <v>0.6208333333333333</v>
      </c>
      <c r="Y181" s="45">
        <v>45883.0</v>
      </c>
      <c r="Z181" s="49">
        <v>0.6833333333333333</v>
      </c>
      <c r="AA181" s="49">
        <v>0.6861111111111111</v>
      </c>
      <c r="AB181" s="29"/>
      <c r="AC181" s="29"/>
      <c r="AD181" s="25">
        <v>0.7138888888888889</v>
      </c>
      <c r="AE181" s="45">
        <v>45883.0</v>
      </c>
      <c r="AF181" s="21" t="s">
        <v>53</v>
      </c>
      <c r="AG181" s="21" t="s">
        <v>293</v>
      </c>
      <c r="AH181" s="21" t="s">
        <v>1715</v>
      </c>
      <c r="AI181" s="62">
        <f t="shared" si="11"/>
        <v>0.09305555556</v>
      </c>
      <c r="AJ181" s="27">
        <f t="shared" si="9"/>
        <v>0</v>
      </c>
      <c r="AK181" s="63" t="str">
        <f t="shared" si="10"/>
        <v>Pass</v>
      </c>
    </row>
    <row r="182">
      <c r="A182" s="18">
        <v>45883.0</v>
      </c>
      <c r="B182" s="19"/>
      <c r="C182" s="18">
        <v>45883.0</v>
      </c>
      <c r="D182" s="20">
        <v>0.6819444444444445</v>
      </c>
      <c r="E182" s="22" t="s">
        <v>1716</v>
      </c>
      <c r="F182" s="22" t="s">
        <v>251</v>
      </c>
      <c r="G182" s="22" t="s">
        <v>1717</v>
      </c>
      <c r="H182" s="22" t="s">
        <v>746</v>
      </c>
      <c r="I182" s="22" t="s">
        <v>107</v>
      </c>
      <c r="J182" s="22" t="s">
        <v>1136</v>
      </c>
      <c r="K182" s="22" t="s">
        <v>43</v>
      </c>
      <c r="L182" s="22" t="s">
        <v>805</v>
      </c>
      <c r="M182" s="22" t="s">
        <v>1718</v>
      </c>
      <c r="N182" s="22" t="s">
        <v>1719</v>
      </c>
      <c r="O182" s="23" t="s">
        <v>1720</v>
      </c>
      <c r="P182" s="22" t="s">
        <v>75</v>
      </c>
      <c r="Q182" s="50" t="s">
        <v>65</v>
      </c>
      <c r="R182" s="22" t="s">
        <v>1721</v>
      </c>
      <c r="S182" s="22" t="s">
        <v>51</v>
      </c>
      <c r="T182" s="22" t="s">
        <v>52</v>
      </c>
      <c r="U182" s="22" t="s">
        <v>52</v>
      </c>
      <c r="V182" s="22" t="s">
        <v>52</v>
      </c>
      <c r="W182" s="18">
        <v>45883.0</v>
      </c>
      <c r="X182" s="20">
        <v>0.6868055555555556</v>
      </c>
      <c r="Y182" s="18">
        <v>45883.0</v>
      </c>
      <c r="Z182" s="20">
        <v>0.7319444444444444</v>
      </c>
      <c r="AA182" s="20">
        <v>0.7333333333333333</v>
      </c>
      <c r="AB182" s="54"/>
      <c r="AC182" s="54"/>
      <c r="AD182" s="51">
        <v>0.7916666666666666</v>
      </c>
      <c r="AE182" s="18">
        <v>45883.0</v>
      </c>
      <c r="AF182" s="22" t="s">
        <v>53</v>
      </c>
      <c r="AG182" s="22" t="s">
        <v>313</v>
      </c>
      <c r="AH182" s="22" t="s">
        <v>1722</v>
      </c>
      <c r="AI182" s="26">
        <f t="shared" si="11"/>
        <v>0.1048611111</v>
      </c>
      <c r="AJ182" s="55">
        <f t="shared" si="9"/>
        <v>0</v>
      </c>
      <c r="AK182" s="28" t="str">
        <f t="shared" si="10"/>
        <v>Pass</v>
      </c>
    </row>
    <row r="183">
      <c r="A183" s="45">
        <v>45883.0</v>
      </c>
      <c r="B183" s="46"/>
      <c r="C183" s="45">
        <v>45883.0</v>
      </c>
      <c r="D183" s="20">
        <v>0.7166666666666667</v>
      </c>
      <c r="E183" s="22" t="s">
        <v>1723</v>
      </c>
      <c r="F183" s="21" t="s">
        <v>1724</v>
      </c>
      <c r="G183" s="21" t="s">
        <v>1725</v>
      </c>
      <c r="H183" s="22" t="s">
        <v>855</v>
      </c>
      <c r="I183" s="22" t="s">
        <v>644</v>
      </c>
      <c r="J183" s="22" t="s">
        <v>644</v>
      </c>
      <c r="K183" s="22" t="s">
        <v>333</v>
      </c>
      <c r="L183" s="22" t="s">
        <v>1726</v>
      </c>
      <c r="M183" s="22" t="s">
        <v>1727</v>
      </c>
      <c r="N183" s="22" t="s">
        <v>1728</v>
      </c>
      <c r="O183" s="23" t="s">
        <v>1729</v>
      </c>
      <c r="P183" s="22" t="s">
        <v>48</v>
      </c>
      <c r="Q183" s="24" t="s">
        <v>65</v>
      </c>
      <c r="R183" s="21" t="s">
        <v>1730</v>
      </c>
      <c r="S183" s="22" t="s">
        <v>51</v>
      </c>
      <c r="T183" s="21" t="s">
        <v>52</v>
      </c>
      <c r="U183" s="21" t="s">
        <v>52</v>
      </c>
      <c r="V183" s="21" t="s">
        <v>52</v>
      </c>
      <c r="W183" s="45">
        <v>45883.0</v>
      </c>
      <c r="X183" s="20">
        <v>0.7166666666666667</v>
      </c>
      <c r="Y183" s="45">
        <v>45883.0</v>
      </c>
      <c r="Z183" s="20">
        <v>0.7638888888888888</v>
      </c>
      <c r="AA183" s="20">
        <v>0.7652777777777777</v>
      </c>
      <c r="AB183" s="29"/>
      <c r="AC183" s="29"/>
      <c r="AD183" s="25">
        <v>0.8333333333333334</v>
      </c>
      <c r="AE183" s="45">
        <v>45883.0</v>
      </c>
      <c r="AF183" s="21" t="s">
        <v>53</v>
      </c>
      <c r="AG183" s="22" t="s">
        <v>1731</v>
      </c>
      <c r="AH183" s="22" t="s">
        <v>1732</v>
      </c>
      <c r="AI183" s="26">
        <f t="shared" ref="AI183:AI186" si="12">IF(OR(D183="", AD183=""), "",
   (AD183 - D183)
   - IF(AND(AB183&lt;&gt;"", AC183&lt;&gt;""), (AC183 - AB183), 0)
)</f>
        <v>0.1166666667</v>
      </c>
      <c r="AJ183" s="27">
        <f t="shared" si="9"/>
        <v>0</v>
      </c>
      <c r="AK183" s="28" t="str">
        <f t="shared" si="10"/>
        <v>Pass</v>
      </c>
    </row>
    <row r="184">
      <c r="A184" s="68">
        <v>45884.0</v>
      </c>
      <c r="B184" s="70"/>
      <c r="C184" s="68">
        <v>45884.0</v>
      </c>
      <c r="D184" s="71">
        <v>0.3798611111111111</v>
      </c>
      <c r="E184" s="35" t="s">
        <v>1733</v>
      </c>
      <c r="F184" s="35" t="s">
        <v>1734</v>
      </c>
      <c r="G184" s="35" t="s">
        <v>1735</v>
      </c>
      <c r="H184" s="35" t="s">
        <v>1287</v>
      </c>
      <c r="I184" s="35" t="s">
        <v>131</v>
      </c>
      <c r="J184" s="35" t="s">
        <v>132</v>
      </c>
      <c r="K184" s="35" t="s">
        <v>61</v>
      </c>
      <c r="L184" s="35" t="s">
        <v>1699</v>
      </c>
      <c r="M184" s="35" t="s">
        <v>1736</v>
      </c>
      <c r="N184" s="35" t="s">
        <v>1737</v>
      </c>
      <c r="O184" s="72" t="s">
        <v>1738</v>
      </c>
      <c r="P184" s="35" t="s">
        <v>75</v>
      </c>
      <c r="Q184" s="39" t="s">
        <v>65</v>
      </c>
      <c r="R184" s="35" t="s">
        <v>1739</v>
      </c>
      <c r="S184" s="35" t="s">
        <v>51</v>
      </c>
      <c r="T184" s="35" t="s">
        <v>657</v>
      </c>
      <c r="U184" s="35" t="s">
        <v>1740</v>
      </c>
      <c r="V184" s="35" t="s">
        <v>1736</v>
      </c>
      <c r="W184" s="68">
        <v>45884.0</v>
      </c>
      <c r="X184" s="71">
        <v>0.3909722222222222</v>
      </c>
      <c r="Y184" s="68">
        <v>45884.0</v>
      </c>
      <c r="Z184" s="71">
        <v>0.5465277777777777</v>
      </c>
      <c r="AA184" s="71">
        <v>0.5486111111111112</v>
      </c>
      <c r="AB184" s="40"/>
      <c r="AC184" s="40"/>
      <c r="AD184" s="41">
        <v>0.6847222222222222</v>
      </c>
      <c r="AE184" s="68">
        <v>45884.0</v>
      </c>
      <c r="AF184" s="35" t="s">
        <v>53</v>
      </c>
      <c r="AG184" s="35" t="s">
        <v>162</v>
      </c>
      <c r="AH184" s="35" t="s">
        <v>1741</v>
      </c>
      <c r="AI184" s="73">
        <f t="shared" si="12"/>
        <v>0.3048611111</v>
      </c>
      <c r="AJ184" s="43">
        <f t="shared" si="9"/>
        <v>0</v>
      </c>
      <c r="AK184" s="74" t="str">
        <f t="shared" si="10"/>
        <v>Pass</v>
      </c>
    </row>
    <row r="185">
      <c r="A185" s="18">
        <v>45884.0</v>
      </c>
      <c r="B185" s="19"/>
      <c r="C185" s="18">
        <v>45884.0</v>
      </c>
      <c r="D185" s="20">
        <v>0.5090277777777777</v>
      </c>
      <c r="E185" s="22" t="s">
        <v>1742</v>
      </c>
      <c r="F185" s="22" t="s">
        <v>1466</v>
      </c>
      <c r="G185" s="22" t="s">
        <v>1743</v>
      </c>
      <c r="H185" s="22" t="s">
        <v>1744</v>
      </c>
      <c r="I185" s="22" t="s">
        <v>1745</v>
      </c>
      <c r="J185" s="22" t="s">
        <v>1745</v>
      </c>
      <c r="K185" s="22" t="s">
        <v>1746</v>
      </c>
      <c r="L185" s="22" t="s">
        <v>1747</v>
      </c>
      <c r="M185" s="22" t="s">
        <v>1748</v>
      </c>
      <c r="N185" s="22" t="s">
        <v>1749</v>
      </c>
      <c r="O185" s="23" t="s">
        <v>1750</v>
      </c>
      <c r="P185" s="22" t="s">
        <v>48</v>
      </c>
      <c r="Q185" s="50" t="s">
        <v>65</v>
      </c>
      <c r="R185" s="22" t="s">
        <v>1751</v>
      </c>
      <c r="S185" s="22" t="s">
        <v>51</v>
      </c>
      <c r="T185" s="22" t="s">
        <v>52</v>
      </c>
      <c r="U185" s="22" t="s">
        <v>52</v>
      </c>
      <c r="V185" s="22" t="s">
        <v>52</v>
      </c>
      <c r="W185" s="18">
        <v>45884.0</v>
      </c>
      <c r="X185" s="20">
        <v>0.5090277777777777</v>
      </c>
      <c r="Y185" s="18">
        <v>45884.0</v>
      </c>
      <c r="Z185" s="20">
        <v>0.375</v>
      </c>
      <c r="AA185" s="20">
        <v>0.375</v>
      </c>
      <c r="AB185" s="54"/>
      <c r="AC185" s="54"/>
      <c r="AD185" s="51">
        <v>0.75</v>
      </c>
      <c r="AE185" s="18">
        <v>45884.0</v>
      </c>
      <c r="AF185" s="22" t="s">
        <v>53</v>
      </c>
      <c r="AG185" s="22" t="s">
        <v>1475</v>
      </c>
      <c r="AH185" s="22" t="s">
        <v>1476</v>
      </c>
      <c r="AI185" s="26">
        <f t="shared" si="12"/>
        <v>0.2409722222</v>
      </c>
      <c r="AJ185" s="55">
        <f t="shared" si="9"/>
        <v>0</v>
      </c>
      <c r="AK185" s="28" t="str">
        <f t="shared" si="10"/>
        <v>Pass</v>
      </c>
    </row>
    <row r="186">
      <c r="A186" s="45">
        <v>45884.0</v>
      </c>
      <c r="B186" s="46"/>
      <c r="C186" s="45">
        <v>45884.0</v>
      </c>
      <c r="D186" s="49">
        <v>0.55625</v>
      </c>
      <c r="E186" s="21" t="s">
        <v>1752</v>
      </c>
      <c r="F186" s="21" t="s">
        <v>268</v>
      </c>
      <c r="G186" s="21" t="s">
        <v>269</v>
      </c>
      <c r="H186" s="21" t="s">
        <v>1744</v>
      </c>
      <c r="I186" s="21" t="s">
        <v>1745</v>
      </c>
      <c r="J186" s="21" t="s">
        <v>1745</v>
      </c>
      <c r="K186" s="21" t="s">
        <v>1746</v>
      </c>
      <c r="L186" s="21" t="s">
        <v>1753</v>
      </c>
      <c r="M186" s="21" t="s">
        <v>1754</v>
      </c>
      <c r="N186" s="21" t="s">
        <v>1749</v>
      </c>
      <c r="O186" s="48" t="s">
        <v>1755</v>
      </c>
      <c r="P186" s="21" t="s">
        <v>48</v>
      </c>
      <c r="Q186" s="24" t="s">
        <v>65</v>
      </c>
      <c r="R186" s="21" t="s">
        <v>1756</v>
      </c>
      <c r="S186" s="21" t="s">
        <v>51</v>
      </c>
      <c r="T186" s="21" t="s">
        <v>52</v>
      </c>
      <c r="U186" s="21" t="s">
        <v>52</v>
      </c>
      <c r="V186" s="21" t="s">
        <v>52</v>
      </c>
      <c r="W186" s="45">
        <v>45884.0</v>
      </c>
      <c r="X186" s="49">
        <v>0.55625</v>
      </c>
      <c r="Y186" s="45">
        <v>45884.0</v>
      </c>
      <c r="Z186" s="49">
        <v>0.5743055555555555</v>
      </c>
      <c r="AA186" s="49">
        <v>0.5791666666666667</v>
      </c>
      <c r="AB186" s="29"/>
      <c r="AC186" s="29"/>
      <c r="AD186" s="25">
        <v>0.6013888888888889</v>
      </c>
      <c r="AE186" s="45">
        <v>45884.0</v>
      </c>
      <c r="AF186" s="21" t="s">
        <v>53</v>
      </c>
      <c r="AG186" s="21" t="s">
        <v>293</v>
      </c>
      <c r="AH186" s="21" t="s">
        <v>1757</v>
      </c>
      <c r="AI186" s="62">
        <f t="shared" si="12"/>
        <v>0.04513888889</v>
      </c>
      <c r="AJ186" s="27">
        <f t="shared" si="9"/>
        <v>0</v>
      </c>
      <c r="AK186" s="63" t="str">
        <f t="shared" si="10"/>
        <v>Pass</v>
      </c>
    </row>
    <row r="187">
      <c r="A187" s="32">
        <v>45881.0</v>
      </c>
      <c r="B187" s="19"/>
      <c r="C187" s="18">
        <v>45881.0</v>
      </c>
      <c r="D187" s="20">
        <v>0.48333333333333334</v>
      </c>
      <c r="E187" s="22" t="s">
        <v>1758</v>
      </c>
      <c r="F187" s="22" t="s">
        <v>1555</v>
      </c>
      <c r="G187" s="22" t="s">
        <v>1556</v>
      </c>
      <c r="H187" s="22" t="s">
        <v>566</v>
      </c>
      <c r="I187" s="22" t="s">
        <v>95</v>
      </c>
      <c r="J187" s="22" t="s">
        <v>95</v>
      </c>
      <c r="K187" s="22" t="s">
        <v>143</v>
      </c>
      <c r="L187" s="22" t="s">
        <v>606</v>
      </c>
      <c r="M187" s="22" t="s">
        <v>1759</v>
      </c>
      <c r="N187" s="22" t="s">
        <v>1760</v>
      </c>
      <c r="O187" s="23" t="s">
        <v>1761</v>
      </c>
      <c r="P187" s="22" t="s">
        <v>48</v>
      </c>
      <c r="Q187" s="50" t="s">
        <v>49</v>
      </c>
      <c r="R187" s="22" t="s">
        <v>1762</v>
      </c>
      <c r="S187" s="22" t="s">
        <v>51</v>
      </c>
      <c r="T187" s="22" t="s">
        <v>52</v>
      </c>
      <c r="U187" s="22" t="s">
        <v>52</v>
      </c>
      <c r="V187" s="22" t="s">
        <v>52</v>
      </c>
      <c r="W187" s="18">
        <v>45885.0</v>
      </c>
      <c r="X187" s="20">
        <v>0.9375</v>
      </c>
      <c r="Y187" s="18">
        <v>45885.0</v>
      </c>
      <c r="Z187" s="20">
        <v>0.9166666666666666</v>
      </c>
      <c r="AA187" s="20">
        <v>0.9583333333333334</v>
      </c>
      <c r="AB187" s="54"/>
      <c r="AC187" s="54"/>
      <c r="AD187" s="51">
        <v>0.08333333333333333</v>
      </c>
      <c r="AE187" s="18">
        <v>45886.0</v>
      </c>
      <c r="AF187" s="22" t="s">
        <v>53</v>
      </c>
      <c r="AG187" s="22" t="s">
        <v>1763</v>
      </c>
      <c r="AH187" s="22" t="s">
        <v>1764</v>
      </c>
      <c r="AI187" s="26" t="str">
        <f>IFERROR(__xludf.DUMMYFUNCTION("IF(OR(W187="""",X187="""",AE187="""",AD187=""""),"""",
   TEXT(
     (
       (AE187+AD187 + IF(AE187+AD187 &lt; W187+X187,1,0)) - (W187+X187)
     )
     - IF(AND(AB187&lt;&gt;"""",AC187&lt;&gt;""""), 
          SUM(ARRAYFORMULA(SPLIT(AC187,"","") - SPLIT(AB187,"",""))"&amp;"), 
          0
       ),
     ""[hh]:mm""
   )
)
"),"03:30")</f>
        <v>03:30</v>
      </c>
      <c r="AJ187" s="55">
        <f t="shared" si="9"/>
        <v>0</v>
      </c>
      <c r="AK187" s="28" t="str">
        <f t="shared" si="10"/>
        <v>Pass</v>
      </c>
    </row>
    <row r="188">
      <c r="A188" s="45">
        <v>45885.0</v>
      </c>
      <c r="B188" s="46"/>
      <c r="C188" s="45">
        <v>45885.0</v>
      </c>
      <c r="D188" s="49">
        <v>0.5756944444444444</v>
      </c>
      <c r="E188" s="21" t="s">
        <v>1765</v>
      </c>
      <c r="F188" s="21" t="s">
        <v>1766</v>
      </c>
      <c r="G188" s="21" t="s">
        <v>1767</v>
      </c>
      <c r="H188" s="21" t="s">
        <v>1287</v>
      </c>
      <c r="I188" s="21" t="s">
        <v>616</v>
      </c>
      <c r="J188" s="21" t="s">
        <v>132</v>
      </c>
      <c r="K188" s="21" t="s">
        <v>43</v>
      </c>
      <c r="L188" s="21" t="s">
        <v>805</v>
      </c>
      <c r="M188" s="21" t="s">
        <v>1768</v>
      </c>
      <c r="N188" s="21" t="s">
        <v>1769</v>
      </c>
      <c r="O188" s="48" t="s">
        <v>1770</v>
      </c>
      <c r="P188" s="21" t="s">
        <v>75</v>
      </c>
      <c r="Q188" s="24" t="s">
        <v>65</v>
      </c>
      <c r="R188" s="21" t="s">
        <v>1771</v>
      </c>
      <c r="S188" s="21" t="s">
        <v>51</v>
      </c>
      <c r="T188" s="21" t="s">
        <v>1772</v>
      </c>
      <c r="U188" s="21" t="s">
        <v>1773</v>
      </c>
      <c r="V188" s="21" t="s">
        <v>1768</v>
      </c>
      <c r="W188" s="45">
        <v>45885.0</v>
      </c>
      <c r="X188" s="49">
        <v>0.6069444444444444</v>
      </c>
      <c r="Y188" s="45">
        <v>45885.0</v>
      </c>
      <c r="Z188" s="49">
        <v>0.7083333333333334</v>
      </c>
      <c r="AA188" s="49">
        <v>0.7291666666666666</v>
      </c>
      <c r="AB188" s="25">
        <v>0.7361111111111112</v>
      </c>
      <c r="AC188" s="25">
        <v>0.8201388888888889</v>
      </c>
      <c r="AD188" s="25">
        <v>0.8541666666666666</v>
      </c>
      <c r="AE188" s="45">
        <v>45885.0</v>
      </c>
      <c r="AF188" s="21" t="s">
        <v>53</v>
      </c>
      <c r="AG188" s="21" t="s">
        <v>78</v>
      </c>
      <c r="AH188" s="21" t="s">
        <v>1774</v>
      </c>
      <c r="AI188" s="26" t="str">
        <f>IFERROR(__xludf.DUMMYFUNCTION("IF(OR(W188="""",X188="""",AE188="""",AD188=""""),"""",
   TEXT(
     (
       (AE188+AD188 + IF(AE188+AD188 &lt; W188+X188,1,0)) - (W188+X188)
     )
     - IF(AND(AB188&lt;&gt;"""",AC188&lt;&gt;""""), 
          SUM(ARRAYFORMULA(SPLIT(AC188,"","") - SPLIT(AB188,"",""))"&amp;"), 
          0
       ),
     ""[hh]:mm""
   )
)
"),"03:55")</f>
        <v>03:55</v>
      </c>
      <c r="AJ188" s="55">
        <f t="shared" si="9"/>
        <v>0</v>
      </c>
      <c r="AK188" s="28" t="str">
        <f t="shared" si="10"/>
        <v>Pass</v>
      </c>
    </row>
    <row r="189">
      <c r="A189" s="45">
        <v>45885.0</v>
      </c>
      <c r="B189" s="46"/>
      <c r="C189" s="45">
        <v>45885.0</v>
      </c>
      <c r="D189" s="49">
        <v>0.9375</v>
      </c>
      <c r="E189" s="21" t="s">
        <v>1775</v>
      </c>
      <c r="F189" s="22" t="s">
        <v>1555</v>
      </c>
      <c r="G189" s="22" t="s">
        <v>1556</v>
      </c>
      <c r="H189" s="21" t="s">
        <v>855</v>
      </c>
      <c r="I189" s="21" t="s">
        <v>856</v>
      </c>
      <c r="J189" s="21" t="s">
        <v>1084</v>
      </c>
      <c r="K189" s="21" t="s">
        <v>1776</v>
      </c>
      <c r="L189" s="21" t="s">
        <v>1777</v>
      </c>
      <c r="M189" s="21" t="s">
        <v>1778</v>
      </c>
      <c r="N189" s="21" t="s">
        <v>1779</v>
      </c>
      <c r="O189" s="48" t="s">
        <v>1780</v>
      </c>
      <c r="P189" s="21" t="s">
        <v>48</v>
      </c>
      <c r="Q189" s="24" t="s">
        <v>65</v>
      </c>
      <c r="R189" s="21" t="s">
        <v>1781</v>
      </c>
      <c r="S189" s="21" t="s">
        <v>51</v>
      </c>
      <c r="T189" s="21" t="s">
        <v>52</v>
      </c>
      <c r="U189" s="21" t="s">
        <v>52</v>
      </c>
      <c r="V189" s="21" t="s">
        <v>52</v>
      </c>
      <c r="W189" s="45">
        <v>45885.0</v>
      </c>
      <c r="X189" s="49">
        <v>0.9375</v>
      </c>
      <c r="Y189" s="45">
        <v>45885.0</v>
      </c>
      <c r="Z189" s="49">
        <v>0.9166666666666666</v>
      </c>
      <c r="AA189" s="49">
        <v>0.9583333333333334</v>
      </c>
      <c r="AB189" s="29"/>
      <c r="AC189" s="29"/>
      <c r="AD189" s="25">
        <v>0.08333333333333333</v>
      </c>
      <c r="AE189" s="45">
        <v>45886.0</v>
      </c>
      <c r="AF189" s="21" t="s">
        <v>53</v>
      </c>
      <c r="AG189" s="21" t="s">
        <v>1763</v>
      </c>
      <c r="AH189" s="21" t="s">
        <v>1764</v>
      </c>
      <c r="AI189" s="26" t="str">
        <f>IFERROR(__xludf.DUMMYFUNCTION("IF(OR(W189="""",X189="""",AE189="""",AD189=""""),"""",
   TEXT(
     (
       (AE189+AD189 + IF(AE189+AD189 &lt; W189+X189,1,0)) - (W189+X189)
     )
     - IF(AND(AB189&lt;&gt;"""",AC189&lt;&gt;""""), 
          SUM(ARRAYFORMULA(SPLIT(AC189,"","") - SPLIT(AB189,"",""))"&amp;"), 
          0
       ),
     ""[hh]:mm""
   )
)
"),"03:30")</f>
        <v>03:30</v>
      </c>
      <c r="AJ189" s="55">
        <f t="shared" si="9"/>
        <v>0</v>
      </c>
      <c r="AK189" s="28" t="str">
        <f t="shared" si="10"/>
        <v>Pass</v>
      </c>
    </row>
    <row r="190">
      <c r="A190" s="32">
        <v>45885.0</v>
      </c>
      <c r="B190" s="19"/>
      <c r="C190" s="18">
        <v>45885.0</v>
      </c>
      <c r="D190" s="20">
        <v>0.33541666666666664</v>
      </c>
      <c r="E190" s="22" t="s">
        <v>1782</v>
      </c>
      <c r="F190" s="22" t="s">
        <v>1783</v>
      </c>
      <c r="G190" s="22" t="s">
        <v>1784</v>
      </c>
      <c r="H190" s="22" t="s">
        <v>343</v>
      </c>
      <c r="I190" s="22" t="s">
        <v>644</v>
      </c>
      <c r="J190" s="22" t="s">
        <v>644</v>
      </c>
      <c r="K190" s="22" t="s">
        <v>143</v>
      </c>
      <c r="L190" s="22" t="s">
        <v>1785</v>
      </c>
      <c r="M190" s="22" t="s">
        <v>1786</v>
      </c>
      <c r="N190" s="22" t="s">
        <v>1787</v>
      </c>
      <c r="O190" s="23" t="s">
        <v>1788</v>
      </c>
      <c r="P190" s="22" t="s">
        <v>187</v>
      </c>
      <c r="Q190" s="50" t="s">
        <v>65</v>
      </c>
      <c r="R190" s="22" t="s">
        <v>1789</v>
      </c>
      <c r="S190" s="22" t="s">
        <v>51</v>
      </c>
      <c r="T190" s="22" t="s">
        <v>52</v>
      </c>
      <c r="U190" s="22" t="s">
        <v>52</v>
      </c>
      <c r="V190" s="22" t="s">
        <v>52</v>
      </c>
      <c r="W190" s="18">
        <v>45886.0</v>
      </c>
      <c r="X190" s="20">
        <v>0.25</v>
      </c>
      <c r="Y190" s="18">
        <v>45886.0</v>
      </c>
      <c r="Z190" s="20">
        <v>0.25</v>
      </c>
      <c r="AA190" s="20">
        <v>0.2569444444444444</v>
      </c>
      <c r="AB190" s="51">
        <v>0.3125</v>
      </c>
      <c r="AC190" s="51">
        <v>0.3541666666666667</v>
      </c>
      <c r="AD190" s="51">
        <v>0.4638888888888889</v>
      </c>
      <c r="AE190" s="18">
        <v>45886.0</v>
      </c>
      <c r="AF190" s="22" t="s">
        <v>53</v>
      </c>
      <c r="AG190" s="22" t="s">
        <v>293</v>
      </c>
      <c r="AH190" s="22" t="s">
        <v>1790</v>
      </c>
      <c r="AI190" s="26" t="str">
        <f>IFERROR(__xludf.DUMMYFUNCTION("IF(OR(W190="""",X190="""",AE190="""",AD190=""""),"""",
   TEXT(
     (
       (AE190+AD190 + IF(AE190+AD190 &lt; W190+X190,1,0)) - (W190+X190)
     )
     - IF(AND(AB190&lt;&gt;"""",AC190&lt;&gt;""""), 
          SUM(ARRAYFORMULA(SPLIT(AC190,"","") - SPLIT(AB190,"",""))"&amp;"), 
          0
       ),
     ""[hh]:mm""
   )
)
"),"04:08")</f>
        <v>04:08</v>
      </c>
      <c r="AJ190" s="55">
        <f t="shared" si="9"/>
        <v>0</v>
      </c>
      <c r="AK190" s="28" t="str">
        <f t="shared" si="10"/>
        <v>Pass</v>
      </c>
    </row>
    <row r="191">
      <c r="A191" s="45">
        <v>45886.0</v>
      </c>
      <c r="B191" s="46"/>
      <c r="C191" s="45">
        <v>45886.0</v>
      </c>
      <c r="D191" s="49">
        <v>0.6173611111111111</v>
      </c>
      <c r="E191" s="21" t="s">
        <v>1791</v>
      </c>
      <c r="F191" s="21" t="s">
        <v>1792</v>
      </c>
      <c r="G191" s="21" t="s">
        <v>1793</v>
      </c>
      <c r="H191" s="21" t="s">
        <v>130</v>
      </c>
      <c r="I191" s="21" t="s">
        <v>616</v>
      </c>
      <c r="J191" s="21" t="s">
        <v>132</v>
      </c>
      <c r="K191" s="21" t="s">
        <v>43</v>
      </c>
      <c r="L191" s="21" t="s">
        <v>1794</v>
      </c>
      <c r="M191" s="21" t="s">
        <v>1795</v>
      </c>
      <c r="N191" s="21" t="s">
        <v>1796</v>
      </c>
      <c r="O191" s="48" t="s">
        <v>1797</v>
      </c>
      <c r="P191" s="21" t="s">
        <v>75</v>
      </c>
      <c r="Q191" s="24" t="s">
        <v>65</v>
      </c>
      <c r="R191" s="21" t="s">
        <v>1798</v>
      </c>
      <c r="S191" s="21" t="s">
        <v>51</v>
      </c>
      <c r="T191" s="21" t="s">
        <v>1799</v>
      </c>
      <c r="U191" s="21" t="s">
        <v>1800</v>
      </c>
      <c r="V191" s="21" t="s">
        <v>1801</v>
      </c>
      <c r="W191" s="45">
        <v>45886.0</v>
      </c>
      <c r="X191" s="49">
        <v>0.6173611111111111</v>
      </c>
      <c r="Y191" s="18">
        <v>45886.0</v>
      </c>
      <c r="Z191" s="49">
        <v>0.7222222222222222</v>
      </c>
      <c r="AA191" s="49">
        <v>0.7256944444444444</v>
      </c>
      <c r="AB191" s="24" t="s">
        <v>1802</v>
      </c>
      <c r="AC191" s="24" t="s">
        <v>1803</v>
      </c>
      <c r="AD191" s="25">
        <v>0.8194444444444444</v>
      </c>
      <c r="AE191" s="18">
        <v>45886.0</v>
      </c>
      <c r="AF191" s="22" t="s">
        <v>53</v>
      </c>
      <c r="AG191" s="21" t="s">
        <v>54</v>
      </c>
      <c r="AH191" s="21" t="s">
        <v>1804</v>
      </c>
      <c r="AI191" s="26" t="str">
        <f>IFERROR(__xludf.DUMMYFUNCTION("IF(OR(W191="""",X191="""",AE191="""",AD191=""""),"""",
   TEXT(
     (
       (AE191+AD191 + IF(AE191+AD191 &lt; W191+X191,1,0)) - (W191+X191)
     )
     - IF(AND(AB191&lt;&gt;"""",AC191&lt;&gt;""""), 
          SUM(ARRAYFORMULA(SPLIT(AC191,"","") - SPLIT(AB191,"",""))"&amp;"), 
          0
       ),
     ""[hh]:mm""
   )
)
"),"03:41")</f>
        <v>03:41</v>
      </c>
      <c r="AJ191" s="55">
        <f t="shared" si="9"/>
        <v>0</v>
      </c>
      <c r="AK191" s="28" t="str">
        <f t="shared" si="10"/>
        <v>Pass</v>
      </c>
    </row>
    <row r="192">
      <c r="A192" s="68">
        <v>45886.0</v>
      </c>
      <c r="B192" s="46"/>
      <c r="C192" s="45">
        <v>45886.0</v>
      </c>
      <c r="D192" s="49">
        <v>0.7513888888888889</v>
      </c>
      <c r="E192" s="21" t="s">
        <v>1805</v>
      </c>
      <c r="F192" s="21" t="s">
        <v>1555</v>
      </c>
      <c r="G192" s="21" t="s">
        <v>1556</v>
      </c>
      <c r="H192" s="21" t="s">
        <v>419</v>
      </c>
      <c r="I192" s="21" t="s">
        <v>234</v>
      </c>
      <c r="J192" s="21" t="s">
        <v>42</v>
      </c>
      <c r="K192" s="21" t="s">
        <v>61</v>
      </c>
      <c r="L192" s="21" t="s">
        <v>183</v>
      </c>
      <c r="M192" s="21" t="s">
        <v>1806</v>
      </c>
      <c r="N192" s="21" t="s">
        <v>1318</v>
      </c>
      <c r="O192" s="48" t="s">
        <v>1807</v>
      </c>
      <c r="P192" s="21" t="s">
        <v>48</v>
      </c>
      <c r="Q192" s="24" t="s">
        <v>65</v>
      </c>
      <c r="R192" s="21" t="s">
        <v>1808</v>
      </c>
      <c r="S192" s="21" t="s">
        <v>51</v>
      </c>
      <c r="T192" s="21" t="s">
        <v>1809</v>
      </c>
      <c r="U192" s="21" t="s">
        <v>52</v>
      </c>
      <c r="V192" s="21" t="s">
        <v>52</v>
      </c>
      <c r="W192" s="45">
        <v>45886.0</v>
      </c>
      <c r="X192" s="49">
        <v>0.7513888888888889</v>
      </c>
      <c r="Y192" s="45">
        <v>45887.0</v>
      </c>
      <c r="Z192" s="49">
        <v>0.4708333333333333</v>
      </c>
      <c r="AA192" s="49">
        <v>0.4722222222222222</v>
      </c>
      <c r="AB192" s="24" t="s">
        <v>1810</v>
      </c>
      <c r="AC192" s="24" t="s">
        <v>1811</v>
      </c>
      <c r="AD192" s="25">
        <v>0.4965277777777778</v>
      </c>
      <c r="AE192" s="45">
        <v>45887.0</v>
      </c>
      <c r="AF192" s="21" t="s">
        <v>53</v>
      </c>
      <c r="AG192" s="21" t="s">
        <v>89</v>
      </c>
      <c r="AH192" s="21" t="s">
        <v>1812</v>
      </c>
      <c r="AI192" s="26" t="str">
        <f>IFERROR(__xludf.DUMMYFUNCTION("IF(OR(W192="""",X192="""",AE192="""",AD192=""""),"""",
   TEXT(
     (
       (AE192+AD192 + IF(AE192+AD192 &lt; W192+X192,1,0)) - (W192+X192)
     )
     - IF(AND(AB192&lt;&gt;"""",AC192&lt;&gt;""""), 
          SUM(ARRAYFORMULA(SPLIT(AC192,"","") - SPLIT(AB192,"",""))"&amp;"), 
          0
       ),
     ""[hh]:mm""
   )
)
"),"06:49")</f>
        <v>06:49</v>
      </c>
      <c r="AJ192" s="55">
        <f t="shared" si="9"/>
        <v>0</v>
      </c>
      <c r="AK192" s="28" t="str">
        <f t="shared" si="10"/>
        <v>Pass</v>
      </c>
    </row>
    <row r="193">
      <c r="A193" s="45">
        <v>45887.0</v>
      </c>
      <c r="B193" s="46"/>
      <c r="C193" s="45">
        <v>45887.0</v>
      </c>
      <c r="D193" s="49">
        <v>0.30972222222222223</v>
      </c>
      <c r="E193" s="21" t="s">
        <v>1813</v>
      </c>
      <c r="F193" s="21" t="s">
        <v>613</v>
      </c>
      <c r="G193" s="21" t="s">
        <v>614</v>
      </c>
      <c r="H193" s="21" t="s">
        <v>756</v>
      </c>
      <c r="I193" s="21" t="s">
        <v>1814</v>
      </c>
      <c r="J193" s="21" t="s">
        <v>119</v>
      </c>
      <c r="K193" s="21" t="s">
        <v>72</v>
      </c>
      <c r="L193" s="21" t="s">
        <v>1815</v>
      </c>
      <c r="M193" s="21" t="s">
        <v>1816</v>
      </c>
      <c r="N193" s="21" t="s">
        <v>1817</v>
      </c>
      <c r="O193" s="48" t="s">
        <v>1818</v>
      </c>
      <c r="P193" s="21" t="s">
        <v>75</v>
      </c>
      <c r="Q193" s="24" t="s">
        <v>65</v>
      </c>
      <c r="R193" s="21" t="s">
        <v>1819</v>
      </c>
      <c r="S193" s="21" t="s">
        <v>51</v>
      </c>
      <c r="T193" s="21" t="s">
        <v>77</v>
      </c>
      <c r="U193" s="21" t="s">
        <v>1820</v>
      </c>
      <c r="V193" s="21" t="s">
        <v>1816</v>
      </c>
      <c r="W193" s="45">
        <v>45887.0</v>
      </c>
      <c r="X193" s="49">
        <v>0.30972222222222223</v>
      </c>
      <c r="Y193" s="45">
        <v>45887.0</v>
      </c>
      <c r="Z193" s="49">
        <v>0.5256944444444445</v>
      </c>
      <c r="AA193" s="49">
        <v>0.5277777777777778</v>
      </c>
      <c r="AB193" s="29"/>
      <c r="AC193" s="29"/>
      <c r="AD193" s="25">
        <v>0.5451388888888888</v>
      </c>
      <c r="AE193" s="45">
        <v>45887.0</v>
      </c>
      <c r="AF193" s="21" t="s">
        <v>53</v>
      </c>
      <c r="AG193" s="21" t="s">
        <v>89</v>
      </c>
      <c r="AH193" s="21" t="s">
        <v>1821</v>
      </c>
      <c r="AI193" s="26" t="str">
        <f>IFERROR(__xludf.DUMMYFUNCTION("IF(OR(W193="""",X193="""",AE193="""",AD193=""""),"""",
   TEXT(
     (
       (AE193+AD193 + IF(AE193+AD193 &lt; W193+X193,1,0)) - (W193+X193)
     )
     - IF(AND(AB193&lt;&gt;"""",AC193&lt;&gt;""""), 
          SUM(ARRAYFORMULA(SPLIT(AC193,"","") - SPLIT(AB193,"",""))"&amp;"), 
          0
       ),
     ""[hh]:mm""
   )
)
"),"05:39")</f>
        <v>05:39</v>
      </c>
      <c r="AJ193" s="55">
        <f t="shared" si="9"/>
        <v>0</v>
      </c>
      <c r="AK193" s="28" t="str">
        <f t="shared" si="10"/>
        <v>Pass</v>
      </c>
    </row>
    <row r="194">
      <c r="A194" s="18">
        <v>45887.0</v>
      </c>
      <c r="B194" s="19"/>
      <c r="C194" s="18">
        <v>45887.0</v>
      </c>
      <c r="D194" s="20">
        <v>0.3125</v>
      </c>
      <c r="E194" s="22" t="s">
        <v>1822</v>
      </c>
      <c r="F194" s="22" t="s">
        <v>1734</v>
      </c>
      <c r="G194" s="22" t="s">
        <v>1735</v>
      </c>
      <c r="H194" s="22" t="s">
        <v>182</v>
      </c>
      <c r="I194" s="22" t="s">
        <v>60</v>
      </c>
      <c r="J194" s="22" t="s">
        <v>42</v>
      </c>
      <c r="K194" s="22" t="s">
        <v>61</v>
      </c>
      <c r="L194" s="22" t="s">
        <v>183</v>
      </c>
      <c r="M194" s="22" t="s">
        <v>1823</v>
      </c>
      <c r="N194" s="22" t="s">
        <v>1824</v>
      </c>
      <c r="O194" s="23" t="s">
        <v>1825</v>
      </c>
      <c r="P194" s="22" t="s">
        <v>75</v>
      </c>
      <c r="Q194" s="50" t="s">
        <v>65</v>
      </c>
      <c r="R194" s="22" t="s">
        <v>1826</v>
      </c>
      <c r="S194" s="22" t="s">
        <v>51</v>
      </c>
      <c r="T194" s="22" t="s">
        <v>324</v>
      </c>
      <c r="U194" s="22" t="s">
        <v>1827</v>
      </c>
      <c r="V194" s="22" t="s">
        <v>1828</v>
      </c>
      <c r="W194" s="18">
        <v>45887.0</v>
      </c>
      <c r="X194" s="20">
        <v>0.3125</v>
      </c>
      <c r="Y194" s="18">
        <v>45887.0</v>
      </c>
      <c r="Z194" s="20">
        <v>0.4284722222222222</v>
      </c>
      <c r="AA194" s="20">
        <v>0.4305555555555556</v>
      </c>
      <c r="AB194" s="50" t="s">
        <v>1829</v>
      </c>
      <c r="AC194" s="50" t="s">
        <v>1830</v>
      </c>
      <c r="AD194" s="51">
        <v>0.7916666666666666</v>
      </c>
      <c r="AE194" s="18">
        <v>45887.0</v>
      </c>
      <c r="AF194" s="22" t="s">
        <v>53</v>
      </c>
      <c r="AG194" s="22" t="s">
        <v>162</v>
      </c>
      <c r="AH194" s="22" t="s">
        <v>1831</v>
      </c>
      <c r="AI194" s="26" t="str">
        <f>IFERROR(__xludf.DUMMYFUNCTION("IF(OR(W194="""",X194="""",AE194="""",AD194=""""),"""",
   TEXT(
     (
       (AE194+AD194 + IF(AE194+AD194 &lt; W194+X194,1,0)) - (W194+X194)
     )
     - IF(AND(AB194&lt;&gt;"""",AC194&lt;&gt;""""), 
          SUM(ARRAYFORMULA(SPLIT(AC194,"","") - SPLIT(AB194,"",""))"&amp;"), 
          0
       ),
     ""[hh]:mm""
   )
)
"),"06:44")</f>
        <v>06:44</v>
      </c>
      <c r="AJ194" s="55">
        <f t="shared" si="9"/>
        <v>0</v>
      </c>
      <c r="AK194" s="28" t="str">
        <f t="shared" si="10"/>
        <v>Pass</v>
      </c>
    </row>
    <row r="195">
      <c r="A195" s="45">
        <v>45887.0</v>
      </c>
      <c r="B195" s="46"/>
      <c r="C195" s="45">
        <v>45887.0</v>
      </c>
      <c r="D195" s="49">
        <v>0.33819444444444446</v>
      </c>
      <c r="E195" s="21" t="s">
        <v>1832</v>
      </c>
      <c r="F195" s="21" t="s">
        <v>1833</v>
      </c>
      <c r="G195" s="21" t="s">
        <v>1834</v>
      </c>
      <c r="H195" s="21" t="s">
        <v>1835</v>
      </c>
      <c r="I195" s="21" t="s">
        <v>1836</v>
      </c>
      <c r="J195" s="21" t="s">
        <v>1136</v>
      </c>
      <c r="K195" s="21" t="s">
        <v>61</v>
      </c>
      <c r="L195" s="21" t="s">
        <v>183</v>
      </c>
      <c r="M195" s="21" t="s">
        <v>1837</v>
      </c>
      <c r="N195" s="21" t="s">
        <v>1838</v>
      </c>
      <c r="O195" s="48" t="s">
        <v>1839</v>
      </c>
      <c r="P195" s="21" t="s">
        <v>75</v>
      </c>
      <c r="Q195" s="24" t="s">
        <v>65</v>
      </c>
      <c r="R195" s="21" t="s">
        <v>1840</v>
      </c>
      <c r="S195" s="21" t="s">
        <v>51</v>
      </c>
      <c r="T195" s="21" t="s">
        <v>52</v>
      </c>
      <c r="U195" s="21" t="s">
        <v>52</v>
      </c>
      <c r="V195" s="21" t="s">
        <v>52</v>
      </c>
      <c r="W195" s="45">
        <v>45887.0</v>
      </c>
      <c r="X195" s="49">
        <v>0.33819444444444446</v>
      </c>
      <c r="Y195" s="45">
        <v>45887.0</v>
      </c>
      <c r="Z195" s="49">
        <v>0.4486111111111111</v>
      </c>
      <c r="AA195" s="49">
        <v>0.4513888888888889</v>
      </c>
      <c r="AB195" s="29"/>
      <c r="AC195" s="29"/>
      <c r="AD195" s="25">
        <v>0.4722222222222222</v>
      </c>
      <c r="AE195" s="45">
        <v>45887.0</v>
      </c>
      <c r="AF195" s="21" t="s">
        <v>53</v>
      </c>
      <c r="AG195" s="21" t="s">
        <v>67</v>
      </c>
      <c r="AH195" s="21" t="s">
        <v>1841</v>
      </c>
      <c r="AI195" s="26" t="str">
        <f>IFERROR(__xludf.DUMMYFUNCTION("IF(OR(W195="""",X195="""",AE195="""",AD195=""""),"""",
   TEXT(
     (
       (AE195+AD195 + IF(AE195+AD195 &lt; W195+X195,1,0)) - (W195+X195)
     )
     - IF(AND(AB195&lt;&gt;"""",AC195&lt;&gt;""""), 
          SUM(ARRAYFORMULA(SPLIT(AC195,"","") - SPLIT(AB195,"",""))"&amp;"), 
          0
       ),
     ""[hh]:mm""
   )
)
"),"03:13")</f>
        <v>03:13</v>
      </c>
      <c r="AJ195" s="55">
        <f t="shared" si="9"/>
        <v>0</v>
      </c>
      <c r="AK195" s="28" t="str">
        <f t="shared" si="10"/>
        <v>Pass</v>
      </c>
    </row>
    <row r="196">
      <c r="A196" s="18">
        <v>45887.0</v>
      </c>
      <c r="B196" s="19"/>
      <c r="C196" s="18">
        <v>45887.0</v>
      </c>
      <c r="D196" s="20">
        <v>0.4798611111111111</v>
      </c>
      <c r="E196" s="22" t="s">
        <v>1842</v>
      </c>
      <c r="F196" s="22" t="s">
        <v>1843</v>
      </c>
      <c r="G196" s="22" t="s">
        <v>1844</v>
      </c>
      <c r="H196" s="22" t="s">
        <v>182</v>
      </c>
      <c r="I196" s="22" t="s">
        <v>60</v>
      </c>
      <c r="J196" s="22" t="s">
        <v>42</v>
      </c>
      <c r="K196" s="22" t="s">
        <v>61</v>
      </c>
      <c r="L196" s="22" t="s">
        <v>183</v>
      </c>
      <c r="M196" s="22" t="s">
        <v>1845</v>
      </c>
      <c r="N196" s="22" t="s">
        <v>1846</v>
      </c>
      <c r="O196" s="23" t="s">
        <v>1847</v>
      </c>
      <c r="P196" s="22" t="s">
        <v>75</v>
      </c>
      <c r="Q196" s="50" t="s">
        <v>65</v>
      </c>
      <c r="R196" s="22" t="s">
        <v>1848</v>
      </c>
      <c r="S196" s="22" t="s">
        <v>51</v>
      </c>
      <c r="T196" s="22" t="s">
        <v>1849</v>
      </c>
      <c r="U196" s="22" t="s">
        <v>1850</v>
      </c>
      <c r="V196" s="22" t="s">
        <v>1851</v>
      </c>
      <c r="W196" s="18">
        <v>45887.0</v>
      </c>
      <c r="X196" s="20">
        <v>0.4798611111111111</v>
      </c>
      <c r="Y196" s="18">
        <v>45887.0</v>
      </c>
      <c r="Z196" s="20">
        <v>0.5604166666666667</v>
      </c>
      <c r="AA196" s="20">
        <v>0.5611111111111111</v>
      </c>
      <c r="AB196" s="51">
        <v>0.5833333333333334</v>
      </c>
      <c r="AC196" s="51">
        <v>0.7159722222222222</v>
      </c>
      <c r="AD196" s="51">
        <v>0.7777777777777778</v>
      </c>
      <c r="AE196" s="18">
        <v>45887.0</v>
      </c>
      <c r="AF196" s="22" t="s">
        <v>53</v>
      </c>
      <c r="AG196" s="22" t="s">
        <v>239</v>
      </c>
      <c r="AH196" s="22" t="s">
        <v>1852</v>
      </c>
      <c r="AI196" s="26" t="str">
        <f>IFERROR(__xludf.DUMMYFUNCTION("IF(OR(W196="""",X196="""",AE196="""",AD196=""""),"""",
   TEXT(
     (
       (AE196+AD196 + IF(AE196+AD196 &lt; W196+X196,1,0)) - (W196+X196)
     )
     - IF(AND(AB196&lt;&gt;"""",AC196&lt;&gt;""""), 
          SUM(ARRAYFORMULA(SPLIT(AC196,"","") - SPLIT(AB196,"",""))"&amp;"), 
          0
       ),
     ""[hh]:mm""
   )
)
"),"03:58")</f>
        <v>03:58</v>
      </c>
      <c r="AJ196" s="55">
        <f t="shared" si="9"/>
        <v>0</v>
      </c>
      <c r="AK196" s="28" t="str">
        <f t="shared" si="10"/>
        <v>Pass</v>
      </c>
    </row>
    <row r="197">
      <c r="A197" s="18">
        <v>45887.0</v>
      </c>
      <c r="B197" s="19"/>
      <c r="C197" s="18">
        <v>45887.0</v>
      </c>
      <c r="D197" s="20">
        <v>0.4625</v>
      </c>
      <c r="E197" s="22" t="s">
        <v>1853</v>
      </c>
      <c r="F197" s="22" t="s">
        <v>251</v>
      </c>
      <c r="G197" s="22" t="s">
        <v>1717</v>
      </c>
      <c r="H197" s="22" t="s">
        <v>244</v>
      </c>
      <c r="I197" s="22" t="s">
        <v>1854</v>
      </c>
      <c r="J197" s="22" t="s">
        <v>1056</v>
      </c>
      <c r="K197" s="22" t="s">
        <v>635</v>
      </c>
      <c r="L197" s="22" t="s">
        <v>636</v>
      </c>
      <c r="M197" s="22" t="s">
        <v>1855</v>
      </c>
      <c r="N197" s="22" t="s">
        <v>1856</v>
      </c>
      <c r="O197" s="23" t="s">
        <v>1857</v>
      </c>
      <c r="P197" s="22" t="s">
        <v>48</v>
      </c>
      <c r="Q197" s="50" t="s">
        <v>65</v>
      </c>
      <c r="R197" s="22" t="s">
        <v>1858</v>
      </c>
      <c r="S197" s="22" t="s">
        <v>51</v>
      </c>
      <c r="T197" s="22" t="s">
        <v>52</v>
      </c>
      <c r="U197" s="22" t="s">
        <v>52</v>
      </c>
      <c r="V197" s="22" t="s">
        <v>52</v>
      </c>
      <c r="W197" s="18">
        <v>45887.0</v>
      </c>
      <c r="X197" s="20">
        <v>0.4625</v>
      </c>
      <c r="Y197" s="18">
        <v>45887.0</v>
      </c>
      <c r="Z197" s="75">
        <v>0.5604166666666667</v>
      </c>
      <c r="AA197" s="20">
        <v>0.5625</v>
      </c>
      <c r="AB197" s="54"/>
      <c r="AC197" s="54"/>
      <c r="AD197" s="51">
        <v>0.6319444444444444</v>
      </c>
      <c r="AE197" s="18">
        <v>45887.0</v>
      </c>
      <c r="AF197" s="22" t="s">
        <v>53</v>
      </c>
      <c r="AG197" s="22" t="s">
        <v>313</v>
      </c>
      <c r="AH197" s="22" t="s">
        <v>1859</v>
      </c>
      <c r="AI197" s="26" t="str">
        <f>IFERROR(__xludf.DUMMYFUNCTION("IF(OR(W197="""",X197="""",AE197="""",AD197=""""),"""",
   TEXT(
     (
       (AE197+AD197 + IF(AE197+AD197 &lt; W197+X197,1,0)) - (W197+X197)
     )
     - IF(AND(AB197&lt;&gt;"""",AC197&lt;&gt;""""), 
          SUM(ARRAYFORMULA(SPLIT(AC197,"","") - SPLIT(AB197,"",""))"&amp;"), 
          0
       ),
     ""[hh]:mm""
   )
)
"),"04:04")</f>
        <v>04:04</v>
      </c>
      <c r="AJ197" s="55">
        <f t="shared" si="9"/>
        <v>0</v>
      </c>
      <c r="AK197" s="28" t="str">
        <f t="shared" si="10"/>
        <v>Pass</v>
      </c>
    </row>
    <row r="198">
      <c r="A198" s="18">
        <v>45887.0</v>
      </c>
      <c r="B198" s="19"/>
      <c r="C198" s="18">
        <v>45887.0</v>
      </c>
      <c r="D198" s="20">
        <v>0.4625</v>
      </c>
      <c r="E198" s="22" t="s">
        <v>1860</v>
      </c>
      <c r="F198" s="22" t="s">
        <v>363</v>
      </c>
      <c r="G198" s="22" t="s">
        <v>364</v>
      </c>
      <c r="H198" s="22" t="s">
        <v>244</v>
      </c>
      <c r="I198" s="22" t="s">
        <v>836</v>
      </c>
      <c r="J198" s="22" t="s">
        <v>1056</v>
      </c>
      <c r="K198" s="22" t="s">
        <v>635</v>
      </c>
      <c r="L198" s="22" t="s">
        <v>52</v>
      </c>
      <c r="M198" s="22" t="s">
        <v>52</v>
      </c>
      <c r="N198" s="22" t="s">
        <v>1861</v>
      </c>
      <c r="O198" s="23" t="s">
        <v>1862</v>
      </c>
      <c r="P198" s="22" t="s">
        <v>48</v>
      </c>
      <c r="Q198" s="50" t="s">
        <v>65</v>
      </c>
      <c r="R198" s="22" t="s">
        <v>1863</v>
      </c>
      <c r="S198" s="22" t="s">
        <v>51</v>
      </c>
      <c r="T198" s="22" t="s">
        <v>52</v>
      </c>
      <c r="U198" s="22" t="s">
        <v>52</v>
      </c>
      <c r="V198" s="22" t="s">
        <v>52</v>
      </c>
      <c r="W198" s="18">
        <v>45887.0</v>
      </c>
      <c r="X198" s="20">
        <v>0.4625</v>
      </c>
      <c r="Y198" s="18">
        <v>45887.0</v>
      </c>
      <c r="Z198" s="20">
        <v>0.5694444444444444</v>
      </c>
      <c r="AA198" s="20">
        <v>0.5763888888888888</v>
      </c>
      <c r="AB198" s="54"/>
      <c r="AC198" s="54"/>
      <c r="AD198" s="51">
        <v>0.6145833333333334</v>
      </c>
      <c r="AE198" s="18">
        <v>45887.0</v>
      </c>
      <c r="AF198" s="22" t="s">
        <v>53</v>
      </c>
      <c r="AG198" s="22" t="s">
        <v>78</v>
      </c>
      <c r="AH198" s="22" t="s">
        <v>1864</v>
      </c>
      <c r="AI198" s="26" t="str">
        <f>IFERROR(__xludf.DUMMYFUNCTION("IF(OR(W198="""",X198="""",AE198="""",AD198=""""),"""",
   TEXT(
     (
       (AE198+AD198 + IF(AE198+AD198 &lt; W198+X198,1,0)) - (W198+X198)
     )
     - IF(AND(AB198&lt;&gt;"""",AC198&lt;&gt;""""), 
          SUM(ARRAYFORMULA(SPLIT(AC198,"","") - SPLIT(AB198,"",""))"&amp;"), 
          0
       ),
     ""[hh]:mm""
   )
)
"),"03:39")</f>
        <v>03:39</v>
      </c>
      <c r="AJ198" s="55">
        <f t="shared" si="9"/>
        <v>0</v>
      </c>
      <c r="AK198" s="28" t="str">
        <f t="shared" si="10"/>
        <v>Pass</v>
      </c>
    </row>
    <row r="199">
      <c r="A199" s="18">
        <v>45887.0</v>
      </c>
      <c r="B199" s="19"/>
      <c r="C199" s="18">
        <v>45887.0</v>
      </c>
      <c r="D199" s="20">
        <v>0.5583333333333333</v>
      </c>
      <c r="E199" s="22" t="s">
        <v>1865</v>
      </c>
      <c r="F199" s="22" t="s">
        <v>1035</v>
      </c>
      <c r="G199" s="22" t="s">
        <v>1036</v>
      </c>
      <c r="H199" s="22" t="s">
        <v>566</v>
      </c>
      <c r="I199" s="22" t="s">
        <v>856</v>
      </c>
      <c r="J199" s="22" t="s">
        <v>1084</v>
      </c>
      <c r="K199" s="22" t="s">
        <v>1776</v>
      </c>
      <c r="L199" s="22" t="s">
        <v>1866</v>
      </c>
      <c r="M199" s="22" t="s">
        <v>1867</v>
      </c>
      <c r="N199" s="22" t="s">
        <v>1868</v>
      </c>
      <c r="O199" s="23" t="s">
        <v>1869</v>
      </c>
      <c r="P199" s="22" t="s">
        <v>48</v>
      </c>
      <c r="Q199" s="50" t="s">
        <v>65</v>
      </c>
      <c r="R199" s="22" t="s">
        <v>1870</v>
      </c>
      <c r="S199" s="22" t="s">
        <v>51</v>
      </c>
      <c r="T199" s="22" t="s">
        <v>52</v>
      </c>
      <c r="U199" s="22" t="s">
        <v>52</v>
      </c>
      <c r="V199" s="22" t="s">
        <v>52</v>
      </c>
      <c r="W199" s="18">
        <v>45887.0</v>
      </c>
      <c r="X199" s="20">
        <v>0.5583333333333333</v>
      </c>
      <c r="Y199" s="18">
        <v>45887.0</v>
      </c>
      <c r="Z199" s="20">
        <v>0.6458333333333334</v>
      </c>
      <c r="AA199" s="20">
        <v>0.6527777777777778</v>
      </c>
      <c r="AB199" s="54"/>
      <c r="AC199" s="54"/>
      <c r="AD199" s="51">
        <v>0.6770833333333334</v>
      </c>
      <c r="AE199" s="18">
        <v>45887.0</v>
      </c>
      <c r="AF199" s="22" t="s">
        <v>53</v>
      </c>
      <c r="AG199" s="22" t="s">
        <v>78</v>
      </c>
      <c r="AH199" s="22" t="s">
        <v>1043</v>
      </c>
      <c r="AI199" s="26" t="str">
        <f>IFERROR(__xludf.DUMMYFUNCTION("IF(OR(W199="""",X199="""",AE199="""",AD199=""""),"""",
   TEXT(
     (
       (AE199+AD199 + IF(AE199+AD199 &lt; W199+X199,1,0)) - (W199+X199)
     )
     - IF(AND(AB199&lt;&gt;"""",AC199&lt;&gt;""""), 
          SUM(ARRAYFORMULA(SPLIT(AC199,"","") - SPLIT(AB199,"",""))"&amp;"), 
          0
       ),
     ""[hh]:mm""
   )
)
"),"02:51")</f>
        <v>02:51</v>
      </c>
      <c r="AJ199" s="55">
        <f t="shared" si="9"/>
        <v>0</v>
      </c>
      <c r="AK199" s="28" t="str">
        <f t="shared" si="10"/>
        <v>Pass</v>
      </c>
    </row>
    <row r="200">
      <c r="A200" s="18">
        <v>45887.0</v>
      </c>
      <c r="B200" s="19"/>
      <c r="C200" s="18">
        <v>45887.0</v>
      </c>
      <c r="D200" s="20">
        <v>0.58125</v>
      </c>
      <c r="E200" s="22" t="s">
        <v>1871</v>
      </c>
      <c r="F200" s="22" t="s">
        <v>1872</v>
      </c>
      <c r="G200" s="22" t="s">
        <v>1873</v>
      </c>
      <c r="H200" s="22" t="s">
        <v>566</v>
      </c>
      <c r="I200" s="22" t="s">
        <v>815</v>
      </c>
      <c r="J200" s="22" t="s">
        <v>1084</v>
      </c>
      <c r="K200" s="22" t="s">
        <v>1776</v>
      </c>
      <c r="L200" s="22" t="s">
        <v>1874</v>
      </c>
      <c r="M200" s="22" t="s">
        <v>1875</v>
      </c>
      <c r="N200" s="22" t="s">
        <v>1876</v>
      </c>
      <c r="O200" s="23" t="s">
        <v>1877</v>
      </c>
      <c r="P200" s="22" t="s">
        <v>48</v>
      </c>
      <c r="Q200" s="50" t="s">
        <v>65</v>
      </c>
      <c r="R200" s="22" t="s">
        <v>1878</v>
      </c>
      <c r="S200" s="22" t="s">
        <v>51</v>
      </c>
      <c r="T200" s="22" t="s">
        <v>52</v>
      </c>
      <c r="U200" s="22" t="s">
        <v>52</v>
      </c>
      <c r="V200" s="22" t="s">
        <v>52</v>
      </c>
      <c r="W200" s="18">
        <v>45887.0</v>
      </c>
      <c r="X200" s="20">
        <v>0.58125</v>
      </c>
      <c r="Y200" s="18">
        <v>45887.0</v>
      </c>
      <c r="Z200" s="20">
        <v>0.6319444444444444</v>
      </c>
      <c r="AA200" s="20">
        <v>0.6354166666666666</v>
      </c>
      <c r="AB200" s="54"/>
      <c r="AC200" s="54"/>
      <c r="AD200" s="51">
        <v>0.7083333333333334</v>
      </c>
      <c r="AE200" s="18">
        <v>45887.0</v>
      </c>
      <c r="AF200" s="22" t="s">
        <v>53</v>
      </c>
      <c r="AG200" s="22" t="s">
        <v>54</v>
      </c>
      <c r="AH200" s="22" t="s">
        <v>1879</v>
      </c>
      <c r="AI200" s="26" t="str">
        <f>IFERROR(__xludf.DUMMYFUNCTION("IF(OR(W200="""",X200="""",AE200="""",AD200=""""),"""",
   TEXT(
     (
       (AE200+AD200 + IF(AE200+AD200 &lt; W200+X200,1,0)) - (W200+X200)
     )
     - IF(AND(AB200&lt;&gt;"""",AC200&lt;&gt;""""), 
          SUM(ARRAYFORMULA(SPLIT(AC200,"","") - SPLIT(AB200,"",""))"&amp;"), 
          0
       ),
     ""[hh]:mm""
   )
)
"),"03:03")</f>
        <v>03:03</v>
      </c>
      <c r="AJ200" s="55">
        <f t="shared" si="9"/>
        <v>0</v>
      </c>
      <c r="AK200" s="28" t="str">
        <f t="shared" si="10"/>
        <v>Pass</v>
      </c>
    </row>
    <row r="201">
      <c r="A201" s="18">
        <v>45887.0</v>
      </c>
      <c r="B201" s="19"/>
      <c r="C201" s="18">
        <v>45887.0</v>
      </c>
      <c r="D201" s="20">
        <v>0.6173611111111111</v>
      </c>
      <c r="E201" s="22" t="s">
        <v>1880</v>
      </c>
      <c r="F201" s="22" t="s">
        <v>1232</v>
      </c>
      <c r="G201" s="22" t="s">
        <v>1233</v>
      </c>
      <c r="H201" s="22" t="s">
        <v>1881</v>
      </c>
      <c r="I201" s="22" t="s">
        <v>95</v>
      </c>
      <c r="J201" s="22" t="s">
        <v>95</v>
      </c>
      <c r="K201" s="22" t="s">
        <v>143</v>
      </c>
      <c r="L201" s="22" t="s">
        <v>1785</v>
      </c>
      <c r="M201" s="22" t="s">
        <v>1593</v>
      </c>
      <c r="N201" s="22" t="s">
        <v>1882</v>
      </c>
      <c r="O201" s="23" t="s">
        <v>1883</v>
      </c>
      <c r="P201" s="22" t="s">
        <v>187</v>
      </c>
      <c r="Q201" s="50" t="s">
        <v>49</v>
      </c>
      <c r="R201" s="22" t="s">
        <v>1884</v>
      </c>
      <c r="S201" s="22" t="s">
        <v>51</v>
      </c>
      <c r="T201" s="22" t="s">
        <v>52</v>
      </c>
      <c r="U201" s="22" t="s">
        <v>52</v>
      </c>
      <c r="V201" s="22" t="s">
        <v>52</v>
      </c>
      <c r="W201" s="18">
        <v>45887.0</v>
      </c>
      <c r="X201" s="20">
        <v>0.6173611111111111</v>
      </c>
      <c r="Y201" s="18">
        <v>45887.0</v>
      </c>
      <c r="Z201" s="20">
        <v>0.7618055555555555</v>
      </c>
      <c r="AA201" s="20">
        <v>0.7638888888888888</v>
      </c>
      <c r="AB201" s="54"/>
      <c r="AC201" s="54"/>
      <c r="AD201" s="51">
        <v>0.7083333333333334</v>
      </c>
      <c r="AE201" s="18">
        <v>45887.0</v>
      </c>
      <c r="AF201" s="22" t="s">
        <v>53</v>
      </c>
      <c r="AG201" s="22" t="s">
        <v>284</v>
      </c>
      <c r="AH201" s="22" t="s">
        <v>1885</v>
      </c>
      <c r="AI201" s="26" t="str">
        <f>IFERROR(__xludf.DUMMYFUNCTION("IF(OR(W201="""",X201="""",AE201="""",AD201=""""),"""",
   TEXT(
     (
       (AE201+AD201 + IF(AE201+AD201 &lt; W201+X201,1,0)) - (W201+X201)
     )
     - IF(AND(AB201&lt;&gt;"""",AC201&lt;&gt;""""), 
          SUM(ARRAYFORMULA(SPLIT(AC201,"","") - SPLIT(AB201,"",""))"&amp;"), 
          0
       ),
     ""[hh]:mm""
   )
)
"),"02:11")</f>
        <v>02:11</v>
      </c>
      <c r="AJ201" s="55">
        <f t="shared" si="9"/>
        <v>0</v>
      </c>
      <c r="AK201" s="28" t="str">
        <f t="shared" si="10"/>
        <v>Pass</v>
      </c>
    </row>
    <row r="202">
      <c r="A202" s="18">
        <v>45887.0</v>
      </c>
      <c r="B202" s="19"/>
      <c r="C202" s="18">
        <v>45887.0</v>
      </c>
      <c r="D202" s="20">
        <v>0.6173611111111111</v>
      </c>
      <c r="E202" s="22" t="s">
        <v>1886</v>
      </c>
      <c r="F202" s="22" t="s">
        <v>1232</v>
      </c>
      <c r="G202" s="22" t="s">
        <v>1233</v>
      </c>
      <c r="H202" s="22" t="s">
        <v>1881</v>
      </c>
      <c r="I202" s="22" t="s">
        <v>644</v>
      </c>
      <c r="J202" s="22" t="s">
        <v>644</v>
      </c>
      <c r="K202" s="22" t="s">
        <v>143</v>
      </c>
      <c r="L202" s="22" t="s">
        <v>1785</v>
      </c>
      <c r="M202" s="22" t="s">
        <v>1887</v>
      </c>
      <c r="N202" s="22" t="s">
        <v>1888</v>
      </c>
      <c r="O202" s="23" t="s">
        <v>1889</v>
      </c>
      <c r="P202" s="22" t="s">
        <v>187</v>
      </c>
      <c r="Q202" s="50" t="s">
        <v>65</v>
      </c>
      <c r="R202" s="22" t="s">
        <v>1884</v>
      </c>
      <c r="S202" s="22" t="s">
        <v>51</v>
      </c>
      <c r="T202" s="22" t="s">
        <v>52</v>
      </c>
      <c r="U202" s="22" t="s">
        <v>52</v>
      </c>
      <c r="V202" s="22" t="s">
        <v>52</v>
      </c>
      <c r="W202" s="18">
        <v>45887.0</v>
      </c>
      <c r="X202" s="20">
        <v>0.6173611111111111</v>
      </c>
      <c r="Y202" s="18">
        <v>45887.0</v>
      </c>
      <c r="Z202" s="20">
        <v>0.7618055555555555</v>
      </c>
      <c r="AA202" s="20">
        <v>0.7638888888888888</v>
      </c>
      <c r="AB202" s="54"/>
      <c r="AC202" s="54"/>
      <c r="AD202" s="51">
        <v>0.7083333333333334</v>
      </c>
      <c r="AE202" s="18">
        <v>45887.0</v>
      </c>
      <c r="AF202" s="22" t="s">
        <v>53</v>
      </c>
      <c r="AG202" s="22" t="s">
        <v>284</v>
      </c>
      <c r="AH202" s="22" t="s">
        <v>1885</v>
      </c>
      <c r="AI202" s="26" t="str">
        <f>IFERROR(__xludf.DUMMYFUNCTION("IF(OR(W202="""",X202="""",AE202="""",AD202=""""),"""",
   TEXT(
     (
       (AE202+AD202 + IF(AE202+AD202 &lt; W202+X202,1,0)) - (W202+X202)
     )
     - IF(AND(AB202&lt;&gt;"""",AC202&lt;&gt;""""), 
          SUM(ARRAYFORMULA(SPLIT(AC202,"","") - SPLIT(AB202,"",""))"&amp;"), 
          0
       ),
     ""[hh]:mm""
   )
)
"),"02:11")</f>
        <v>02:11</v>
      </c>
      <c r="AJ202" s="55">
        <f t="shared" si="9"/>
        <v>0</v>
      </c>
      <c r="AK202" s="28" t="str">
        <f t="shared" si="10"/>
        <v>Pass</v>
      </c>
    </row>
    <row r="203">
      <c r="A203" s="32">
        <v>45887.0</v>
      </c>
      <c r="B203" s="19"/>
      <c r="C203" s="18">
        <v>45887.0</v>
      </c>
      <c r="D203" s="20">
        <v>0.5909722222222222</v>
      </c>
      <c r="E203" s="22" t="s">
        <v>1890</v>
      </c>
      <c r="F203" s="22" t="s">
        <v>1891</v>
      </c>
      <c r="G203" s="22" t="s">
        <v>1892</v>
      </c>
      <c r="H203" s="22" t="s">
        <v>566</v>
      </c>
      <c r="I203" s="22" t="s">
        <v>815</v>
      </c>
      <c r="J203" s="22" t="s">
        <v>1084</v>
      </c>
      <c r="K203" s="22" t="s">
        <v>1893</v>
      </c>
      <c r="L203" s="22" t="s">
        <v>1894</v>
      </c>
      <c r="M203" s="22" t="s">
        <v>1895</v>
      </c>
      <c r="N203" s="22" t="s">
        <v>1896</v>
      </c>
      <c r="O203" s="23" t="s">
        <v>1897</v>
      </c>
      <c r="P203" s="22" t="s">
        <v>48</v>
      </c>
      <c r="Q203" s="50" t="s">
        <v>65</v>
      </c>
      <c r="R203" s="22" t="s">
        <v>1898</v>
      </c>
      <c r="S203" s="22" t="s">
        <v>51</v>
      </c>
      <c r="T203" s="22" t="s">
        <v>52</v>
      </c>
      <c r="U203" s="22" t="s">
        <v>52</v>
      </c>
      <c r="V203" s="22" t="s">
        <v>52</v>
      </c>
      <c r="W203" s="18">
        <v>45887.0</v>
      </c>
      <c r="X203" s="20">
        <v>0.5909722222222222</v>
      </c>
      <c r="Y203" s="18">
        <v>45888.0</v>
      </c>
      <c r="Z203" s="20">
        <v>0.9597222222222223</v>
      </c>
      <c r="AA203" s="20">
        <v>0.9618055555555556</v>
      </c>
      <c r="AB203" s="50" t="s">
        <v>1899</v>
      </c>
      <c r="AC203" s="50" t="s">
        <v>1900</v>
      </c>
      <c r="AD203" s="51">
        <v>0.7243055555555555</v>
      </c>
      <c r="AE203" s="18">
        <v>45888.0</v>
      </c>
      <c r="AF203" s="22" t="s">
        <v>53</v>
      </c>
      <c r="AG203" s="22" t="s">
        <v>89</v>
      </c>
      <c r="AH203" s="22" t="s">
        <v>1901</v>
      </c>
      <c r="AI203" s="26" t="str">
        <f>IFERROR(__xludf.DUMMYFUNCTION("IF(OR(W203="""",X203="""",AE203="""",AD203=""""),"""",
   TEXT(
     (
       (AE203+AD203 + IF(AE203+AD203 &lt; W203+X203,1,0)) - (W203+X203)
     )
     - IF(AND(AB203&lt;&gt;"""",AC203&lt;&gt;""""), 
          SUM(ARRAYFORMULA(SPLIT(AC203,"","") - SPLIT(AB203,"",""))"&amp;"), 
          0
       ),
     ""[hh]:mm""
   )
)
"),"08:24")</f>
        <v>08:24</v>
      </c>
      <c r="AJ203" s="55">
        <f t="shared" si="9"/>
        <v>0</v>
      </c>
      <c r="AK203" s="28" t="str">
        <f t="shared" si="10"/>
        <v>Pass</v>
      </c>
    </row>
    <row r="204">
      <c r="A204" s="45">
        <v>45888.0</v>
      </c>
      <c r="B204" s="46"/>
      <c r="C204" s="45">
        <v>45888.0</v>
      </c>
      <c r="D204" s="49">
        <v>0.2881944444444444</v>
      </c>
      <c r="E204" s="21" t="s">
        <v>1902</v>
      </c>
      <c r="F204" s="21" t="s">
        <v>1903</v>
      </c>
      <c r="G204" s="21" t="s">
        <v>1904</v>
      </c>
      <c r="H204" s="21" t="s">
        <v>270</v>
      </c>
      <c r="I204" s="21" t="s">
        <v>991</v>
      </c>
      <c r="J204" s="21" t="s">
        <v>42</v>
      </c>
      <c r="K204" s="21" t="s">
        <v>61</v>
      </c>
      <c r="L204" s="21" t="s">
        <v>183</v>
      </c>
      <c r="M204" s="21" t="s">
        <v>1905</v>
      </c>
      <c r="N204" s="21" t="s">
        <v>1906</v>
      </c>
      <c r="O204" s="48" t="s">
        <v>1907</v>
      </c>
      <c r="P204" s="21" t="s">
        <v>75</v>
      </c>
      <c r="Q204" s="24" t="s">
        <v>65</v>
      </c>
      <c r="R204" s="21" t="s">
        <v>1908</v>
      </c>
      <c r="S204" s="21" t="s">
        <v>51</v>
      </c>
      <c r="T204" s="21" t="s">
        <v>52</v>
      </c>
      <c r="U204" s="21" t="s">
        <v>52</v>
      </c>
      <c r="V204" s="21" t="s">
        <v>52</v>
      </c>
      <c r="W204" s="45">
        <v>45888.0</v>
      </c>
      <c r="X204" s="49">
        <v>0.4284722222222222</v>
      </c>
      <c r="Y204" s="45">
        <v>45888.0</v>
      </c>
      <c r="Z204" s="49">
        <v>0.5152777777777777</v>
      </c>
      <c r="AA204" s="49">
        <v>0.5173611111111112</v>
      </c>
      <c r="AB204" s="29"/>
      <c r="AC204" s="29"/>
      <c r="AD204" s="25">
        <v>0.5590277777777778</v>
      </c>
      <c r="AE204" s="45">
        <v>45888.0</v>
      </c>
      <c r="AF204" s="21" t="s">
        <v>53</v>
      </c>
      <c r="AG204" s="21" t="s">
        <v>102</v>
      </c>
      <c r="AH204" s="21" t="s">
        <v>1909</v>
      </c>
      <c r="AI204" s="62" t="str">
        <f>IFERROR(__xludf.DUMMYFUNCTION("IF(OR(W204="""",X204="""",AE204="""",AD204=""""),"""",
   TEXT(
     (
       (AE204+AD204 + IF(AE204+AD204 &lt; W204+X204,1,0)) - (W204+X204)
     )
     - IF(AND(AB204&lt;&gt;"""",AC204&lt;&gt;""""), 
          SUM(ARRAYFORMULA(SPLIT(AC204,"","") - SPLIT(AB204,"",""))"&amp;"), 
          0
       ),
     ""[hh]:mm""
   )
)
"),"03:08")</f>
        <v>03:08</v>
      </c>
      <c r="AJ204" s="27">
        <f t="shared" si="9"/>
        <v>0</v>
      </c>
      <c r="AK204" s="63" t="str">
        <f t="shared" si="10"/>
        <v>Pass</v>
      </c>
    </row>
    <row r="205">
      <c r="A205" s="45">
        <v>45888.0</v>
      </c>
      <c r="B205" s="46"/>
      <c r="C205" s="45">
        <v>45888.0</v>
      </c>
      <c r="D205" s="49">
        <v>0.2881944444444444</v>
      </c>
      <c r="E205" s="21" t="s">
        <v>1910</v>
      </c>
      <c r="F205" s="21" t="s">
        <v>1903</v>
      </c>
      <c r="G205" s="21" t="s">
        <v>1904</v>
      </c>
      <c r="H205" s="21" t="s">
        <v>270</v>
      </c>
      <c r="I205" s="21" t="s">
        <v>234</v>
      </c>
      <c r="J205" s="21" t="s">
        <v>42</v>
      </c>
      <c r="K205" s="21" t="s">
        <v>61</v>
      </c>
      <c r="L205" s="21" t="s">
        <v>183</v>
      </c>
      <c r="M205" s="21" t="s">
        <v>1911</v>
      </c>
      <c r="N205" s="21" t="s">
        <v>1912</v>
      </c>
      <c r="O205" s="48" t="s">
        <v>1913</v>
      </c>
      <c r="P205" s="21" t="s">
        <v>75</v>
      </c>
      <c r="Q205" s="24" t="s">
        <v>65</v>
      </c>
      <c r="R205" s="21" t="s">
        <v>1908</v>
      </c>
      <c r="S205" s="21" t="s">
        <v>51</v>
      </c>
      <c r="T205" s="21" t="s">
        <v>52</v>
      </c>
      <c r="U205" s="21" t="s">
        <v>52</v>
      </c>
      <c r="V205" s="21" t="s">
        <v>52</v>
      </c>
      <c r="W205" s="45">
        <v>45888.0</v>
      </c>
      <c r="X205" s="49">
        <v>0.4284722222222222</v>
      </c>
      <c r="Y205" s="45">
        <v>45888.0</v>
      </c>
      <c r="Z205" s="49">
        <v>0.5152777777777777</v>
      </c>
      <c r="AA205" s="49">
        <v>0.5173611111111112</v>
      </c>
      <c r="AB205" s="29"/>
      <c r="AC205" s="29"/>
      <c r="AD205" s="25">
        <v>0.5590277777777778</v>
      </c>
      <c r="AE205" s="45">
        <v>45888.0</v>
      </c>
      <c r="AF205" s="21" t="s">
        <v>53</v>
      </c>
      <c r="AG205" s="21" t="s">
        <v>102</v>
      </c>
      <c r="AH205" s="21" t="s">
        <v>1909</v>
      </c>
      <c r="AI205" s="62" t="str">
        <f>IFERROR(__xludf.DUMMYFUNCTION("IF(OR(W205="""",X205="""",AE205="""",AD205=""""),"""",
   TEXT(
     (
       (AE205+AD205 + IF(AE205+AD205 &lt; W205+X205,1,0)) - (W205+X205)
     )
     - IF(AND(AB205&lt;&gt;"""",AC205&lt;&gt;""""), 
          SUM(ARRAYFORMULA(SPLIT(AC205,"","") - SPLIT(AB205,"",""))"&amp;"), 
          0
       ),
     ""[hh]:mm""
   )
)
"),"03:08")</f>
        <v>03:08</v>
      </c>
      <c r="AJ205" s="27">
        <f t="shared" si="9"/>
        <v>0</v>
      </c>
      <c r="AK205" s="63" t="str">
        <f t="shared" si="10"/>
        <v>Pass</v>
      </c>
    </row>
    <row r="206">
      <c r="A206" s="45">
        <v>45888.0</v>
      </c>
      <c r="B206" s="46"/>
      <c r="C206" s="45">
        <v>45888.0</v>
      </c>
      <c r="D206" s="49">
        <v>0.3020833333333333</v>
      </c>
      <c r="E206" s="21" t="s">
        <v>1914</v>
      </c>
      <c r="F206" s="21" t="s">
        <v>1903</v>
      </c>
      <c r="G206" s="21" t="s">
        <v>1904</v>
      </c>
      <c r="H206" s="21" t="s">
        <v>1915</v>
      </c>
      <c r="I206" s="21" t="s">
        <v>991</v>
      </c>
      <c r="J206" s="21" t="s">
        <v>42</v>
      </c>
      <c r="K206" s="21" t="s">
        <v>61</v>
      </c>
      <c r="L206" s="21" t="s">
        <v>183</v>
      </c>
      <c r="M206" s="21" t="s">
        <v>1905</v>
      </c>
      <c r="N206" s="21" t="s">
        <v>1916</v>
      </c>
      <c r="O206" s="48" t="s">
        <v>1917</v>
      </c>
      <c r="P206" s="21" t="s">
        <v>75</v>
      </c>
      <c r="Q206" s="24" t="s">
        <v>65</v>
      </c>
      <c r="R206" s="21" t="s">
        <v>1918</v>
      </c>
      <c r="S206" s="21" t="s">
        <v>51</v>
      </c>
      <c r="T206" s="21" t="s">
        <v>1919</v>
      </c>
      <c r="U206" s="21" t="s">
        <v>52</v>
      </c>
      <c r="V206" s="21" t="s">
        <v>52</v>
      </c>
      <c r="W206" s="45">
        <v>45888.0</v>
      </c>
      <c r="X206" s="49">
        <v>0.42916666666666664</v>
      </c>
      <c r="Y206" s="45">
        <v>45888.0</v>
      </c>
      <c r="Z206" s="49">
        <v>0.5152777777777777</v>
      </c>
      <c r="AA206" s="49">
        <v>0.5173611111111112</v>
      </c>
      <c r="AB206" s="29"/>
      <c r="AC206" s="29"/>
      <c r="AD206" s="25">
        <v>0.5590277777777778</v>
      </c>
      <c r="AE206" s="45">
        <v>45888.0</v>
      </c>
      <c r="AF206" s="21" t="s">
        <v>53</v>
      </c>
      <c r="AG206" s="21" t="s">
        <v>102</v>
      </c>
      <c r="AH206" s="21" t="s">
        <v>1920</v>
      </c>
      <c r="AI206" s="62" t="str">
        <f>IFERROR(__xludf.DUMMYFUNCTION("IF(OR(W206="""",X206="""",AE206="""",AD206=""""),"""",
   TEXT(
     (
       (AE206+AD206 + IF(AE206+AD206 &lt; W206+X206,1,0)) - (W206+X206)
     )
     - IF(AND(AB206&lt;&gt;"""",AC206&lt;&gt;""""), 
          SUM(ARRAYFORMULA(SPLIT(AC206,"","") - SPLIT(AB206,"",""))"&amp;"), 
          0
       ),
     ""[hh]:mm""
   )
)
"),"03:07")</f>
        <v>03:07</v>
      </c>
      <c r="AJ206" s="27">
        <f t="shared" si="9"/>
        <v>0</v>
      </c>
      <c r="AK206" s="63" t="str">
        <f t="shared" si="10"/>
        <v>Pass</v>
      </c>
    </row>
    <row r="207">
      <c r="A207" s="18">
        <v>45888.0</v>
      </c>
      <c r="B207" s="19"/>
      <c r="C207" s="18">
        <v>45888.0</v>
      </c>
      <c r="D207" s="20">
        <v>0.3402777777777778</v>
      </c>
      <c r="E207" s="22" t="s">
        <v>1921</v>
      </c>
      <c r="F207" s="22" t="s">
        <v>1922</v>
      </c>
      <c r="G207" s="22" t="s">
        <v>1923</v>
      </c>
      <c r="H207" s="22" t="s">
        <v>855</v>
      </c>
      <c r="I207" s="22" t="s">
        <v>644</v>
      </c>
      <c r="J207" s="22" t="s">
        <v>644</v>
      </c>
      <c r="K207" s="22" t="s">
        <v>143</v>
      </c>
      <c r="L207" s="22" t="s">
        <v>1924</v>
      </c>
      <c r="M207" s="22" t="s">
        <v>1925</v>
      </c>
      <c r="N207" s="22" t="s">
        <v>1048</v>
      </c>
      <c r="O207" s="23" t="s">
        <v>1926</v>
      </c>
      <c r="P207" s="22" t="s">
        <v>48</v>
      </c>
      <c r="Q207" s="50" t="s">
        <v>65</v>
      </c>
      <c r="R207" s="22" t="s">
        <v>1405</v>
      </c>
      <c r="S207" s="22" t="s">
        <v>51</v>
      </c>
      <c r="T207" s="22" t="s">
        <v>52</v>
      </c>
      <c r="U207" s="22" t="s">
        <v>52</v>
      </c>
      <c r="V207" s="22" t="s">
        <v>52</v>
      </c>
      <c r="W207" s="18">
        <v>45888.0</v>
      </c>
      <c r="X207" s="20">
        <v>0.3402777777777778</v>
      </c>
      <c r="Y207" s="18">
        <v>45888.0</v>
      </c>
      <c r="Z207" s="20">
        <v>0.4798611111111111</v>
      </c>
      <c r="AA207" s="20">
        <v>0.48055555555555557</v>
      </c>
      <c r="AB207" s="54"/>
      <c r="AC207" s="54"/>
      <c r="AD207" s="51">
        <v>0.5</v>
      </c>
      <c r="AE207" s="18">
        <v>45888.0</v>
      </c>
      <c r="AF207" s="22" t="s">
        <v>53</v>
      </c>
      <c r="AG207" s="22" t="s">
        <v>293</v>
      </c>
      <c r="AH207" s="22" t="s">
        <v>1927</v>
      </c>
      <c r="AI207" s="62" t="str">
        <f>IFERROR(__xludf.DUMMYFUNCTION("IF(OR(W207="""",X207="""",AE207="""",AD207=""""),"""",
   TEXT(
     (
       (AE207+AD207 + IF(AE207+AD207 &lt; W207+X207,1,0)) - (W207+X207)
     )
     - IF(AND(AB207&lt;&gt;"""",AC207&lt;&gt;""""), 
          SUM(ARRAYFORMULA(SPLIT(AC207,"","") - SPLIT(AB207,"",""))"&amp;"), 
          0
       ),
     ""[hh]:mm""
   )
)
"),"03:50")</f>
        <v>03:50</v>
      </c>
      <c r="AJ207" s="27">
        <f t="shared" si="9"/>
        <v>0</v>
      </c>
      <c r="AK207" s="63" t="str">
        <f t="shared" si="10"/>
        <v>Pass</v>
      </c>
    </row>
    <row r="208">
      <c r="A208" s="18">
        <v>45888.0</v>
      </c>
      <c r="B208" s="19"/>
      <c r="C208" s="18">
        <v>45888.0</v>
      </c>
      <c r="D208" s="20">
        <v>0.5</v>
      </c>
      <c r="E208" s="22" t="s">
        <v>1928</v>
      </c>
      <c r="F208" s="22" t="s">
        <v>1922</v>
      </c>
      <c r="G208" s="22" t="s">
        <v>1923</v>
      </c>
      <c r="H208" s="22" t="s">
        <v>605</v>
      </c>
      <c r="I208" s="22" t="s">
        <v>234</v>
      </c>
      <c r="J208" s="22" t="s">
        <v>42</v>
      </c>
      <c r="K208" s="22" t="s">
        <v>61</v>
      </c>
      <c r="L208" s="22" t="s">
        <v>183</v>
      </c>
      <c r="M208" s="22" t="s">
        <v>1929</v>
      </c>
      <c r="N208" s="22" t="s">
        <v>1930</v>
      </c>
      <c r="O208" s="23" t="s">
        <v>1931</v>
      </c>
      <c r="P208" s="22" t="s">
        <v>75</v>
      </c>
      <c r="Q208" s="50" t="s">
        <v>65</v>
      </c>
      <c r="R208" s="22" t="s">
        <v>1932</v>
      </c>
      <c r="S208" s="22" t="s">
        <v>51</v>
      </c>
      <c r="T208" s="22" t="s">
        <v>52</v>
      </c>
      <c r="U208" s="22" t="s">
        <v>52</v>
      </c>
      <c r="V208" s="22" t="s">
        <v>52</v>
      </c>
      <c r="W208" s="18">
        <v>45888.0</v>
      </c>
      <c r="X208" s="20">
        <v>0.5</v>
      </c>
      <c r="Y208" s="18">
        <v>45888.0</v>
      </c>
      <c r="Z208" s="20">
        <v>0.4798611111111111</v>
      </c>
      <c r="AA208" s="20">
        <v>0.5</v>
      </c>
      <c r="AB208" s="50" t="s">
        <v>1933</v>
      </c>
      <c r="AC208" s="50" t="s">
        <v>1934</v>
      </c>
      <c r="AD208" s="51">
        <v>0.9097222222222222</v>
      </c>
      <c r="AE208" s="18">
        <v>45888.0</v>
      </c>
      <c r="AF208" s="22" t="s">
        <v>53</v>
      </c>
      <c r="AG208" s="22" t="s">
        <v>293</v>
      </c>
      <c r="AH208" s="22" t="s">
        <v>1927</v>
      </c>
      <c r="AI208" s="26" t="str">
        <f>IFERROR(__xludf.DUMMYFUNCTION("IF(OR(W208="""",X208="""",AE208="""",AD208=""""),"""",
   TEXT(
     (
       (AE208+AD208 + IF(AE208+AD208 &lt; W208+X208,1,0)) - (W208+X208)
     )
     - IF(AND(AB208&lt;&gt;"""",AC208&lt;&gt;""""), 
          SUM(ARRAYFORMULA(SPLIT(AC208,"","") - SPLIT(AB208,"",""))"&amp;"), 
          0
       ),
     ""[hh]:mm""
   )
)
"),"04:57")</f>
        <v>04:57</v>
      </c>
      <c r="AJ208" s="55">
        <f t="shared" si="9"/>
        <v>0</v>
      </c>
      <c r="AK208" s="28" t="str">
        <f t="shared" si="10"/>
        <v>Pass</v>
      </c>
    </row>
    <row r="209">
      <c r="A209" s="45">
        <v>45888.0</v>
      </c>
      <c r="B209" s="46"/>
      <c r="C209" s="45">
        <v>45888.0</v>
      </c>
      <c r="D209" s="49">
        <v>0.3590277777777778</v>
      </c>
      <c r="E209" s="21" t="s">
        <v>1935</v>
      </c>
      <c r="F209" s="21" t="s">
        <v>1353</v>
      </c>
      <c r="G209" s="21" t="s">
        <v>1354</v>
      </c>
      <c r="H209" s="21" t="s">
        <v>253</v>
      </c>
      <c r="I209" s="21" t="s">
        <v>815</v>
      </c>
      <c r="J209" s="21" t="s">
        <v>1084</v>
      </c>
      <c r="K209" s="21" t="s">
        <v>1936</v>
      </c>
      <c r="L209" s="21" t="s">
        <v>1776</v>
      </c>
      <c r="M209" s="21" t="s">
        <v>1937</v>
      </c>
      <c r="N209" s="21" t="s">
        <v>1938</v>
      </c>
      <c r="O209" s="48" t="s">
        <v>1939</v>
      </c>
      <c r="P209" s="21" t="s">
        <v>48</v>
      </c>
      <c r="Q209" s="24" t="s">
        <v>65</v>
      </c>
      <c r="R209" s="21" t="s">
        <v>1940</v>
      </c>
      <c r="S209" s="21" t="s">
        <v>51</v>
      </c>
      <c r="T209" s="21" t="s">
        <v>52</v>
      </c>
      <c r="U209" s="21" t="s">
        <v>52</v>
      </c>
      <c r="V209" s="21" t="s">
        <v>52</v>
      </c>
      <c r="W209" s="45">
        <v>45888.0</v>
      </c>
      <c r="X209" s="49">
        <v>0.3590277777777778</v>
      </c>
      <c r="Y209" s="45">
        <v>45888.0</v>
      </c>
      <c r="Z209" s="49">
        <v>0.4173611111111111</v>
      </c>
      <c r="AA209" s="49">
        <v>0.4236111111111111</v>
      </c>
      <c r="AB209" s="29"/>
      <c r="AC209" s="29"/>
      <c r="AD209" s="25">
        <v>0.4375</v>
      </c>
      <c r="AE209" s="45">
        <v>45888.0</v>
      </c>
      <c r="AF209" s="21" t="s">
        <v>53</v>
      </c>
      <c r="AG209" s="21" t="s">
        <v>67</v>
      </c>
      <c r="AH209" s="21" t="s">
        <v>1941</v>
      </c>
      <c r="AI209" s="62" t="str">
        <f>IFERROR(__xludf.DUMMYFUNCTION("IF(OR(W209="""",X209="""",AE209="""",AD209=""""),"""",
   TEXT(
     (
       (AE209+AD209 + IF(AE209+AD209 &lt; W209+X209,1,0)) - (W209+X209)
     )
     - IF(AND(AB209&lt;&gt;"""",AC209&lt;&gt;""""), 
          SUM(ARRAYFORMULA(SPLIT(AC209,"","") - SPLIT(AB209,"",""))"&amp;"), 
          0
       ),
     ""[hh]:mm""
   )
)
"),"01:53")</f>
        <v>01:53</v>
      </c>
      <c r="AJ209" s="27">
        <f t="shared" si="9"/>
        <v>0</v>
      </c>
      <c r="AK209" s="63" t="str">
        <f t="shared" si="10"/>
        <v>Pass</v>
      </c>
    </row>
    <row r="210">
      <c r="A210" s="18">
        <v>45888.0</v>
      </c>
      <c r="B210" s="19"/>
      <c r="C210" s="18">
        <v>45888.0</v>
      </c>
      <c r="D210" s="20">
        <v>0.3909722222222222</v>
      </c>
      <c r="E210" s="22" t="s">
        <v>1942</v>
      </c>
      <c r="F210" s="22" t="s">
        <v>1891</v>
      </c>
      <c r="G210" s="22" t="s">
        <v>1892</v>
      </c>
      <c r="H210" s="22" t="s">
        <v>1943</v>
      </c>
      <c r="I210" s="22" t="s">
        <v>1944</v>
      </c>
      <c r="J210" s="22" t="s">
        <v>1084</v>
      </c>
      <c r="K210" s="22" t="s">
        <v>1576</v>
      </c>
      <c r="L210" s="22" t="s">
        <v>1945</v>
      </c>
      <c r="M210" s="22" t="s">
        <v>1946</v>
      </c>
      <c r="N210" s="22" t="s">
        <v>1943</v>
      </c>
      <c r="O210" s="23" t="s">
        <v>1897</v>
      </c>
      <c r="P210" s="22" t="s">
        <v>48</v>
      </c>
      <c r="Q210" s="50" t="s">
        <v>65</v>
      </c>
      <c r="R210" s="22" t="s">
        <v>1947</v>
      </c>
      <c r="S210" s="22" t="s">
        <v>51</v>
      </c>
      <c r="T210" s="22" t="s">
        <v>52</v>
      </c>
      <c r="U210" s="22" t="s">
        <v>52</v>
      </c>
      <c r="V210" s="22" t="s">
        <v>52</v>
      </c>
      <c r="W210" s="18">
        <v>45888.0</v>
      </c>
      <c r="X210" s="20">
        <v>0.3909722222222222</v>
      </c>
      <c r="Y210" s="18">
        <v>45888.0</v>
      </c>
      <c r="Z210" s="20">
        <v>0.9597222222222223</v>
      </c>
      <c r="AA210" s="20">
        <v>0.9618055555555556</v>
      </c>
      <c r="AB210" s="54"/>
      <c r="AC210" s="54"/>
      <c r="AD210" s="51">
        <v>0.7243055555555555</v>
      </c>
      <c r="AE210" s="18">
        <v>45888.0</v>
      </c>
      <c r="AF210" s="22" t="s">
        <v>53</v>
      </c>
      <c r="AG210" s="22" t="s">
        <v>89</v>
      </c>
      <c r="AH210" s="22" t="s">
        <v>1901</v>
      </c>
      <c r="AI210" s="62" t="str">
        <f>IFERROR(__xludf.DUMMYFUNCTION("IF(OR(W210="""",X210="""",AE210="""",AD210=""""),"""",
   TEXT(
     (
       (AE210+AD210 + IF(AE210+AD210 &lt; W210+X210,1,0)) - (W210+X210)
     )
     - IF(AND(AB210&lt;&gt;"""",AC210&lt;&gt;""""), 
          SUM(ARRAYFORMULA(SPLIT(AC210,"","") - SPLIT(AB210,"",""))"&amp;"), 
          0
       ),
     ""[hh]:mm""
   )
)
"),"08:00")</f>
        <v>08:00</v>
      </c>
      <c r="AJ210" s="27">
        <f t="shared" si="9"/>
        <v>0</v>
      </c>
      <c r="AK210" s="63" t="str">
        <f t="shared" si="10"/>
        <v>Pass</v>
      </c>
    </row>
    <row r="211">
      <c r="A211" s="45">
        <v>45888.0</v>
      </c>
      <c r="B211" s="46"/>
      <c r="C211" s="45">
        <v>45888.0</v>
      </c>
      <c r="D211" s="49">
        <v>0.6027777777777777</v>
      </c>
      <c r="E211" s="21" t="s">
        <v>1948</v>
      </c>
      <c r="F211" s="21" t="s">
        <v>363</v>
      </c>
      <c r="G211" s="21" t="s">
        <v>364</v>
      </c>
      <c r="H211" s="21" t="s">
        <v>605</v>
      </c>
      <c r="I211" s="21" t="s">
        <v>95</v>
      </c>
      <c r="J211" s="21" t="s">
        <v>95</v>
      </c>
      <c r="K211" s="21" t="s">
        <v>333</v>
      </c>
      <c r="L211" s="21" t="s">
        <v>1949</v>
      </c>
      <c r="M211" s="21" t="s">
        <v>1950</v>
      </c>
      <c r="N211" s="21" t="s">
        <v>1951</v>
      </c>
      <c r="O211" s="48" t="s">
        <v>1952</v>
      </c>
      <c r="P211" s="21" t="s">
        <v>75</v>
      </c>
      <c r="Q211" s="24" t="s">
        <v>49</v>
      </c>
      <c r="R211" s="21" t="s">
        <v>1953</v>
      </c>
      <c r="S211" s="21" t="s">
        <v>51</v>
      </c>
      <c r="T211" s="22" t="s">
        <v>52</v>
      </c>
      <c r="U211" s="21" t="s">
        <v>52</v>
      </c>
      <c r="V211" s="21" t="s">
        <v>52</v>
      </c>
      <c r="W211" s="45">
        <v>45888.0</v>
      </c>
      <c r="X211" s="49">
        <v>0.6027777777777777</v>
      </c>
      <c r="Y211" s="45">
        <v>45888.0</v>
      </c>
      <c r="Z211" s="76">
        <v>0.9541666666666667</v>
      </c>
      <c r="AA211" s="49">
        <v>0.9548611111111112</v>
      </c>
      <c r="AB211" s="25">
        <v>0.6027777777777777</v>
      </c>
      <c r="AC211" s="25">
        <v>0.9791666666666666</v>
      </c>
      <c r="AD211" s="25">
        <v>0.9965277777777778</v>
      </c>
      <c r="AE211" s="45">
        <v>45888.0</v>
      </c>
      <c r="AF211" s="21" t="s">
        <v>53</v>
      </c>
      <c r="AG211" s="21" t="s">
        <v>313</v>
      </c>
      <c r="AH211" s="21" t="s">
        <v>1954</v>
      </c>
      <c r="AI211" s="62" t="str">
        <f>IFERROR(__xludf.DUMMYFUNCTION("IF(OR(W211="""",X211="""",AE211="""",AD211=""""),"""",
   TEXT(
     (
       (AE211+AD211 + IF(AE211+AD211 &lt; W211+X211,1,0)) - (W211+X211)
     )
     - IF(AND(AB211&lt;&gt;"""",AC211&lt;&gt;""""), 
          SUM(ARRAYFORMULA(SPLIT(AC211,"","") - SPLIT(AB211,"",""))"&amp;"), 
          0
       ),
     ""[hh]:mm""
   )
)
"),"00:25")</f>
        <v>00:25</v>
      </c>
      <c r="AJ211" s="27">
        <f t="shared" si="9"/>
        <v>0</v>
      </c>
      <c r="AK211" s="63" t="str">
        <f t="shared" si="10"/>
        <v>Pass</v>
      </c>
    </row>
    <row r="212">
      <c r="A212" s="32">
        <v>45888.0</v>
      </c>
      <c r="B212" s="19"/>
      <c r="C212" s="18">
        <v>45888.0</v>
      </c>
      <c r="D212" s="20">
        <v>0.8590277777777777</v>
      </c>
      <c r="E212" s="22" t="s">
        <v>1955</v>
      </c>
      <c r="F212" s="22" t="s">
        <v>1956</v>
      </c>
      <c r="G212" s="22" t="s">
        <v>1957</v>
      </c>
      <c r="H212" s="22" t="s">
        <v>40</v>
      </c>
      <c r="I212" s="22" t="s">
        <v>60</v>
      </c>
      <c r="J212" s="22" t="s">
        <v>42</v>
      </c>
      <c r="K212" s="22" t="s">
        <v>43</v>
      </c>
      <c r="L212" s="22" t="s">
        <v>44</v>
      </c>
      <c r="M212" s="22" t="s">
        <v>1958</v>
      </c>
      <c r="N212" s="22" t="s">
        <v>1959</v>
      </c>
      <c r="O212" s="23" t="s">
        <v>1960</v>
      </c>
      <c r="P212" s="22" t="s">
        <v>75</v>
      </c>
      <c r="Q212" s="50" t="s">
        <v>65</v>
      </c>
      <c r="R212" s="22" t="s">
        <v>1961</v>
      </c>
      <c r="S212" s="22" t="s">
        <v>51</v>
      </c>
      <c r="T212" s="22" t="s">
        <v>52</v>
      </c>
      <c r="U212" s="22" t="s">
        <v>52</v>
      </c>
      <c r="V212" s="22" t="s">
        <v>52</v>
      </c>
      <c r="W212" s="18">
        <v>45889.0</v>
      </c>
      <c r="X212" s="20">
        <v>0.34097222222222223</v>
      </c>
      <c r="Y212" s="18">
        <v>45889.0</v>
      </c>
      <c r="Z212" s="20">
        <v>0.42083333333333334</v>
      </c>
      <c r="AA212" s="20">
        <v>0.4236111111111111</v>
      </c>
      <c r="AB212" s="77">
        <v>0.5381944444444444</v>
      </c>
      <c r="AC212" s="77">
        <v>0.5590277777777778</v>
      </c>
      <c r="AD212" s="51">
        <v>0.5590277777777778</v>
      </c>
      <c r="AE212" s="18">
        <v>45889.0</v>
      </c>
      <c r="AF212" s="22" t="s">
        <v>53</v>
      </c>
      <c r="AG212" s="22" t="s">
        <v>583</v>
      </c>
      <c r="AH212" s="22" t="s">
        <v>1962</v>
      </c>
      <c r="AI212" s="26" t="str">
        <f>IFERROR(__xludf.DUMMYFUNCTION("IF(OR(W212="""",X212="""",AE212="""",AD212=""""),"""",
   TEXT(
     (
       (AE212+AD212 + IF(AE212+AD212 &lt; W212+X212,1,0)) - (W212+X212)
     )
     - IF(AND(AB212&lt;&gt;"""",AC212&lt;&gt;""""), 
          SUM(ARRAYFORMULA(SPLIT(AC212,"","") - SPLIT(AB212,"",""))"&amp;"), 
          0
       ),
     ""[hh]:mm""
   )
)
"),"04:44")</f>
        <v>04:44</v>
      </c>
      <c r="AJ212" s="55">
        <f t="shared" si="9"/>
        <v>0</v>
      </c>
      <c r="AK212" s="28" t="str">
        <f t="shared" si="10"/>
        <v>Pass</v>
      </c>
    </row>
    <row r="213">
      <c r="A213" s="45">
        <v>45888.0</v>
      </c>
      <c r="B213" s="46"/>
      <c r="C213" s="45">
        <v>45888.0</v>
      </c>
      <c r="D213" s="49">
        <v>0.9041666666666667</v>
      </c>
      <c r="E213" s="21" t="s">
        <v>1963</v>
      </c>
      <c r="F213" s="21" t="s">
        <v>1964</v>
      </c>
      <c r="G213" s="21" t="s">
        <v>1965</v>
      </c>
      <c r="H213" s="21" t="s">
        <v>566</v>
      </c>
      <c r="I213" s="21" t="s">
        <v>1944</v>
      </c>
      <c r="J213" s="21" t="s">
        <v>1084</v>
      </c>
      <c r="K213" s="21" t="s">
        <v>1966</v>
      </c>
      <c r="L213" s="47"/>
      <c r="M213" s="21" t="s">
        <v>1967</v>
      </c>
      <c r="N213" s="21" t="s">
        <v>1968</v>
      </c>
      <c r="O213" s="48" t="s">
        <v>1969</v>
      </c>
      <c r="P213" s="21" t="s">
        <v>48</v>
      </c>
      <c r="Q213" s="24" t="s">
        <v>65</v>
      </c>
      <c r="R213" s="21" t="s">
        <v>1970</v>
      </c>
      <c r="S213" s="21" t="s">
        <v>51</v>
      </c>
      <c r="T213" s="21" t="s">
        <v>52</v>
      </c>
      <c r="U213" s="21" t="s">
        <v>52</v>
      </c>
      <c r="V213" s="21" t="s">
        <v>52</v>
      </c>
      <c r="W213" s="45">
        <v>45888.0</v>
      </c>
      <c r="X213" s="49">
        <v>0.9041666666666667</v>
      </c>
      <c r="Y213" s="45">
        <v>45889.0</v>
      </c>
      <c r="Z213" s="49">
        <v>0.51875</v>
      </c>
      <c r="AA213" s="49">
        <v>0.5277777777777778</v>
      </c>
      <c r="AB213" s="29"/>
      <c r="AC213" s="29"/>
      <c r="AD213" s="25">
        <v>0.6027777777777777</v>
      </c>
      <c r="AE213" s="45">
        <v>45889.0</v>
      </c>
      <c r="AF213" s="21" t="s">
        <v>53</v>
      </c>
      <c r="AG213" s="21" t="s">
        <v>239</v>
      </c>
      <c r="AH213" s="21" t="s">
        <v>1971</v>
      </c>
      <c r="AI213" s="62" t="str">
        <f>IFERROR(__xludf.DUMMYFUNCTION("IF(OR(W213="""",X213="""",AE213="""",AD213=""""),"""",
   TEXT(
     (
       (AE213+AD213 + IF(AE213+AD213 &lt; W213+X213,1,0)) - (W213+X213)
     )
     - IF(AND(AB213&lt;&gt;"""",AC213&lt;&gt;""""), 
          SUM(ARRAYFORMULA(SPLIT(AC213,"","") - SPLIT(AB213,"",""))"&amp;"), 
          0
       ),
     ""[hh]:mm""
   )
)
"),"16:46")</f>
        <v>16:46</v>
      </c>
      <c r="AJ213" s="27">
        <f t="shared" si="9"/>
        <v>0.1986111111</v>
      </c>
      <c r="AK213" s="63" t="str">
        <f t="shared" si="10"/>
        <v>Fail</v>
      </c>
    </row>
    <row r="214">
      <c r="A214" s="45">
        <v>45888.0</v>
      </c>
      <c r="B214" s="46"/>
      <c r="C214" s="45">
        <v>45888.0</v>
      </c>
      <c r="D214" s="49">
        <v>0.9243055555555556</v>
      </c>
      <c r="E214" s="21" t="s">
        <v>641</v>
      </c>
      <c r="F214" s="21" t="s">
        <v>642</v>
      </c>
      <c r="G214" s="21" t="s">
        <v>643</v>
      </c>
      <c r="H214" s="21" t="s">
        <v>566</v>
      </c>
      <c r="I214" s="21" t="s">
        <v>928</v>
      </c>
      <c r="J214" s="21" t="s">
        <v>1394</v>
      </c>
      <c r="K214" s="47"/>
      <c r="L214" s="47"/>
      <c r="M214" s="47"/>
      <c r="N214" s="21" t="s">
        <v>1972</v>
      </c>
      <c r="O214" s="48" t="s">
        <v>1973</v>
      </c>
      <c r="P214" s="21" t="s">
        <v>48</v>
      </c>
      <c r="Q214" s="24" t="s">
        <v>65</v>
      </c>
      <c r="R214" s="21" t="s">
        <v>1974</v>
      </c>
      <c r="S214" s="21" t="s">
        <v>51</v>
      </c>
      <c r="T214" s="21" t="s">
        <v>52</v>
      </c>
      <c r="U214" s="21" t="s">
        <v>52</v>
      </c>
      <c r="V214" s="21" t="s">
        <v>52</v>
      </c>
      <c r="W214" s="45">
        <v>45889.0</v>
      </c>
      <c r="X214" s="49">
        <v>0.45902777777777776</v>
      </c>
      <c r="Y214" s="45">
        <v>45889.0</v>
      </c>
      <c r="Z214" s="49">
        <v>0.5722222222222222</v>
      </c>
      <c r="AA214" s="49">
        <v>0.6666666666666666</v>
      </c>
      <c r="AB214" s="25">
        <v>0.5722222222222222</v>
      </c>
      <c r="AC214" s="49">
        <v>0.6666666666666666</v>
      </c>
      <c r="AD214" s="25">
        <v>0.7083333333333334</v>
      </c>
      <c r="AE214" s="45">
        <v>45889.0</v>
      </c>
      <c r="AF214" s="21" t="s">
        <v>53</v>
      </c>
      <c r="AG214" s="21" t="s">
        <v>1975</v>
      </c>
      <c r="AH214" s="21" t="s">
        <v>1976</v>
      </c>
      <c r="AI214" s="62" t="str">
        <f>IFERROR(__xludf.DUMMYFUNCTION("IF(OR(W214="""",X214="""",AE214="""",AD214=""""),"""",
   TEXT(
     (
       (AE214+AD214 + IF(AE214+AD214 &lt; W214+X214,1,0)) - (W214+X214)
     )
     - IF(AND(AB214&lt;&gt;"""",AC214&lt;&gt;""""), 
          SUM(ARRAYFORMULA(SPLIT(AC214,"","") - SPLIT(AB214,"",""))"&amp;"), 
          0
       ),
     ""[hh]:mm""
   )
)
"),"03:43")</f>
        <v>03:43</v>
      </c>
      <c r="AJ214" s="27">
        <f t="shared" si="9"/>
        <v>0</v>
      </c>
      <c r="AK214" s="63" t="str">
        <f t="shared" si="10"/>
        <v>Pass</v>
      </c>
    </row>
    <row r="215">
      <c r="A215" s="45">
        <v>45889.0</v>
      </c>
      <c r="B215" s="46"/>
      <c r="C215" s="45">
        <v>45889.0</v>
      </c>
      <c r="D215" s="49">
        <v>0.32222222222222224</v>
      </c>
      <c r="E215" s="21" t="s">
        <v>1977</v>
      </c>
      <c r="F215" s="21" t="s">
        <v>1978</v>
      </c>
      <c r="G215" s="21" t="s">
        <v>1979</v>
      </c>
      <c r="H215" s="21" t="s">
        <v>182</v>
      </c>
      <c r="I215" s="21" t="s">
        <v>234</v>
      </c>
      <c r="J215" s="21" t="s">
        <v>42</v>
      </c>
      <c r="K215" s="21" t="s">
        <v>61</v>
      </c>
      <c r="L215" s="21" t="s">
        <v>183</v>
      </c>
      <c r="M215" s="21" t="s">
        <v>1980</v>
      </c>
      <c r="N215" s="21" t="s">
        <v>1981</v>
      </c>
      <c r="O215" s="48" t="s">
        <v>1982</v>
      </c>
      <c r="P215" s="21" t="s">
        <v>75</v>
      </c>
      <c r="Q215" s="24" t="s">
        <v>65</v>
      </c>
      <c r="R215" s="21" t="s">
        <v>1983</v>
      </c>
      <c r="S215" s="21" t="s">
        <v>51</v>
      </c>
      <c r="T215" s="21" t="s">
        <v>52</v>
      </c>
      <c r="U215" s="21" t="s">
        <v>52</v>
      </c>
      <c r="V215" s="21" t="s">
        <v>52</v>
      </c>
      <c r="W215" s="45">
        <v>45889.0</v>
      </c>
      <c r="X215" s="49">
        <v>0.32222222222222224</v>
      </c>
      <c r="Y215" s="45">
        <v>45889.0</v>
      </c>
      <c r="Z215" s="49">
        <v>0.4798611111111111</v>
      </c>
      <c r="AA215" s="49">
        <v>0.5</v>
      </c>
      <c r="AB215" s="24" t="s">
        <v>1984</v>
      </c>
      <c r="AC215" s="24" t="s">
        <v>1985</v>
      </c>
      <c r="AD215" s="25">
        <v>0.05555555555555555</v>
      </c>
      <c r="AE215" s="45">
        <v>45890.0</v>
      </c>
      <c r="AF215" s="21" t="s">
        <v>53</v>
      </c>
      <c r="AG215" s="21" t="s">
        <v>293</v>
      </c>
      <c r="AH215" s="21" t="s">
        <v>1986</v>
      </c>
      <c r="AI215" s="62" t="str">
        <f>IFERROR(__xludf.DUMMYFUNCTION("IF(OR(W215="""",X215="""",AE215="""",AD215=""""),"""",
   TEXT(
     (
       (AE215+AD215 + IF(AE215+AD215 &lt; W215+X215,1,0)) - (W215+X215)
     )
     - IF(AND(AB215&lt;&gt;"""",AC215&lt;&gt;""""), 
          SUM(ARRAYFORMULA(SPLIT(AC215,"","") - SPLIT(AB215,"",""))"&amp;"), 
          0
       ),
     ""[hh]:mm""
   )
)
"),"11:28")</f>
        <v>11:28</v>
      </c>
      <c r="AJ215" s="27">
        <f t="shared" si="9"/>
        <v>0</v>
      </c>
      <c r="AK215" s="63" t="str">
        <f t="shared" si="10"/>
        <v>Pass</v>
      </c>
    </row>
    <row r="216">
      <c r="A216" s="45">
        <v>45889.0</v>
      </c>
      <c r="B216" s="46"/>
      <c r="C216" s="45">
        <v>45889.0</v>
      </c>
      <c r="D216" s="49">
        <v>0.325</v>
      </c>
      <c r="E216" s="21" t="s">
        <v>1987</v>
      </c>
      <c r="F216" s="21" t="s">
        <v>1439</v>
      </c>
      <c r="G216" s="21" t="s">
        <v>1440</v>
      </c>
      <c r="H216" s="21" t="s">
        <v>1744</v>
      </c>
      <c r="I216" s="21" t="s">
        <v>1745</v>
      </c>
      <c r="J216" s="21" t="s">
        <v>1745</v>
      </c>
      <c r="K216" s="21" t="s">
        <v>1988</v>
      </c>
      <c r="L216" s="21" t="s">
        <v>1989</v>
      </c>
      <c r="M216" s="21" t="s">
        <v>1990</v>
      </c>
      <c r="N216" s="21" t="s">
        <v>1991</v>
      </c>
      <c r="O216" s="48" t="s">
        <v>1992</v>
      </c>
      <c r="P216" s="21" t="s">
        <v>75</v>
      </c>
      <c r="Q216" s="24" t="s">
        <v>65</v>
      </c>
      <c r="R216" s="21" t="s">
        <v>1993</v>
      </c>
      <c r="S216" s="21" t="s">
        <v>51</v>
      </c>
      <c r="T216" s="21" t="s">
        <v>52</v>
      </c>
      <c r="U216" s="21" t="s">
        <v>52</v>
      </c>
      <c r="V216" s="21" t="s">
        <v>52</v>
      </c>
      <c r="W216" s="45">
        <v>45889.0</v>
      </c>
      <c r="X216" s="49">
        <v>0.325</v>
      </c>
      <c r="Y216" s="45">
        <v>45889.0</v>
      </c>
      <c r="Z216" s="49">
        <v>0.7340277777777777</v>
      </c>
      <c r="AA216" s="49">
        <v>0.75</v>
      </c>
      <c r="AB216" s="25">
        <v>0.7340277777777777</v>
      </c>
      <c r="AC216" s="25">
        <v>0.75</v>
      </c>
      <c r="AD216" s="25">
        <v>0.7777777777777778</v>
      </c>
      <c r="AE216" s="45">
        <v>45889.0</v>
      </c>
      <c r="AF216" s="21" t="s">
        <v>53</v>
      </c>
      <c r="AG216" s="21" t="s">
        <v>239</v>
      </c>
      <c r="AH216" s="21" t="s">
        <v>1994</v>
      </c>
      <c r="AI216" s="62" t="str">
        <f>IFERROR(__xludf.DUMMYFUNCTION("IF(OR(W216="""",X216="""",AE216="""",AD216=""""),"""",
   TEXT(
     (
       (AE216+AD216 + IF(AE216+AD216 &lt; W216+X216,1,0)) - (W216+X216)
     )
     - IF(AND(AB216&lt;&gt;"""",AC216&lt;&gt;""""), 
          SUM(ARRAYFORMULA(SPLIT(AC216,"","") - SPLIT(AB216,"",""))"&amp;"), 
          0
       ),
     ""[hh]:mm""
   )
)
"),"10:29")</f>
        <v>10:29</v>
      </c>
      <c r="AJ216" s="27">
        <f t="shared" si="9"/>
        <v>0</v>
      </c>
      <c r="AK216" s="63" t="str">
        <f t="shared" si="10"/>
        <v>Pass</v>
      </c>
    </row>
    <row r="217">
      <c r="A217" s="18">
        <v>45889.0</v>
      </c>
      <c r="B217" s="19"/>
      <c r="C217" s="18">
        <v>45889.0</v>
      </c>
      <c r="D217" s="20">
        <v>0.3902777777777778</v>
      </c>
      <c r="E217" s="22" t="s">
        <v>1995</v>
      </c>
      <c r="F217" s="22" t="s">
        <v>1996</v>
      </c>
      <c r="G217" s="22" t="s">
        <v>1997</v>
      </c>
      <c r="H217" s="22" t="s">
        <v>1468</v>
      </c>
      <c r="I217" s="22" t="s">
        <v>928</v>
      </c>
      <c r="J217" s="22" t="s">
        <v>1084</v>
      </c>
      <c r="K217" s="22" t="s">
        <v>1998</v>
      </c>
      <c r="L217" s="22" t="s">
        <v>1999</v>
      </c>
      <c r="M217" s="22" t="s">
        <v>2000</v>
      </c>
      <c r="N217" s="22" t="s">
        <v>2001</v>
      </c>
      <c r="O217" s="23" t="s">
        <v>2002</v>
      </c>
      <c r="P217" s="22" t="s">
        <v>48</v>
      </c>
      <c r="Q217" s="50" t="s">
        <v>449</v>
      </c>
      <c r="R217" s="22" t="s">
        <v>2003</v>
      </c>
      <c r="S217" s="22" t="s">
        <v>51</v>
      </c>
      <c r="T217" s="22" t="s">
        <v>52</v>
      </c>
      <c r="U217" s="22" t="s">
        <v>52</v>
      </c>
      <c r="V217" s="22" t="s">
        <v>52</v>
      </c>
      <c r="W217" s="18">
        <v>45891.0</v>
      </c>
      <c r="X217" s="19"/>
      <c r="Y217" s="52"/>
      <c r="Z217" s="19"/>
      <c r="AA217" s="19"/>
      <c r="AB217" s="54"/>
      <c r="AC217" s="54"/>
      <c r="AD217" s="54"/>
      <c r="AE217" s="18">
        <v>45891.0</v>
      </c>
      <c r="AF217" s="22" t="s">
        <v>53</v>
      </c>
      <c r="AG217" s="22" t="s">
        <v>2004</v>
      </c>
      <c r="AH217" s="31"/>
      <c r="AI217" s="64" t="str">
        <f>IFERROR(__xludf.DUMMYFUNCTION("IF(OR(W217="""",X217="""",AE217="""",AD217=""""),"""",
   TEXT(
     (
       (AE217+AD217 + IF(AE217+AD217 &lt; W217+X217,1,0)) - (W217+X217)
     )
     - IF(AND(AB217&lt;&gt;"""",AC217&lt;&gt;""""), 
          SUM(ARRAYFORMULA(SPLIT(AC217,"","") - SPLIT(AB217,"",""))"&amp;"), 
          0
       ),
     ""[hh]:mm""
   )
)
"),"")</f>
        <v/>
      </c>
      <c r="AJ217" s="65" t="str">
        <f t="shared" si="9"/>
        <v/>
      </c>
      <c r="AK217" s="66" t="str">
        <f t="shared" si="10"/>
        <v/>
      </c>
    </row>
    <row r="218">
      <c r="A218" s="18">
        <v>45889.0</v>
      </c>
      <c r="B218" s="19"/>
      <c r="C218" s="18">
        <v>45889.0</v>
      </c>
      <c r="D218" s="20">
        <v>0.3902777777777778</v>
      </c>
      <c r="E218" s="22" t="s">
        <v>2005</v>
      </c>
      <c r="F218" s="22" t="s">
        <v>2006</v>
      </c>
      <c r="G218" s="22" t="s">
        <v>2007</v>
      </c>
      <c r="H218" s="22" t="s">
        <v>1468</v>
      </c>
      <c r="I218" s="22" t="s">
        <v>928</v>
      </c>
      <c r="J218" s="22" t="s">
        <v>1084</v>
      </c>
      <c r="K218" s="22" t="s">
        <v>1998</v>
      </c>
      <c r="L218" s="22" t="s">
        <v>1999</v>
      </c>
      <c r="M218" s="22" t="s">
        <v>2008</v>
      </c>
      <c r="N218" s="22" t="s">
        <v>2001</v>
      </c>
      <c r="O218" s="23" t="s">
        <v>2002</v>
      </c>
      <c r="P218" s="22" t="s">
        <v>48</v>
      </c>
      <c r="Q218" s="50" t="s">
        <v>449</v>
      </c>
      <c r="R218" s="22" t="s">
        <v>2009</v>
      </c>
      <c r="S218" s="22" t="s">
        <v>51</v>
      </c>
      <c r="T218" s="22" t="s">
        <v>52</v>
      </c>
      <c r="U218" s="22" t="s">
        <v>52</v>
      </c>
      <c r="V218" s="22" t="s">
        <v>52</v>
      </c>
      <c r="W218" s="18">
        <v>45892.0</v>
      </c>
      <c r="X218" s="19"/>
      <c r="Y218" s="52"/>
      <c r="Z218" s="19"/>
      <c r="AA218" s="19"/>
      <c r="AB218" s="54"/>
      <c r="AC218" s="54"/>
      <c r="AD218" s="54"/>
      <c r="AE218" s="18">
        <v>45892.0</v>
      </c>
      <c r="AF218" s="22" t="s">
        <v>53</v>
      </c>
      <c r="AG218" s="22" t="s">
        <v>561</v>
      </c>
      <c r="AH218" s="31"/>
      <c r="AI218" s="64" t="str">
        <f>IFERROR(__xludf.DUMMYFUNCTION("IF(OR(W218="""",X218="""",AE218="""",AD218=""""),"""",
   TEXT(
     (
       (AE218+AD218 + IF(AE218+AD218 &lt; W218+X218,1,0)) - (W218+X218)
     )
     - IF(AND(AB218&lt;&gt;"""",AC218&lt;&gt;""""), 
          SUM(ARRAYFORMULA(SPLIT(AC218,"","") - SPLIT(AB218,"",""))"&amp;"), 
          0
       ),
     ""[hh]:mm""
   )
)
"),"")</f>
        <v/>
      </c>
      <c r="AJ218" s="65" t="str">
        <f t="shared" si="9"/>
        <v/>
      </c>
      <c r="AK218" s="66" t="str">
        <f t="shared" si="10"/>
        <v/>
      </c>
    </row>
    <row r="219">
      <c r="A219" s="18">
        <v>45889.0</v>
      </c>
      <c r="B219" s="19"/>
      <c r="C219" s="18">
        <v>45889.0</v>
      </c>
      <c r="D219" s="20">
        <v>0.3902777777777778</v>
      </c>
      <c r="E219" s="22" t="s">
        <v>2010</v>
      </c>
      <c r="F219" s="22" t="s">
        <v>2011</v>
      </c>
      <c r="G219" s="22" t="s">
        <v>2012</v>
      </c>
      <c r="H219" s="22" t="s">
        <v>1468</v>
      </c>
      <c r="I219" s="22" t="s">
        <v>928</v>
      </c>
      <c r="J219" s="22" t="s">
        <v>1084</v>
      </c>
      <c r="K219" s="22" t="s">
        <v>1470</v>
      </c>
      <c r="L219" s="22" t="s">
        <v>2013</v>
      </c>
      <c r="M219" s="22">
        <v>8.63803030162377E14</v>
      </c>
      <c r="N219" s="22" t="s">
        <v>2014</v>
      </c>
      <c r="O219" s="23" t="s">
        <v>2002</v>
      </c>
      <c r="P219" s="22" t="s">
        <v>48</v>
      </c>
      <c r="Q219" s="50" t="s">
        <v>449</v>
      </c>
      <c r="R219" s="22" t="s">
        <v>2009</v>
      </c>
      <c r="S219" s="22" t="s">
        <v>51</v>
      </c>
      <c r="T219" s="22" t="s">
        <v>52</v>
      </c>
      <c r="U219" s="22" t="s">
        <v>52</v>
      </c>
      <c r="V219" s="22" t="s">
        <v>52</v>
      </c>
      <c r="W219" s="18">
        <v>45892.0</v>
      </c>
      <c r="X219" s="19"/>
      <c r="Y219" s="52"/>
      <c r="Z219" s="19"/>
      <c r="AA219" s="19"/>
      <c r="AB219" s="54"/>
      <c r="AC219" s="54"/>
      <c r="AD219" s="54"/>
      <c r="AE219" s="18">
        <v>45892.0</v>
      </c>
      <c r="AF219" s="22" t="s">
        <v>53</v>
      </c>
      <c r="AG219" s="22" t="s">
        <v>2015</v>
      </c>
      <c r="AH219" s="31"/>
      <c r="AI219" s="64" t="str">
        <f>IFERROR(__xludf.DUMMYFUNCTION("IF(OR(W219="""",X219="""",AE219="""",AD219=""""),"""",
   TEXT(
     (
       (AE219+AD219 + IF(AE219+AD219 &lt; W219+X219,1,0)) - (W219+X219)
     )
     - IF(AND(AB219&lt;&gt;"""",AC219&lt;&gt;""""), 
          SUM(ARRAYFORMULA(SPLIT(AC219,"","") - SPLIT(AB219,"",""))"&amp;"), 
          0
       ),
     ""[hh]:mm""
   )
)
"),"")</f>
        <v/>
      </c>
      <c r="AJ219" s="65" t="str">
        <f t="shared" si="9"/>
        <v/>
      </c>
      <c r="AK219" s="66" t="str">
        <f t="shared" si="10"/>
        <v/>
      </c>
    </row>
    <row r="220">
      <c r="A220" s="45">
        <v>45889.0</v>
      </c>
      <c r="B220" s="46"/>
      <c r="C220" s="45">
        <v>45889.0</v>
      </c>
      <c r="D220" s="49">
        <v>0.40625</v>
      </c>
      <c r="E220" s="21" t="s">
        <v>2016</v>
      </c>
      <c r="F220" s="21" t="s">
        <v>2017</v>
      </c>
      <c r="G220" s="21" t="s">
        <v>2018</v>
      </c>
      <c r="H220" s="21" t="s">
        <v>142</v>
      </c>
      <c r="I220" s="21" t="s">
        <v>644</v>
      </c>
      <c r="J220" s="21" t="s">
        <v>644</v>
      </c>
      <c r="K220" s="21" t="s">
        <v>2019</v>
      </c>
      <c r="L220" s="21" t="s">
        <v>2020</v>
      </c>
      <c r="M220" s="47"/>
      <c r="N220" s="21" t="s">
        <v>2021</v>
      </c>
      <c r="O220" s="48" t="s">
        <v>2022</v>
      </c>
      <c r="P220" s="21" t="s">
        <v>75</v>
      </c>
      <c r="Q220" s="24" t="s">
        <v>65</v>
      </c>
      <c r="R220" s="57" t="s">
        <v>2023</v>
      </c>
      <c r="S220" s="21" t="s">
        <v>51</v>
      </c>
      <c r="T220" s="21" t="s">
        <v>52</v>
      </c>
      <c r="U220" s="21" t="s">
        <v>52</v>
      </c>
      <c r="V220" s="21" t="s">
        <v>52</v>
      </c>
      <c r="W220" s="45">
        <v>45889.0</v>
      </c>
      <c r="X220" s="49">
        <v>0.40625</v>
      </c>
      <c r="Y220" s="45">
        <v>45889.0</v>
      </c>
      <c r="Z220" s="76">
        <v>0.6388888888888888</v>
      </c>
      <c r="AA220" s="49">
        <v>0.6423611111111112</v>
      </c>
      <c r="AB220" s="29"/>
      <c r="AC220" s="29"/>
      <c r="AD220" s="25">
        <v>0.6666666666666666</v>
      </c>
      <c r="AE220" s="45">
        <v>45889.0</v>
      </c>
      <c r="AF220" s="21" t="s">
        <v>53</v>
      </c>
      <c r="AG220" s="21" t="s">
        <v>89</v>
      </c>
      <c r="AH220" s="21" t="s">
        <v>2024</v>
      </c>
      <c r="AI220" s="62" t="str">
        <f>IFERROR(__xludf.DUMMYFUNCTION("IF(OR(W220="""",X220="""",AE220="""",AD220=""""),"""",
   TEXT(
     (
       (AE220+AD220 + IF(AE220+AD220 &lt; W220+X220,1,0)) - (W220+X220)
     )
     - IF(AND(AB220&lt;&gt;"""",AC220&lt;&gt;""""), 
          SUM(ARRAYFORMULA(SPLIT(AC220,"","") - SPLIT(AB220,"",""))"&amp;"), 
          0
       ),
     ""[hh]:mm""
   )
)
"),"06:15")</f>
        <v>06:15</v>
      </c>
      <c r="AJ220" s="27">
        <f t="shared" si="9"/>
        <v>0</v>
      </c>
      <c r="AK220" s="63" t="str">
        <f t="shared" si="10"/>
        <v>Pass</v>
      </c>
    </row>
    <row r="221">
      <c r="A221" s="45">
        <v>45889.0</v>
      </c>
      <c r="B221" s="46"/>
      <c r="C221" s="45">
        <v>45889.0</v>
      </c>
      <c r="D221" s="49">
        <v>0.41875</v>
      </c>
      <c r="E221" s="21" t="s">
        <v>2025</v>
      </c>
      <c r="F221" s="21" t="s">
        <v>1432</v>
      </c>
      <c r="G221" s="21" t="s">
        <v>1433</v>
      </c>
      <c r="H221" s="21" t="s">
        <v>1287</v>
      </c>
      <c r="I221" s="21" t="s">
        <v>2026</v>
      </c>
      <c r="J221" s="21" t="s">
        <v>132</v>
      </c>
      <c r="K221" s="21" t="s">
        <v>43</v>
      </c>
      <c r="L221" s="21" t="s">
        <v>2027</v>
      </c>
      <c r="M221" s="21" t="s">
        <v>2028</v>
      </c>
      <c r="N221" s="21" t="s">
        <v>2029</v>
      </c>
      <c r="O221" s="48" t="s">
        <v>2030</v>
      </c>
      <c r="P221" s="21" t="s">
        <v>75</v>
      </c>
      <c r="Q221" s="24" t="s">
        <v>65</v>
      </c>
      <c r="R221" s="21" t="s">
        <v>2031</v>
      </c>
      <c r="S221" s="21" t="s">
        <v>51</v>
      </c>
      <c r="T221" s="21" t="s">
        <v>2032</v>
      </c>
      <c r="U221" s="21" t="s">
        <v>2033</v>
      </c>
      <c r="V221" s="21" t="s">
        <v>1120</v>
      </c>
      <c r="W221" s="45">
        <v>45889.0</v>
      </c>
      <c r="X221" s="49">
        <v>0.41875</v>
      </c>
      <c r="Y221" s="45">
        <v>45889.0</v>
      </c>
      <c r="Z221" s="49">
        <v>0.6145833333333334</v>
      </c>
      <c r="AA221" s="49">
        <v>0.6215277777777778</v>
      </c>
      <c r="AB221" s="25">
        <v>0.6319444444444444</v>
      </c>
      <c r="AC221" s="25">
        <v>0.9166666666666666</v>
      </c>
      <c r="AD221" s="25">
        <v>0.9201388888888888</v>
      </c>
      <c r="AE221" s="45">
        <v>45889.0</v>
      </c>
      <c r="AF221" s="21" t="s">
        <v>53</v>
      </c>
      <c r="AG221" s="21" t="s">
        <v>2034</v>
      </c>
      <c r="AH221" s="21" t="s">
        <v>2035</v>
      </c>
      <c r="AI221" s="62" t="str">
        <f>IFERROR(__xludf.DUMMYFUNCTION("IF(OR(W221="""",X221="""",AE221="""",AD221=""""),"""",
   TEXT(
     (
       (AE221+AD221 + IF(AE221+AD221 &lt; W221+X221,1,0)) - (W221+X221)
     )
     - IF(AND(AB221&lt;&gt;"""",AC221&lt;&gt;""""), 
          SUM(ARRAYFORMULA(SPLIT(AC221,"","") - SPLIT(AB221,"",""))"&amp;"), 
          0
       ),
     ""[hh]:mm""
   )
)
"),"05:12")</f>
        <v>05:12</v>
      </c>
      <c r="AJ221" s="27">
        <f t="shared" si="9"/>
        <v>0</v>
      </c>
      <c r="AK221" s="63" t="str">
        <f t="shared" si="10"/>
        <v>Pass</v>
      </c>
    </row>
    <row r="222">
      <c r="A222" s="45" t="s">
        <v>2036</v>
      </c>
      <c r="B222" s="46"/>
      <c r="C222" s="45" t="s">
        <v>2037</v>
      </c>
      <c r="D222" s="49">
        <v>0.44166666666666665</v>
      </c>
      <c r="E222" s="21" t="s">
        <v>2038</v>
      </c>
      <c r="F222" s="21" t="s">
        <v>842</v>
      </c>
      <c r="G222" s="21" t="s">
        <v>843</v>
      </c>
      <c r="H222" s="21" t="s">
        <v>566</v>
      </c>
      <c r="I222" s="21" t="s">
        <v>1153</v>
      </c>
      <c r="J222" s="21" t="s">
        <v>1056</v>
      </c>
      <c r="K222" s="21" t="s">
        <v>1263</v>
      </c>
      <c r="L222" s="21" t="s">
        <v>1585</v>
      </c>
      <c r="M222" s="21" t="s">
        <v>2039</v>
      </c>
      <c r="N222" s="21" t="s">
        <v>2040</v>
      </c>
      <c r="O222" s="48" t="s">
        <v>2041</v>
      </c>
      <c r="P222" s="21" t="s">
        <v>48</v>
      </c>
      <c r="Q222" s="24" t="s">
        <v>65</v>
      </c>
      <c r="R222" s="21" t="s">
        <v>2042</v>
      </c>
      <c r="S222" s="21" t="s">
        <v>51</v>
      </c>
      <c r="T222" s="21" t="s">
        <v>52</v>
      </c>
      <c r="U222" s="21" t="s">
        <v>52</v>
      </c>
      <c r="V222" s="21" t="s">
        <v>52</v>
      </c>
      <c r="W222" s="45">
        <v>45889.0</v>
      </c>
      <c r="X222" s="49">
        <v>0.44166666666666665</v>
      </c>
      <c r="Y222" s="45">
        <v>45889.0</v>
      </c>
      <c r="Z222" s="49">
        <v>0.5826388888888889</v>
      </c>
      <c r="AA222" s="49">
        <v>0.5868055555555556</v>
      </c>
      <c r="AB222" s="29"/>
      <c r="AC222" s="29"/>
      <c r="AD222" s="25">
        <v>0.6111111111111112</v>
      </c>
      <c r="AE222" s="45">
        <v>45889.0</v>
      </c>
      <c r="AF222" s="21" t="s">
        <v>53</v>
      </c>
      <c r="AG222" s="21" t="s">
        <v>113</v>
      </c>
      <c r="AH222" s="21" t="s">
        <v>2043</v>
      </c>
      <c r="AI222" s="62" t="str">
        <f>IFERROR(__xludf.DUMMYFUNCTION("IF(OR(W222="""",X222="""",AE222="""",AD222=""""),"""",
   TEXT(
     (
       (AE222+AD222 + IF(AE222+AD222 &lt; W222+X222,1,0)) - (W222+X222)
     )
     - IF(AND(AB222&lt;&gt;"""",AC222&lt;&gt;""""), 
          SUM(ARRAYFORMULA(SPLIT(AC222,"","") - SPLIT(AB222,"",""))"&amp;"), 
          0
       ),
     ""[hh]:mm""
   )
)
"),"04:04")</f>
        <v>04:04</v>
      </c>
      <c r="AJ222" s="27">
        <f t="shared" si="9"/>
        <v>0</v>
      </c>
      <c r="AK222" s="63" t="str">
        <f t="shared" si="10"/>
        <v>Pass</v>
      </c>
    </row>
    <row r="223">
      <c r="A223" s="45">
        <v>45889.0</v>
      </c>
      <c r="B223" s="46"/>
      <c r="C223" s="45">
        <v>45889.0</v>
      </c>
      <c r="D223" s="49">
        <v>0.5111111111111111</v>
      </c>
      <c r="E223" s="21" t="s">
        <v>2044</v>
      </c>
      <c r="F223" s="21" t="s">
        <v>2045</v>
      </c>
      <c r="G223" s="21" t="s">
        <v>2046</v>
      </c>
      <c r="H223" s="21" t="s">
        <v>130</v>
      </c>
      <c r="I223" s="21" t="s">
        <v>1326</v>
      </c>
      <c r="J223" s="21" t="s">
        <v>768</v>
      </c>
      <c r="K223" s="21" t="s">
        <v>769</v>
      </c>
      <c r="L223" s="21" t="s">
        <v>1327</v>
      </c>
      <c r="M223" s="21" t="s">
        <v>2047</v>
      </c>
      <c r="N223" s="21" t="s">
        <v>2048</v>
      </c>
      <c r="O223" s="48" t="s">
        <v>2049</v>
      </c>
      <c r="P223" s="21" t="s">
        <v>75</v>
      </c>
      <c r="Q223" s="24" t="s">
        <v>65</v>
      </c>
      <c r="R223" s="21" t="s">
        <v>52</v>
      </c>
      <c r="S223" s="21" t="s">
        <v>51</v>
      </c>
      <c r="T223" s="21" t="s">
        <v>52</v>
      </c>
      <c r="U223" s="21" t="s">
        <v>52</v>
      </c>
      <c r="V223" s="21" t="s">
        <v>52</v>
      </c>
      <c r="W223" s="45">
        <v>45889.0</v>
      </c>
      <c r="X223" s="49">
        <v>0.5111111111111111</v>
      </c>
      <c r="Y223" s="45">
        <v>45889.0</v>
      </c>
      <c r="Z223" s="49">
        <v>0.5902777777777778</v>
      </c>
      <c r="AA223" s="49">
        <v>0.5909722222222222</v>
      </c>
      <c r="AB223" s="29"/>
      <c r="AC223" s="29"/>
      <c r="AD223" s="25">
        <v>0.6666666666666666</v>
      </c>
      <c r="AE223" s="45">
        <v>45889.0</v>
      </c>
      <c r="AF223" s="21" t="s">
        <v>53</v>
      </c>
      <c r="AG223" s="21" t="s">
        <v>162</v>
      </c>
      <c r="AH223" s="21" t="s">
        <v>2050</v>
      </c>
      <c r="AI223" s="62" t="str">
        <f>IFERROR(__xludf.DUMMYFUNCTION("IF(OR(W223="""",X223="""",AE223="""",AD223=""""),"""",
   TEXT(
     (
       (AE223+AD223 + IF(AE223+AD223 &lt; W223+X223,1,0)) - (W223+X223)
     )
     - IF(AND(AB223&lt;&gt;"""",AC223&lt;&gt;""""), 
          SUM(ARRAYFORMULA(SPLIT(AC223,"","") - SPLIT(AB223,"",""))"&amp;"), 
          0
       ),
     ""[hh]:mm""
   )
)
"),"03:44")</f>
        <v>03:44</v>
      </c>
      <c r="AJ223" s="27">
        <f t="shared" si="9"/>
        <v>0</v>
      </c>
      <c r="AK223" s="63" t="str">
        <f t="shared" si="10"/>
        <v>Pass</v>
      </c>
    </row>
    <row r="224">
      <c r="A224" s="18">
        <v>45883.0</v>
      </c>
      <c r="B224" s="19"/>
      <c r="C224" s="18">
        <v>45883.0</v>
      </c>
      <c r="D224" s="20">
        <v>0.6819444444444445</v>
      </c>
      <c r="E224" s="22" t="s">
        <v>1716</v>
      </c>
      <c r="F224" s="22" t="s">
        <v>251</v>
      </c>
      <c r="G224" s="22" t="s">
        <v>1717</v>
      </c>
      <c r="H224" s="22" t="s">
        <v>746</v>
      </c>
      <c r="I224" s="22" t="s">
        <v>107</v>
      </c>
      <c r="J224" s="22" t="s">
        <v>1136</v>
      </c>
      <c r="K224" s="22" t="s">
        <v>43</v>
      </c>
      <c r="L224" s="22" t="s">
        <v>805</v>
      </c>
      <c r="M224" s="22" t="s">
        <v>1718</v>
      </c>
      <c r="N224" s="22" t="s">
        <v>1719</v>
      </c>
      <c r="O224" s="23" t="s">
        <v>1720</v>
      </c>
      <c r="P224" s="22" t="s">
        <v>75</v>
      </c>
      <c r="Q224" s="50" t="s">
        <v>65</v>
      </c>
      <c r="R224" s="22" t="s">
        <v>1721</v>
      </c>
      <c r="S224" s="22" t="s">
        <v>51</v>
      </c>
      <c r="T224" s="22" t="s">
        <v>52</v>
      </c>
      <c r="U224" s="22" t="s">
        <v>52</v>
      </c>
      <c r="V224" s="22" t="s">
        <v>52</v>
      </c>
      <c r="W224" s="18">
        <v>45889.0</v>
      </c>
      <c r="X224" s="20">
        <v>0.5604166666666667</v>
      </c>
      <c r="Y224" s="18">
        <v>45889.0</v>
      </c>
      <c r="Z224" s="20">
        <v>1.0152777777777777</v>
      </c>
      <c r="AA224" s="20">
        <v>0.08333333333333333</v>
      </c>
      <c r="AB224" s="50" t="s">
        <v>2051</v>
      </c>
      <c r="AC224" s="50" t="s">
        <v>2052</v>
      </c>
      <c r="AD224" s="51">
        <v>0.17222222222222222</v>
      </c>
      <c r="AE224" s="18">
        <v>45889.0</v>
      </c>
      <c r="AF224" s="22" t="s">
        <v>53</v>
      </c>
      <c r="AG224" s="22" t="s">
        <v>313</v>
      </c>
      <c r="AH224" s="22" t="s">
        <v>2053</v>
      </c>
      <c r="AI224" s="26" t="str">
        <f>IFERROR(__xludf.DUMMYFUNCTION("IF(OR(W224="""",X224="""",AE224="""",AD224=""""),"""",
   TEXT(
     (
       (AE224+AD224 + IF(AE224+AD224 &lt; W224+X224,1,0)) - (W224+X224)
     )
     - IF(AND(AB224&lt;&gt;"""",AC224&lt;&gt;""""), 
          SUM(ARRAYFORMULA(SPLIT(AC224,"","") - SPLIT(AB224,"",""))"&amp;"), 
          0
       ),
     ""[hh]:mm""
   )
)
"),"12:53")</f>
        <v>12:53</v>
      </c>
      <c r="AJ224" s="55">
        <f t="shared" si="9"/>
        <v>0.03680555556</v>
      </c>
      <c r="AK224" s="28" t="str">
        <f t="shared" si="10"/>
        <v>Fail</v>
      </c>
    </row>
    <row r="225">
      <c r="A225" s="45">
        <v>45889.0</v>
      </c>
      <c r="B225" s="46"/>
      <c r="C225" s="45">
        <v>45889.0</v>
      </c>
      <c r="D225" s="49">
        <v>0.5673611111111111</v>
      </c>
      <c r="E225" s="21" t="s">
        <v>2054</v>
      </c>
      <c r="F225" s="21" t="s">
        <v>2055</v>
      </c>
      <c r="G225" s="21" t="s">
        <v>2056</v>
      </c>
      <c r="H225" s="21" t="s">
        <v>2057</v>
      </c>
      <c r="I225" s="21" t="s">
        <v>1326</v>
      </c>
      <c r="J225" s="21" t="s">
        <v>768</v>
      </c>
      <c r="K225" s="21" t="s">
        <v>2058</v>
      </c>
      <c r="L225" s="21" t="s">
        <v>1327</v>
      </c>
      <c r="M225" s="21" t="s">
        <v>2059</v>
      </c>
      <c r="N225" s="21" t="s">
        <v>2060</v>
      </c>
      <c r="O225" s="48" t="s">
        <v>2061</v>
      </c>
      <c r="P225" s="21" t="s">
        <v>75</v>
      </c>
      <c r="Q225" s="24" t="s">
        <v>65</v>
      </c>
      <c r="R225" s="21" t="s">
        <v>2062</v>
      </c>
      <c r="S225" s="21" t="s">
        <v>51</v>
      </c>
      <c r="T225" s="21" t="s">
        <v>52</v>
      </c>
      <c r="U225" s="21" t="s">
        <v>52</v>
      </c>
      <c r="V225" s="21" t="s">
        <v>52</v>
      </c>
      <c r="W225" s="45">
        <v>45889.0</v>
      </c>
      <c r="X225" s="49">
        <v>0.5673611111111111</v>
      </c>
      <c r="Y225" s="45">
        <v>45889.0</v>
      </c>
      <c r="Z225" s="49">
        <v>0.6979166666666666</v>
      </c>
      <c r="AA225" s="49">
        <v>0.7013888888888888</v>
      </c>
      <c r="AB225" s="29"/>
      <c r="AC225" s="29"/>
      <c r="AD225" s="25">
        <v>0.7979166666666667</v>
      </c>
      <c r="AE225" s="45">
        <v>45889.0</v>
      </c>
      <c r="AF225" s="21" t="s">
        <v>53</v>
      </c>
      <c r="AG225" s="21" t="s">
        <v>89</v>
      </c>
      <c r="AH225" s="21" t="s">
        <v>2063</v>
      </c>
      <c r="AI225" s="62" t="str">
        <f>IFERROR(__xludf.DUMMYFUNCTION("IF(OR(W225="""",X225="""",AE225="""",AD225=""""),"""",
   TEXT(
     (
       (AE225+AD225 + IF(AE225+AD225 &lt; W225+X225,1,0)) - (W225+X225)
     )
     - IF(AND(AB225&lt;&gt;"""",AC225&lt;&gt;""""), 
          SUM(ARRAYFORMULA(SPLIT(AC225,"","") - SPLIT(AB225,"",""))"&amp;"), 
          0
       ),
     ""[hh]:mm""
   )
)
"),"05:32")</f>
        <v>05:32</v>
      </c>
      <c r="AJ225" s="27">
        <f t="shared" si="9"/>
        <v>0</v>
      </c>
      <c r="AK225" s="63" t="str">
        <f t="shared" si="10"/>
        <v>Pass</v>
      </c>
    </row>
    <row r="226">
      <c r="A226" s="45">
        <v>45889.0</v>
      </c>
      <c r="B226" s="46"/>
      <c r="C226" s="45">
        <v>45889.0</v>
      </c>
      <c r="D226" s="49">
        <v>0.5895833333333333</v>
      </c>
      <c r="E226" s="21" t="s">
        <v>2064</v>
      </c>
      <c r="F226" s="21" t="s">
        <v>754</v>
      </c>
      <c r="G226" s="21" t="s">
        <v>755</v>
      </c>
      <c r="H226" s="21" t="s">
        <v>566</v>
      </c>
      <c r="I226" s="21" t="s">
        <v>644</v>
      </c>
      <c r="J226" s="21" t="s">
        <v>644</v>
      </c>
      <c r="K226" s="47"/>
      <c r="L226" s="21" t="s">
        <v>2065</v>
      </c>
      <c r="M226" s="21" t="s">
        <v>2066</v>
      </c>
      <c r="N226" s="21" t="s">
        <v>2067</v>
      </c>
      <c r="O226" s="48" t="s">
        <v>2068</v>
      </c>
      <c r="P226" s="21" t="s">
        <v>48</v>
      </c>
      <c r="Q226" s="24" t="s">
        <v>65</v>
      </c>
      <c r="R226" s="21" t="s">
        <v>2069</v>
      </c>
      <c r="S226" s="21" t="s">
        <v>51</v>
      </c>
      <c r="T226" s="21" t="s">
        <v>52</v>
      </c>
      <c r="U226" s="21" t="s">
        <v>52</v>
      </c>
      <c r="V226" s="21" t="s">
        <v>52</v>
      </c>
      <c r="W226" s="45">
        <v>45889.0</v>
      </c>
      <c r="X226" s="49">
        <v>0.5895833333333333</v>
      </c>
      <c r="Y226" s="45">
        <v>45889.0</v>
      </c>
      <c r="Z226" s="49">
        <v>0.7138888888888889</v>
      </c>
      <c r="AA226" s="49">
        <v>0.7256944444444444</v>
      </c>
      <c r="AB226" s="25">
        <v>0.78125</v>
      </c>
      <c r="AC226" s="25">
        <v>0.7916666666666666</v>
      </c>
      <c r="AD226" s="25">
        <v>0.7916666666666666</v>
      </c>
      <c r="AE226" s="45">
        <v>45889.0</v>
      </c>
      <c r="AF226" s="21" t="s">
        <v>53</v>
      </c>
      <c r="AG226" s="21" t="s">
        <v>2070</v>
      </c>
      <c r="AH226" s="21" t="s">
        <v>2071</v>
      </c>
      <c r="AI226" s="62" t="str">
        <f>IFERROR(__xludf.DUMMYFUNCTION("IF(OR(W226="""",X226="""",AE226="""",AD226=""""),"""",
   TEXT(
     (
       (AE226+AD226 + IF(AE226+AD226 &lt; W226+X226,1,0)) - (W226+X226)
     )
     - IF(AND(AB226&lt;&gt;"""",AC226&lt;&gt;""""), 
          SUM(ARRAYFORMULA(SPLIT(AC226,"","") - SPLIT(AB226,"",""))"&amp;"), 
          0
       ),
     ""[hh]:mm""
   )
)
"),"04:36")</f>
        <v>04:36</v>
      </c>
      <c r="AJ226" s="27">
        <f t="shared" si="9"/>
        <v>0</v>
      </c>
      <c r="AK226" s="63" t="str">
        <f t="shared" si="10"/>
        <v>Pass</v>
      </c>
    </row>
    <row r="227">
      <c r="A227" s="45">
        <v>45889.0</v>
      </c>
      <c r="B227" s="46"/>
      <c r="C227" s="45">
        <v>45889.0</v>
      </c>
      <c r="D227" s="49">
        <v>0.6208333333333333</v>
      </c>
      <c r="E227" s="21" t="s">
        <v>2072</v>
      </c>
      <c r="F227" s="21" t="s">
        <v>1082</v>
      </c>
      <c r="G227" s="21" t="s">
        <v>1083</v>
      </c>
      <c r="H227" s="21" t="s">
        <v>566</v>
      </c>
      <c r="I227" s="21" t="s">
        <v>991</v>
      </c>
      <c r="J227" s="21" t="s">
        <v>42</v>
      </c>
      <c r="K227" s="21" t="s">
        <v>386</v>
      </c>
      <c r="L227" s="21" t="s">
        <v>386</v>
      </c>
      <c r="M227" s="21" t="s">
        <v>2073</v>
      </c>
      <c r="N227" s="21" t="s">
        <v>2074</v>
      </c>
      <c r="O227" s="48" t="s">
        <v>2075</v>
      </c>
      <c r="P227" s="21" t="s">
        <v>48</v>
      </c>
      <c r="Q227" s="24" t="s">
        <v>65</v>
      </c>
      <c r="R227" s="21" t="s">
        <v>2076</v>
      </c>
      <c r="S227" s="21" t="s">
        <v>51</v>
      </c>
      <c r="T227" s="21" t="s">
        <v>52</v>
      </c>
      <c r="U227" s="21" t="s">
        <v>52</v>
      </c>
      <c r="V227" s="21" t="s">
        <v>52</v>
      </c>
      <c r="W227" s="45">
        <v>45889.0</v>
      </c>
      <c r="X227" s="49">
        <v>0.6208333333333333</v>
      </c>
      <c r="Y227" s="45">
        <v>45889.0</v>
      </c>
      <c r="Z227" s="49">
        <v>0.9708333333333333</v>
      </c>
      <c r="AA227" s="49">
        <v>0.9722222222222222</v>
      </c>
      <c r="AB227" s="25">
        <v>0.003472222222222222</v>
      </c>
      <c r="AC227" s="25">
        <v>1.0173611111111112</v>
      </c>
      <c r="AD227" s="25">
        <v>0.041666666666666664</v>
      </c>
      <c r="AE227" s="45">
        <v>45889.0</v>
      </c>
      <c r="AF227" s="21" t="s">
        <v>53</v>
      </c>
      <c r="AG227" s="21" t="s">
        <v>284</v>
      </c>
      <c r="AH227" s="21" t="s">
        <v>2077</v>
      </c>
      <c r="AI227" s="62" t="str">
        <f>IFERROR(__xludf.DUMMYFUNCTION("IF(OR(W227="""",X227="""",AE227="""",AD227=""""),"""",
   TEXT(
     (
       (AE227+AD227 + IF(AE227+AD227 &lt; W227+X227,1,0)) - (W227+X227)
     )
     - IF(AND(AB227&lt;&gt;"""",AC227&lt;&gt;""""), 
          SUM(ARRAYFORMULA(SPLIT(AC227,"","") - SPLIT(AB227,"",""))"&amp;"), 
          0
       ),
     ""[hh]:mm""
   )
)
"),"09:46")</f>
        <v>09:46</v>
      </c>
      <c r="AJ227" s="27">
        <f t="shared" si="9"/>
        <v>0</v>
      </c>
      <c r="AK227" s="63" t="str">
        <f t="shared" si="10"/>
        <v>Pass</v>
      </c>
    </row>
    <row r="228">
      <c r="A228" s="45">
        <v>45889.0</v>
      </c>
      <c r="B228" s="46"/>
      <c r="C228" s="45">
        <v>45889.0</v>
      </c>
      <c r="D228" s="49">
        <v>0.7986111111111112</v>
      </c>
      <c r="E228" s="21" t="s">
        <v>2078</v>
      </c>
      <c r="F228" s="21" t="s">
        <v>435</v>
      </c>
      <c r="G228" s="21" t="s">
        <v>2079</v>
      </c>
      <c r="H228" s="21" t="s">
        <v>182</v>
      </c>
      <c r="I228" s="21" t="s">
        <v>41</v>
      </c>
      <c r="J228" s="21" t="s">
        <v>42</v>
      </c>
      <c r="K228" s="21" t="s">
        <v>2080</v>
      </c>
      <c r="L228" s="21" t="s">
        <v>2081</v>
      </c>
      <c r="M228" s="21" t="s">
        <v>2082</v>
      </c>
      <c r="N228" s="21" t="s">
        <v>2083</v>
      </c>
      <c r="O228" s="48" t="s">
        <v>2084</v>
      </c>
      <c r="P228" s="21" t="s">
        <v>75</v>
      </c>
      <c r="Q228" s="24" t="s">
        <v>49</v>
      </c>
      <c r="R228" s="21" t="s">
        <v>2085</v>
      </c>
      <c r="S228" s="21" t="s">
        <v>51</v>
      </c>
      <c r="T228" s="21" t="s">
        <v>52</v>
      </c>
      <c r="U228" s="21" t="s">
        <v>52</v>
      </c>
      <c r="V228" s="21" t="s">
        <v>52</v>
      </c>
      <c r="W228" s="45">
        <v>45889.0</v>
      </c>
      <c r="X228" s="49">
        <v>0.7986111111111112</v>
      </c>
      <c r="Y228" s="45">
        <v>45889.0</v>
      </c>
      <c r="Z228" s="49">
        <v>0.8958333333333334</v>
      </c>
      <c r="AA228" s="49">
        <v>0.8958333333333334</v>
      </c>
      <c r="AB228" s="25">
        <v>0.90625</v>
      </c>
      <c r="AC228" s="25">
        <v>0.9479166666666666</v>
      </c>
      <c r="AD228" s="25">
        <v>1.0</v>
      </c>
      <c r="AE228" s="45">
        <v>45889.0</v>
      </c>
      <c r="AF228" s="21" t="s">
        <v>53</v>
      </c>
      <c r="AG228" s="21" t="s">
        <v>2086</v>
      </c>
      <c r="AH228" s="21" t="s">
        <v>2087</v>
      </c>
      <c r="AI228" s="62" t="str">
        <f>IFERROR(__xludf.DUMMYFUNCTION("IF(OR(W228="""",X228="""",AE228="""",AD228=""""),"""",
   TEXT(
     (
       (AE228+AD228 + IF(AE228+AD228 &lt; W228+X228,1,0)) - (W228+X228)
     )
     - IF(AND(AB228&lt;&gt;"""",AC228&lt;&gt;""""), 
          SUM(ARRAYFORMULA(SPLIT(AC228,"","") - SPLIT(AB228,"",""))"&amp;"), 
          0
       ),
     ""[hh]:mm""
   )
)
"),"03:50")</f>
        <v>03:50</v>
      </c>
      <c r="AJ228" s="27">
        <f t="shared" si="9"/>
        <v>0</v>
      </c>
      <c r="AK228" s="63" t="str">
        <f t="shared" si="10"/>
        <v>Pass</v>
      </c>
    </row>
    <row r="229">
      <c r="A229" s="45">
        <v>45890.0</v>
      </c>
      <c r="B229" s="46"/>
      <c r="C229" s="45">
        <v>45890.0</v>
      </c>
      <c r="D229" s="49">
        <v>0.5506944444444445</v>
      </c>
      <c r="E229" s="21" t="s">
        <v>2088</v>
      </c>
      <c r="F229" s="21" t="s">
        <v>2089</v>
      </c>
      <c r="G229" s="21" t="s">
        <v>2090</v>
      </c>
      <c r="H229" s="21" t="s">
        <v>605</v>
      </c>
      <c r="I229" s="21" t="s">
        <v>234</v>
      </c>
      <c r="J229" s="21" t="s">
        <v>42</v>
      </c>
      <c r="K229" s="21" t="s">
        <v>61</v>
      </c>
      <c r="L229" s="21" t="s">
        <v>183</v>
      </c>
      <c r="M229" s="21" t="s">
        <v>2091</v>
      </c>
      <c r="N229" s="21" t="s">
        <v>2092</v>
      </c>
      <c r="O229" s="48" t="s">
        <v>2093</v>
      </c>
      <c r="P229" s="21" t="s">
        <v>75</v>
      </c>
      <c r="Q229" s="24" t="s">
        <v>65</v>
      </c>
      <c r="R229" s="21" t="s">
        <v>1427</v>
      </c>
      <c r="S229" s="21" t="s">
        <v>51</v>
      </c>
      <c r="T229" s="21" t="s">
        <v>324</v>
      </c>
      <c r="U229" s="21" t="s">
        <v>2094</v>
      </c>
      <c r="V229" s="21" t="s">
        <v>2095</v>
      </c>
      <c r="W229" s="45">
        <v>45890.0</v>
      </c>
      <c r="X229" s="49">
        <v>0.5520833333333334</v>
      </c>
      <c r="Y229" s="45">
        <v>45890.0</v>
      </c>
      <c r="Z229" s="49">
        <v>0.825</v>
      </c>
      <c r="AA229" s="49">
        <v>0.8784722222222222</v>
      </c>
      <c r="AB229" s="25">
        <v>0.8256944444444444</v>
      </c>
      <c r="AC229" s="25">
        <v>0.875</v>
      </c>
      <c r="AD229" s="25">
        <v>0.20625</v>
      </c>
      <c r="AE229" s="45">
        <v>45891.0</v>
      </c>
      <c r="AF229" s="21" t="s">
        <v>53</v>
      </c>
      <c r="AG229" s="21" t="s">
        <v>89</v>
      </c>
      <c r="AH229" s="21" t="s">
        <v>2096</v>
      </c>
      <c r="AI229" s="62" t="str">
        <f>IFERROR(__xludf.DUMMYFUNCTION("IF(OR(W229="""",X229="""",AE229="""",AD229=""""),"""",
   TEXT(
     (
       (AE229+AD229 + IF(AE229+AD229 &lt; W229+X229,1,0)) - (W229+X229)
     )
     - IF(AND(AB229&lt;&gt;"""",AC229&lt;&gt;""""), 
          SUM(ARRAYFORMULA(SPLIT(AC229,"","") - SPLIT(AB229,"",""))"&amp;"), 
          0
       ),
     ""[hh]:mm""
   )
)
"),"14:31")</f>
        <v>14:31</v>
      </c>
      <c r="AJ229" s="27">
        <f t="shared" si="9"/>
        <v>0.1048611111</v>
      </c>
      <c r="AK229" s="63" t="str">
        <f t="shared" si="10"/>
        <v>Fail</v>
      </c>
    </row>
    <row r="230">
      <c r="A230" s="45">
        <v>45890.0</v>
      </c>
      <c r="B230" s="46"/>
      <c r="C230" s="45">
        <v>45890.0</v>
      </c>
      <c r="D230" s="49">
        <v>0.5833333333333334</v>
      </c>
      <c r="E230" s="21" t="s">
        <v>2097</v>
      </c>
      <c r="F230" s="21" t="s">
        <v>2098</v>
      </c>
      <c r="G230" s="21" t="s">
        <v>2099</v>
      </c>
      <c r="H230" s="21" t="s">
        <v>182</v>
      </c>
      <c r="I230" s="21" t="s">
        <v>60</v>
      </c>
      <c r="J230" s="21" t="s">
        <v>42</v>
      </c>
      <c r="K230" s="21" t="s">
        <v>43</v>
      </c>
      <c r="L230" s="21" t="s">
        <v>44</v>
      </c>
      <c r="M230" s="21" t="s">
        <v>2100</v>
      </c>
      <c r="N230" s="21" t="s">
        <v>1824</v>
      </c>
      <c r="O230" s="48" t="s">
        <v>2101</v>
      </c>
      <c r="P230" s="21" t="s">
        <v>187</v>
      </c>
      <c r="Q230" s="24" t="s">
        <v>65</v>
      </c>
      <c r="R230" s="21" t="s">
        <v>2102</v>
      </c>
      <c r="S230" s="21" t="s">
        <v>51</v>
      </c>
      <c r="T230" s="21" t="s">
        <v>52</v>
      </c>
      <c r="U230" s="21" t="s">
        <v>52</v>
      </c>
      <c r="V230" s="21" t="s">
        <v>52</v>
      </c>
      <c r="W230" s="45">
        <v>45890.0</v>
      </c>
      <c r="X230" s="49">
        <v>0.5833333333333334</v>
      </c>
      <c r="Y230" s="45">
        <v>45890.0</v>
      </c>
      <c r="Z230" s="49">
        <v>0.64375</v>
      </c>
      <c r="AA230" s="49">
        <v>0.6458333333333334</v>
      </c>
      <c r="AB230" s="29"/>
      <c r="AC230" s="29"/>
      <c r="AD230" s="25">
        <v>0.8333333333333334</v>
      </c>
      <c r="AE230" s="45">
        <v>45890.0</v>
      </c>
      <c r="AF230" s="21" t="s">
        <v>53</v>
      </c>
      <c r="AG230" s="21" t="s">
        <v>162</v>
      </c>
      <c r="AH230" s="21" t="s">
        <v>2103</v>
      </c>
      <c r="AI230" s="62" t="str">
        <f>IFERROR(__xludf.DUMMYFUNCTION("IF(OR(W230="""",X230="""",AE230="""",AD230=""""),"""",
   TEXT(
     (
       (AE230+AD230 + IF(AE230+AD230 &lt; W230+X230,1,0)) - (W230+X230)
     )
     - IF(AND(AB230&lt;&gt;"""",AC230&lt;&gt;""""), 
          SUM(ARRAYFORMULA(SPLIT(AC230,"","") - SPLIT(AB230,"",""))"&amp;"), 
          0
       ),
     ""[hh]:mm""
   )
)
"),"06:00")</f>
        <v>06:00</v>
      </c>
      <c r="AJ230" s="27">
        <f t="shared" si="9"/>
        <v>0</v>
      </c>
      <c r="AK230" s="63" t="str">
        <f t="shared" si="10"/>
        <v>Pass</v>
      </c>
    </row>
    <row r="231">
      <c r="A231" s="45">
        <v>45890.0</v>
      </c>
      <c r="B231" s="46"/>
      <c r="C231" s="45">
        <v>45890.0</v>
      </c>
      <c r="D231" s="49">
        <v>0.7395833333333334</v>
      </c>
      <c r="E231" s="21" t="s">
        <v>2104</v>
      </c>
      <c r="F231" s="21" t="s">
        <v>330</v>
      </c>
      <c r="G231" s="21" t="s">
        <v>331</v>
      </c>
      <c r="H231" s="21" t="s">
        <v>40</v>
      </c>
      <c r="I231" s="21" t="s">
        <v>60</v>
      </c>
      <c r="J231" s="21" t="s">
        <v>42</v>
      </c>
      <c r="K231" s="21" t="s">
        <v>43</v>
      </c>
      <c r="L231" s="21" t="s">
        <v>2105</v>
      </c>
      <c r="M231" s="21" t="s">
        <v>2106</v>
      </c>
      <c r="N231" s="21" t="s">
        <v>2107</v>
      </c>
      <c r="O231" s="48" t="s">
        <v>2108</v>
      </c>
      <c r="P231" s="21" t="s">
        <v>187</v>
      </c>
      <c r="Q231" s="24" t="s">
        <v>65</v>
      </c>
      <c r="R231" s="21" t="s">
        <v>2109</v>
      </c>
      <c r="S231" s="21" t="s">
        <v>51</v>
      </c>
      <c r="T231" s="21" t="s">
        <v>52</v>
      </c>
      <c r="U231" s="21" t="s">
        <v>52</v>
      </c>
      <c r="V231" s="21" t="s">
        <v>52</v>
      </c>
      <c r="W231" s="45">
        <v>45890.0</v>
      </c>
      <c r="X231" s="49">
        <v>0.7395833333333334</v>
      </c>
      <c r="Y231" s="45">
        <v>45890.0</v>
      </c>
      <c r="Z231" s="49">
        <v>0.7652777777777777</v>
      </c>
      <c r="AA231" s="49">
        <v>0.7673611111111112</v>
      </c>
      <c r="AB231" s="29"/>
      <c r="AC231" s="29"/>
      <c r="AD231" s="25">
        <v>0.8541666666666666</v>
      </c>
      <c r="AE231" s="45">
        <v>45890.0</v>
      </c>
      <c r="AF231" s="21" t="s">
        <v>53</v>
      </c>
      <c r="AG231" s="21" t="s">
        <v>151</v>
      </c>
      <c r="AH231" s="21" t="s">
        <v>2110</v>
      </c>
      <c r="AI231" s="62" t="str">
        <f>IFERROR(__xludf.DUMMYFUNCTION("IF(OR(W231="""",X231="""",AE231="""",AD231=""""),"""",
   TEXT(
     (
       (AE231+AD231 + IF(AE231+AD231 &lt; W231+X231,1,0)) - (W231+X231)
     )
     - IF(AND(AB231&lt;&gt;"""",AC231&lt;&gt;""""), 
          SUM(ARRAYFORMULA(SPLIT(AC231,"","") - SPLIT(AB231,"",""))"&amp;"), 
          0
       ),
     ""[hh]:mm""
   )
)
"),"02:45")</f>
        <v>02:45</v>
      </c>
      <c r="AJ231" s="27">
        <f t="shared" si="9"/>
        <v>0</v>
      </c>
      <c r="AK231" s="63" t="str">
        <f t="shared" si="10"/>
        <v>Pass</v>
      </c>
    </row>
    <row r="232">
      <c r="A232" s="45">
        <v>45890.0</v>
      </c>
      <c r="B232" s="46"/>
      <c r="C232" s="45">
        <v>45890.0</v>
      </c>
      <c r="D232" s="49">
        <v>0.7770833333333333</v>
      </c>
      <c r="E232" s="21" t="s">
        <v>2111</v>
      </c>
      <c r="F232" s="21" t="s">
        <v>1922</v>
      </c>
      <c r="G232" s="21" t="s">
        <v>1923</v>
      </c>
      <c r="H232" s="21" t="s">
        <v>855</v>
      </c>
      <c r="I232" s="21" t="s">
        <v>2112</v>
      </c>
      <c r="J232" s="47"/>
      <c r="K232" s="21" t="s">
        <v>2113</v>
      </c>
      <c r="L232" s="21" t="s">
        <v>2114</v>
      </c>
      <c r="M232" s="21" t="s">
        <v>2115</v>
      </c>
      <c r="N232" s="21" t="s">
        <v>2116</v>
      </c>
      <c r="O232" s="48" t="s">
        <v>2117</v>
      </c>
      <c r="P232" s="78" t="s">
        <v>48</v>
      </c>
      <c r="Q232" s="24" t="s">
        <v>49</v>
      </c>
      <c r="R232" s="21" t="s">
        <v>2118</v>
      </c>
      <c r="S232" s="21" t="s">
        <v>51</v>
      </c>
      <c r="T232" s="21" t="s">
        <v>52</v>
      </c>
      <c r="U232" s="21" t="s">
        <v>52</v>
      </c>
      <c r="V232" s="21" t="s">
        <v>52</v>
      </c>
      <c r="W232" s="45">
        <v>45890.0</v>
      </c>
      <c r="X232" s="49">
        <v>0.7770833333333333</v>
      </c>
      <c r="Y232" s="45">
        <v>45890.0</v>
      </c>
      <c r="Z232" s="49">
        <v>0.7708333333333334</v>
      </c>
      <c r="AA232" s="49">
        <v>0.7743055555555556</v>
      </c>
      <c r="AB232" s="25">
        <v>0.8263888888888888</v>
      </c>
      <c r="AC232" s="25">
        <v>0.8472222222222222</v>
      </c>
      <c r="AD232" s="25">
        <v>0.8472222222222222</v>
      </c>
      <c r="AE232" s="45">
        <v>45890.0</v>
      </c>
      <c r="AF232" s="21" t="s">
        <v>53</v>
      </c>
      <c r="AG232" s="21" t="s">
        <v>54</v>
      </c>
      <c r="AH232" s="21" t="s">
        <v>1927</v>
      </c>
      <c r="AI232" s="62" t="str">
        <f>IFERROR(__xludf.DUMMYFUNCTION("IF(OR(W232="""",X232="""",AE232="""",AD232=""""),"""",
   TEXT(
     (
       (AE232+AD232 + IF(AE232+AD232 &lt; W232+X232,1,0)) - (W232+X232)
     )
     - IF(AND(AB232&lt;&gt;"""",AC232&lt;&gt;""""), 
          SUM(ARRAYFORMULA(SPLIT(AC232,"","") - SPLIT(AB232,"",""))"&amp;"), 
          0
       ),
     ""[hh]:mm""
   )
)
"),"01:11")</f>
        <v>01:11</v>
      </c>
      <c r="AJ232" s="27">
        <f t="shared" si="9"/>
        <v>0</v>
      </c>
      <c r="AK232" s="63" t="str">
        <f t="shared" si="10"/>
        <v>Pass</v>
      </c>
    </row>
    <row r="233">
      <c r="A233" s="68">
        <v>45891.0</v>
      </c>
      <c r="B233" s="70"/>
      <c r="C233" s="68">
        <v>45891.0</v>
      </c>
      <c r="D233" s="71">
        <v>0.2972222222222222</v>
      </c>
      <c r="E233" s="35" t="s">
        <v>2119</v>
      </c>
      <c r="F233" s="35" t="s">
        <v>1439</v>
      </c>
      <c r="G233" s="35" t="s">
        <v>1440</v>
      </c>
      <c r="H233" s="35" t="s">
        <v>2120</v>
      </c>
      <c r="I233" s="35" t="s">
        <v>644</v>
      </c>
      <c r="J233" s="35" t="s">
        <v>644</v>
      </c>
      <c r="K233" s="35" t="s">
        <v>333</v>
      </c>
      <c r="L233" s="35" t="s">
        <v>2121</v>
      </c>
      <c r="M233" s="35" t="s">
        <v>1442</v>
      </c>
      <c r="N233" s="35" t="s">
        <v>2122</v>
      </c>
      <c r="O233" s="72" t="s">
        <v>2123</v>
      </c>
      <c r="P233" s="35" t="s">
        <v>75</v>
      </c>
      <c r="Q233" s="39" t="s">
        <v>65</v>
      </c>
      <c r="R233" s="35" t="s">
        <v>2124</v>
      </c>
      <c r="S233" s="35" t="s">
        <v>51</v>
      </c>
      <c r="T233" s="35" t="s">
        <v>2125</v>
      </c>
      <c r="U233" s="35" t="s">
        <v>2126</v>
      </c>
      <c r="V233" s="35" t="s">
        <v>52</v>
      </c>
      <c r="W233" s="68">
        <v>45891.0</v>
      </c>
      <c r="X233" s="71">
        <v>0.47708333333333336</v>
      </c>
      <c r="Y233" s="68">
        <v>45891.0</v>
      </c>
      <c r="Z233" s="71">
        <v>0.5986111111111111</v>
      </c>
      <c r="AA233" s="71">
        <v>0.6006944444444444</v>
      </c>
      <c r="AB233" s="39" t="s">
        <v>2127</v>
      </c>
      <c r="AC233" s="39" t="s">
        <v>2128</v>
      </c>
      <c r="AD233" s="41">
        <v>0.7479166666666667</v>
      </c>
      <c r="AE233" s="68">
        <v>45891.0</v>
      </c>
      <c r="AF233" s="35" t="s">
        <v>53</v>
      </c>
      <c r="AG233" s="35" t="s">
        <v>293</v>
      </c>
      <c r="AH233" s="35" t="s">
        <v>2129</v>
      </c>
      <c r="AI233" s="62" t="str">
        <f>IFERROR(__xludf.DUMMYFUNCTION("IF(OR(W233="""",X233="""",AE233="""",AD233=""""),"""",
   TEXT(
     (
       (AE233+AD233 + IF(AE233+AD233 &lt; W233+X233,1,0)) - (W233+X233)
     )
     - IF(AND(AB233&lt;&gt;"""",AC233&lt;&gt;""""), 
          SUM(ARRAYFORMULA(SPLIT(AC233,"","") - SPLIT(AB233,"",""))"&amp;"), 
          0
       ),
     ""[hh]:mm""
   )
)
"),"03:32")</f>
        <v>03:32</v>
      </c>
      <c r="AJ233" s="27">
        <f t="shared" si="9"/>
        <v>0</v>
      </c>
      <c r="AK233" s="63" t="str">
        <f t="shared" si="10"/>
        <v>Pass</v>
      </c>
    </row>
    <row r="234">
      <c r="A234" s="45">
        <v>45891.0</v>
      </c>
      <c r="B234" s="46"/>
      <c r="C234" s="45">
        <v>45891.0</v>
      </c>
      <c r="D234" s="49">
        <v>0.32013888888888886</v>
      </c>
      <c r="E234" s="21" t="s">
        <v>2130</v>
      </c>
      <c r="F234" s="21" t="s">
        <v>1903</v>
      </c>
      <c r="G234" s="21" t="s">
        <v>1904</v>
      </c>
      <c r="H234" s="21" t="s">
        <v>40</v>
      </c>
      <c r="I234" s="21" t="s">
        <v>991</v>
      </c>
      <c r="J234" s="21" t="s">
        <v>42</v>
      </c>
      <c r="K234" s="21" t="s">
        <v>61</v>
      </c>
      <c r="L234" s="21" t="s">
        <v>183</v>
      </c>
      <c r="M234" s="21" t="s">
        <v>2131</v>
      </c>
      <c r="N234" s="21" t="s">
        <v>2132</v>
      </c>
      <c r="O234" s="48" t="s">
        <v>2133</v>
      </c>
      <c r="P234" s="78" t="s">
        <v>48</v>
      </c>
      <c r="Q234" s="24" t="s">
        <v>65</v>
      </c>
      <c r="R234" s="21" t="s">
        <v>2134</v>
      </c>
      <c r="S234" s="21" t="s">
        <v>51</v>
      </c>
      <c r="T234" s="21" t="s">
        <v>52</v>
      </c>
      <c r="U234" s="21" t="s">
        <v>52</v>
      </c>
      <c r="V234" s="21" t="s">
        <v>52</v>
      </c>
      <c r="W234" s="45">
        <v>45891.0</v>
      </c>
      <c r="X234" s="49">
        <v>0.32013888888888886</v>
      </c>
      <c r="Y234" s="45">
        <v>45891.0</v>
      </c>
      <c r="Z234" s="49">
        <v>0.4965277777777778</v>
      </c>
      <c r="AA234" s="49">
        <v>0.5</v>
      </c>
      <c r="AB234" s="29"/>
      <c r="AC234" s="29"/>
      <c r="AD234" s="25">
        <v>0.5520833333333334</v>
      </c>
      <c r="AE234" s="45">
        <v>45891.0</v>
      </c>
      <c r="AF234" s="21" t="s">
        <v>53</v>
      </c>
      <c r="AG234" s="21" t="s">
        <v>775</v>
      </c>
      <c r="AH234" s="21" t="s">
        <v>2135</v>
      </c>
      <c r="AI234" s="62" t="str">
        <f>IFERROR(__xludf.DUMMYFUNCTION("IF(OR(W234="""",X234="""",AE234="""",AD234=""""),"""",
   TEXT(
     (
       (AE234+AD234 + IF(AE234+AD234 &lt; W234+X234,1,0)) - (W234+X234)
     )
     - IF(AND(AB234&lt;&gt;"""",AC234&lt;&gt;""""), 
          SUM(ARRAYFORMULA(SPLIT(AC234,"","") - SPLIT(AB234,"",""))"&amp;"), 
          0
       ),
     ""[hh]:mm""
   )
)
"),"05:34")</f>
        <v>05:34</v>
      </c>
      <c r="AJ234" s="27">
        <f t="shared" si="9"/>
        <v>0</v>
      </c>
      <c r="AK234" s="63" t="str">
        <f t="shared" si="10"/>
        <v>Pass</v>
      </c>
    </row>
    <row r="235">
      <c r="A235" s="45">
        <v>45891.0</v>
      </c>
      <c r="B235" s="46"/>
      <c r="C235" s="45">
        <v>45891.0</v>
      </c>
      <c r="D235" s="49">
        <v>0.39166666666666666</v>
      </c>
      <c r="E235" s="21" t="s">
        <v>2136</v>
      </c>
      <c r="F235" s="21" t="s">
        <v>1565</v>
      </c>
      <c r="G235" s="21" t="s">
        <v>1566</v>
      </c>
      <c r="H235" s="21" t="s">
        <v>1610</v>
      </c>
      <c r="I235" s="21" t="s">
        <v>1612</v>
      </c>
      <c r="J235" s="21" t="s">
        <v>1612</v>
      </c>
      <c r="K235" s="21" t="s">
        <v>143</v>
      </c>
      <c r="L235" s="21" t="s">
        <v>1613</v>
      </c>
      <c r="M235" s="21" t="s">
        <v>2137</v>
      </c>
      <c r="N235" s="21" t="s">
        <v>2138</v>
      </c>
      <c r="O235" s="48" t="s">
        <v>2139</v>
      </c>
      <c r="P235" s="21" t="s">
        <v>187</v>
      </c>
      <c r="Q235" s="24" t="s">
        <v>65</v>
      </c>
      <c r="R235" s="21" t="s">
        <v>2140</v>
      </c>
      <c r="S235" s="21" t="s">
        <v>51</v>
      </c>
      <c r="T235" s="21" t="s">
        <v>52</v>
      </c>
      <c r="U235" s="21" t="s">
        <v>52</v>
      </c>
      <c r="V235" s="21" t="s">
        <v>52</v>
      </c>
      <c r="W235" s="45">
        <v>45891.0</v>
      </c>
      <c r="X235" s="49">
        <v>0.39166666666666666</v>
      </c>
      <c r="Y235" s="45">
        <v>45891.0</v>
      </c>
      <c r="Z235" s="49">
        <v>0.4583333333333333</v>
      </c>
      <c r="AA235" s="49">
        <v>0.4652777777777778</v>
      </c>
      <c r="AB235" s="25">
        <v>0.5041666666666667</v>
      </c>
      <c r="AC235" s="25">
        <v>0.5659722222222222</v>
      </c>
      <c r="AD235" s="25">
        <v>0.7395833333333334</v>
      </c>
      <c r="AE235" s="45">
        <v>45891.0</v>
      </c>
      <c r="AF235" s="21" t="s">
        <v>53</v>
      </c>
      <c r="AG235" s="21" t="s">
        <v>879</v>
      </c>
      <c r="AH235" s="21" t="s">
        <v>2141</v>
      </c>
      <c r="AI235" s="62" t="str">
        <f>IFERROR(__xludf.DUMMYFUNCTION("IF(OR(W235="""",X235="""",AE235="""",AD235=""""),"""",
   TEXT(
     (
       (AE235+AD235 + IF(AE235+AD235 &lt; W235+X235,1,0)) - (W235+X235)
     )
     - IF(AND(AB235&lt;&gt;"""",AC235&lt;&gt;""""), 
          SUM(ARRAYFORMULA(SPLIT(AC235,"","") - SPLIT(AB235,"",""))"&amp;"), 
          0
       ),
     ""[hh]:mm""
   )
)
"),"06:52")</f>
        <v>06:52</v>
      </c>
      <c r="AJ235" s="27">
        <f t="shared" si="9"/>
        <v>0</v>
      </c>
      <c r="AK235" s="63" t="str">
        <f t="shared" si="10"/>
        <v>Pass</v>
      </c>
    </row>
    <row r="236">
      <c r="A236" s="45">
        <v>45891.0</v>
      </c>
      <c r="B236" s="46"/>
      <c r="C236" s="45">
        <v>45891.0</v>
      </c>
      <c r="D236" s="49">
        <v>0.39166666666666666</v>
      </c>
      <c r="E236" s="21" t="s">
        <v>2142</v>
      </c>
      <c r="F236" s="21" t="s">
        <v>2143</v>
      </c>
      <c r="G236" s="21" t="s">
        <v>2144</v>
      </c>
      <c r="H236" s="21" t="s">
        <v>566</v>
      </c>
      <c r="I236" s="21" t="s">
        <v>991</v>
      </c>
      <c r="J236" s="21" t="s">
        <v>42</v>
      </c>
      <c r="K236" s="47"/>
      <c r="L236" s="47"/>
      <c r="M236" s="47"/>
      <c r="N236" s="21" t="s">
        <v>2145</v>
      </c>
      <c r="O236" s="48" t="s">
        <v>2146</v>
      </c>
      <c r="P236" s="78" t="s">
        <v>48</v>
      </c>
      <c r="Q236" s="24" t="s">
        <v>49</v>
      </c>
      <c r="R236" s="21" t="s">
        <v>2147</v>
      </c>
      <c r="S236" s="21" t="s">
        <v>51</v>
      </c>
      <c r="T236" s="21" t="s">
        <v>52</v>
      </c>
      <c r="U236" s="21" t="s">
        <v>52</v>
      </c>
      <c r="V236" s="21" t="s">
        <v>52</v>
      </c>
      <c r="W236" s="45">
        <v>45891.0</v>
      </c>
      <c r="X236" s="49">
        <v>0.39166666666666666</v>
      </c>
      <c r="Y236" s="45">
        <v>45891.0</v>
      </c>
      <c r="Z236" s="49">
        <v>0.4576388888888889</v>
      </c>
      <c r="AA236" s="49">
        <v>0.4722222222222222</v>
      </c>
      <c r="AB236" s="29"/>
      <c r="AC236" s="29"/>
      <c r="AD236" s="25">
        <v>0.5555555555555556</v>
      </c>
      <c r="AE236" s="45">
        <v>45891.0</v>
      </c>
      <c r="AF236" s="21" t="s">
        <v>53</v>
      </c>
      <c r="AG236" s="21" t="s">
        <v>583</v>
      </c>
      <c r="AH236" s="21" t="s">
        <v>2148</v>
      </c>
      <c r="AI236" s="62" t="str">
        <f>IFERROR(__xludf.DUMMYFUNCTION("IF(OR(W236="""",X236="""",AE236="""",AD236=""""),"""",
   TEXT(
     (
       (AE236+AD236 + IF(AE236+AD236 &lt; W236+X236,1,0)) - (W236+X236)
     )
     - IF(AND(AB236&lt;&gt;"""",AC236&lt;&gt;""""), 
          SUM(ARRAYFORMULA(SPLIT(AC236,"","") - SPLIT(AB236,"",""))"&amp;"), 
          0
       ),
     ""[hh]:mm""
   )
)
"),"03:56")</f>
        <v>03:56</v>
      </c>
      <c r="AJ236" s="27">
        <f t="shared" si="9"/>
        <v>0</v>
      </c>
      <c r="AK236" s="63" t="str">
        <f t="shared" si="10"/>
        <v>Pass</v>
      </c>
    </row>
    <row r="237">
      <c r="A237" s="45">
        <v>45891.0</v>
      </c>
      <c r="B237" s="46"/>
      <c r="C237" s="45">
        <v>45891.0</v>
      </c>
      <c r="D237" s="49">
        <v>0.5104166666666666</v>
      </c>
      <c r="E237" s="21" t="s">
        <v>2149</v>
      </c>
      <c r="F237" s="21" t="s">
        <v>251</v>
      </c>
      <c r="G237" s="21" t="s">
        <v>2150</v>
      </c>
      <c r="H237" s="21" t="s">
        <v>566</v>
      </c>
      <c r="I237" s="21" t="s">
        <v>1854</v>
      </c>
      <c r="J237" s="21" t="s">
        <v>1056</v>
      </c>
      <c r="K237" s="47"/>
      <c r="L237" s="21" t="s">
        <v>636</v>
      </c>
      <c r="M237" s="21" t="s">
        <v>1855</v>
      </c>
      <c r="N237" s="21" t="s">
        <v>2151</v>
      </c>
      <c r="O237" s="48" t="s">
        <v>2152</v>
      </c>
      <c r="P237" s="78" t="s">
        <v>48</v>
      </c>
      <c r="Q237" s="24" t="s">
        <v>65</v>
      </c>
      <c r="R237" s="21" t="s">
        <v>2153</v>
      </c>
      <c r="S237" s="21" t="s">
        <v>51</v>
      </c>
      <c r="T237" s="21" t="s">
        <v>52</v>
      </c>
      <c r="U237" s="21" t="s">
        <v>52</v>
      </c>
      <c r="V237" s="21" t="s">
        <v>52</v>
      </c>
      <c r="W237" s="45">
        <v>45891.0</v>
      </c>
      <c r="X237" s="49">
        <v>0.5104166666666666</v>
      </c>
      <c r="Y237" s="45">
        <v>45891.0</v>
      </c>
      <c r="Z237" s="49">
        <v>0.7847222222222222</v>
      </c>
      <c r="AA237" s="49">
        <v>0.7868055555555555</v>
      </c>
      <c r="AB237" s="29"/>
      <c r="AC237" s="29"/>
      <c r="AD237" s="25">
        <v>0.8243055555555555</v>
      </c>
      <c r="AE237" s="45">
        <v>45891.0</v>
      </c>
      <c r="AF237" s="21" t="s">
        <v>53</v>
      </c>
      <c r="AG237" s="21" t="s">
        <v>89</v>
      </c>
      <c r="AH237" s="21" t="s">
        <v>2154</v>
      </c>
      <c r="AI237" s="62" t="str">
        <f>IFERROR(__xludf.DUMMYFUNCTION("IF(OR(W237="""",X237="""",AE237="""",AD237=""""),"""",
   TEXT(
     (
       (AE237+AD237 + IF(AE237+AD237 &lt; W237+X237,1,0)) - (W237+X237)
     )
     - IF(AND(AB237&lt;&gt;"""",AC237&lt;&gt;""""), 
          SUM(ARRAYFORMULA(SPLIT(AC237,"","") - SPLIT(AB237,"",""))"&amp;"), 
          0
       ),
     ""[hh]:mm""
   )
)
"),"07:32")</f>
        <v>07:32</v>
      </c>
      <c r="AJ237" s="27">
        <f t="shared" si="9"/>
        <v>0</v>
      </c>
      <c r="AK237" s="63" t="str">
        <f t="shared" si="10"/>
        <v>Pass</v>
      </c>
    </row>
    <row r="238">
      <c r="A238" s="18">
        <v>45892.0</v>
      </c>
      <c r="B238" s="19"/>
      <c r="C238" s="18">
        <v>45892.0</v>
      </c>
      <c r="D238" s="20">
        <v>0.32430555555555557</v>
      </c>
      <c r="E238" s="22" t="s">
        <v>2155</v>
      </c>
      <c r="F238" s="22" t="s">
        <v>1315</v>
      </c>
      <c r="G238" s="22" t="s">
        <v>1316</v>
      </c>
      <c r="H238" s="22" t="s">
        <v>746</v>
      </c>
      <c r="I238" s="22" t="s">
        <v>1178</v>
      </c>
      <c r="J238" s="22" t="s">
        <v>1136</v>
      </c>
      <c r="K238" s="22" t="s">
        <v>43</v>
      </c>
      <c r="L238" s="22" t="s">
        <v>1666</v>
      </c>
      <c r="M238" s="22">
        <v>2.01902220006E11</v>
      </c>
      <c r="N238" s="22" t="s">
        <v>2156</v>
      </c>
      <c r="O238" s="23" t="s">
        <v>2157</v>
      </c>
      <c r="P238" s="22" t="s">
        <v>75</v>
      </c>
      <c r="Q238" s="50" t="s">
        <v>65</v>
      </c>
      <c r="R238" s="22" t="s">
        <v>2158</v>
      </c>
      <c r="S238" s="22" t="s">
        <v>51</v>
      </c>
      <c r="T238" s="22" t="s">
        <v>52</v>
      </c>
      <c r="U238" s="22" t="s">
        <v>52</v>
      </c>
      <c r="V238" s="22" t="s">
        <v>52</v>
      </c>
      <c r="W238" s="18">
        <v>45892.0</v>
      </c>
      <c r="X238" s="20">
        <v>0.32430555555555557</v>
      </c>
      <c r="Y238" s="18">
        <v>45892.0</v>
      </c>
      <c r="Z238" s="20">
        <v>0.5493055555555556</v>
      </c>
      <c r="AA238" s="20">
        <v>0.5520833333333334</v>
      </c>
      <c r="AB238" s="54"/>
      <c r="AC238" s="54"/>
      <c r="AD238" s="51">
        <v>0.5868055555555556</v>
      </c>
      <c r="AE238" s="18">
        <v>45892.0</v>
      </c>
      <c r="AF238" s="22" t="s">
        <v>53</v>
      </c>
      <c r="AG238" s="22" t="s">
        <v>313</v>
      </c>
      <c r="AH238" s="22" t="s">
        <v>2159</v>
      </c>
      <c r="AI238" s="62" t="str">
        <f>IFERROR(__xludf.DUMMYFUNCTION("IF(OR(W238="""",X238="""",AE238="""",AD238=""""),"""",
   TEXT(
     (
       (AE238+AD238 + IF(AE238+AD238 &lt; W238+X238,1,0)) - (W238+X238)
     )
     - IF(AND(AB238&lt;&gt;"""",AC238&lt;&gt;""""), 
          SUM(ARRAYFORMULA(SPLIT(AC238,"","") - SPLIT(AB238,"",""))"&amp;"), 
          0
       ),
     ""[hh]:mm""
   )
)
"),"06:18")</f>
        <v>06:18</v>
      </c>
      <c r="AJ238" s="27">
        <f t="shared" si="9"/>
        <v>0</v>
      </c>
      <c r="AK238" s="63" t="str">
        <f t="shared" si="10"/>
        <v>Pass</v>
      </c>
    </row>
    <row r="239">
      <c r="A239" s="18">
        <v>45892.0</v>
      </c>
      <c r="B239" s="19"/>
      <c r="C239" s="18">
        <v>45892.0</v>
      </c>
      <c r="D239" s="20">
        <v>0.35625</v>
      </c>
      <c r="E239" s="22" t="s">
        <v>2160</v>
      </c>
      <c r="F239" s="22" t="s">
        <v>1697</v>
      </c>
      <c r="G239" s="22" t="s">
        <v>1698</v>
      </c>
      <c r="H239" s="22" t="s">
        <v>855</v>
      </c>
      <c r="I239" s="22" t="s">
        <v>95</v>
      </c>
      <c r="J239" s="22" t="s">
        <v>95</v>
      </c>
      <c r="K239" s="22" t="s">
        <v>143</v>
      </c>
      <c r="L239" s="22" t="s">
        <v>144</v>
      </c>
      <c r="M239" s="22" t="s">
        <v>2161</v>
      </c>
      <c r="N239" s="22" t="s">
        <v>2162</v>
      </c>
      <c r="O239" s="23" t="s">
        <v>2163</v>
      </c>
      <c r="P239" s="22" t="s">
        <v>48</v>
      </c>
      <c r="Q239" s="50" t="s">
        <v>49</v>
      </c>
      <c r="R239" s="22" t="s">
        <v>2164</v>
      </c>
      <c r="S239" s="22" t="s">
        <v>51</v>
      </c>
      <c r="T239" s="22" t="s">
        <v>52</v>
      </c>
      <c r="U239" s="22" t="s">
        <v>52</v>
      </c>
      <c r="V239" s="22" t="s">
        <v>52</v>
      </c>
      <c r="W239" s="18">
        <v>45892.0</v>
      </c>
      <c r="X239" s="20">
        <v>0.35625</v>
      </c>
      <c r="Y239" s="18">
        <v>45892.0</v>
      </c>
      <c r="Z239" s="20">
        <v>0.48541666666666666</v>
      </c>
      <c r="AA239" s="20">
        <v>0.4861111111111111</v>
      </c>
      <c r="AB239" s="54"/>
      <c r="AC239" s="54"/>
      <c r="AD239" s="51">
        <v>0.5173611111111112</v>
      </c>
      <c r="AE239" s="18">
        <v>45892.0</v>
      </c>
      <c r="AF239" s="22" t="s">
        <v>53</v>
      </c>
      <c r="AG239" s="22" t="s">
        <v>102</v>
      </c>
      <c r="AH239" s="22" t="s">
        <v>2165</v>
      </c>
      <c r="AI239" s="62" t="str">
        <f>IFERROR(__xludf.DUMMYFUNCTION("IF(OR(W239="""",X239="""",AE239="""",AD239=""""),"""",
   TEXT(
     (
       (AE239+AD239 + IF(AE239+AD239 &lt; W239+X239,1,0)) - (W239+X239)
     )
     - IF(AND(AB239&lt;&gt;"""",AC239&lt;&gt;""""), 
          SUM(ARRAYFORMULA(SPLIT(AC239,"","") - SPLIT(AB239,"",""))"&amp;"), 
          0
       ),
     ""[hh]:mm""
   )
)
"),"03:52")</f>
        <v>03:52</v>
      </c>
      <c r="AJ239" s="27">
        <f t="shared" si="9"/>
        <v>0</v>
      </c>
      <c r="AK239" s="63" t="str">
        <f t="shared" si="10"/>
        <v>Pass</v>
      </c>
    </row>
    <row r="240">
      <c r="A240" s="45">
        <v>45892.0</v>
      </c>
      <c r="B240" s="46"/>
      <c r="C240" s="45">
        <v>45892.0</v>
      </c>
      <c r="D240" s="49">
        <v>0.39375</v>
      </c>
      <c r="E240" s="21" t="s">
        <v>2166</v>
      </c>
      <c r="F240" s="21" t="s">
        <v>2167</v>
      </c>
      <c r="G240" s="21" t="s">
        <v>2168</v>
      </c>
      <c r="H240" s="21" t="s">
        <v>756</v>
      </c>
      <c r="I240" s="21" t="s">
        <v>234</v>
      </c>
      <c r="J240" s="21" t="s">
        <v>42</v>
      </c>
      <c r="K240" s="21" t="s">
        <v>1557</v>
      </c>
      <c r="L240" s="21" t="s">
        <v>2169</v>
      </c>
      <c r="M240" s="21" t="s">
        <v>2170</v>
      </c>
      <c r="N240" s="21" t="s">
        <v>2171</v>
      </c>
      <c r="O240" s="48" t="s">
        <v>2172</v>
      </c>
      <c r="P240" s="21" t="s">
        <v>75</v>
      </c>
      <c r="Q240" s="24" t="s">
        <v>65</v>
      </c>
      <c r="R240" s="21" t="s">
        <v>2173</v>
      </c>
      <c r="S240" s="21" t="s">
        <v>51</v>
      </c>
      <c r="T240" s="21" t="s">
        <v>52</v>
      </c>
      <c r="U240" s="21" t="s">
        <v>52</v>
      </c>
      <c r="V240" s="21" t="s">
        <v>52</v>
      </c>
      <c r="W240" s="45">
        <v>45892.0</v>
      </c>
      <c r="X240" s="49">
        <v>0.39375</v>
      </c>
      <c r="Y240" s="45">
        <v>45892.0</v>
      </c>
      <c r="Z240" s="49">
        <v>0.45555555555555555</v>
      </c>
      <c r="AA240" s="49">
        <v>0.4756944444444444</v>
      </c>
      <c r="AB240" s="29"/>
      <c r="AC240" s="29"/>
      <c r="AD240" s="25">
        <v>0.6631944444444444</v>
      </c>
      <c r="AE240" s="45">
        <v>45892.0</v>
      </c>
      <c r="AF240" s="21" t="s">
        <v>53</v>
      </c>
      <c r="AG240" s="21" t="s">
        <v>583</v>
      </c>
      <c r="AH240" s="21" t="s">
        <v>2174</v>
      </c>
      <c r="AI240" s="62" t="str">
        <f>IFERROR(__xludf.DUMMYFUNCTION("IF(OR(W240="""",X240="""",AE240="""",AD240=""""),"""",
   TEXT(
     (
       (AE240+AD240 + IF(AE240+AD240 &lt; W240+X240,1,0)) - (W240+X240)
     )
     - IF(AND(AB240&lt;&gt;"""",AC240&lt;&gt;""""), 
          SUM(ARRAYFORMULA(SPLIT(AC240,"","") - SPLIT(AB240,"",""))"&amp;"), 
          0
       ),
     ""[hh]:mm""
   )
)
"),"06:28")</f>
        <v>06:28</v>
      </c>
      <c r="AJ240" s="27">
        <f t="shared" si="9"/>
        <v>0</v>
      </c>
      <c r="AK240" s="63" t="str">
        <f t="shared" si="10"/>
        <v>Pass</v>
      </c>
    </row>
    <row r="241">
      <c r="A241" s="18">
        <v>45892.0</v>
      </c>
      <c r="B241" s="19"/>
      <c r="C241" s="18">
        <v>45892.0</v>
      </c>
      <c r="D241" s="20">
        <v>0.7847222222222222</v>
      </c>
      <c r="E241" s="22" t="s">
        <v>2175</v>
      </c>
      <c r="F241" s="22" t="s">
        <v>1391</v>
      </c>
      <c r="G241" s="22" t="s">
        <v>1392</v>
      </c>
      <c r="H241" s="22" t="s">
        <v>156</v>
      </c>
      <c r="I241" s="22" t="s">
        <v>616</v>
      </c>
      <c r="J241" s="22" t="s">
        <v>132</v>
      </c>
      <c r="K241" s="22" t="s">
        <v>43</v>
      </c>
      <c r="L241" s="22" t="s">
        <v>617</v>
      </c>
      <c r="M241" s="22" t="s">
        <v>2176</v>
      </c>
      <c r="N241" s="22" t="s">
        <v>2177</v>
      </c>
      <c r="O241" s="23" t="s">
        <v>2178</v>
      </c>
      <c r="P241" s="22" t="s">
        <v>187</v>
      </c>
      <c r="Q241" s="50" t="s">
        <v>65</v>
      </c>
      <c r="R241" s="22" t="s">
        <v>2179</v>
      </c>
      <c r="S241" s="22" t="s">
        <v>51</v>
      </c>
      <c r="T241" s="22" t="s">
        <v>52</v>
      </c>
      <c r="U241" s="22" t="s">
        <v>52</v>
      </c>
      <c r="V241" s="22" t="s">
        <v>52</v>
      </c>
      <c r="W241" s="18">
        <v>45892.0</v>
      </c>
      <c r="X241" s="20">
        <v>0.8611111111111112</v>
      </c>
      <c r="Y241" s="18">
        <v>45892.0</v>
      </c>
      <c r="Z241" s="20">
        <v>0.9472222222222222</v>
      </c>
      <c r="AA241" s="20">
        <v>0.95</v>
      </c>
      <c r="AB241" s="54"/>
      <c r="AC241" s="54"/>
      <c r="AD241" s="51">
        <v>0.9791666666666666</v>
      </c>
      <c r="AE241" s="18">
        <v>45892.0</v>
      </c>
      <c r="AF241" s="22" t="s">
        <v>53</v>
      </c>
      <c r="AG241" s="22" t="s">
        <v>239</v>
      </c>
      <c r="AH241" s="22" t="s">
        <v>2180</v>
      </c>
      <c r="AI241" s="62" t="str">
        <f>IFERROR(__xludf.DUMMYFUNCTION("IF(OR(W241="""",X241="""",AE241="""",AD241=""""),"""",
   TEXT(
     (
       (AE241+AD241 + IF(AE241+AD241 &lt; W241+X241,1,0)) - (W241+X241)
     )
     - IF(AND(AB241&lt;&gt;"""",AC241&lt;&gt;""""), 
          SUM(ARRAYFORMULA(SPLIT(AC241,"","") - SPLIT(AB241,"",""))"&amp;"), 
          0
       ),
     ""[hh]:mm""
   )
)
"),"02:50")</f>
        <v>02:50</v>
      </c>
      <c r="AJ241" s="27">
        <f t="shared" si="9"/>
        <v>0</v>
      </c>
      <c r="AK241" s="63" t="str">
        <f t="shared" si="10"/>
        <v>Pass</v>
      </c>
    </row>
    <row r="242">
      <c r="A242" s="45">
        <v>45893.0</v>
      </c>
      <c r="B242" s="46"/>
      <c r="C242" s="45">
        <v>45893.0</v>
      </c>
      <c r="D242" s="49">
        <v>0.6673611111111111</v>
      </c>
      <c r="E242" s="21" t="s">
        <v>2181</v>
      </c>
      <c r="F242" s="21" t="s">
        <v>2182</v>
      </c>
      <c r="G242" s="21" t="s">
        <v>2183</v>
      </c>
      <c r="H242" s="21" t="s">
        <v>2184</v>
      </c>
      <c r="I242" s="21" t="s">
        <v>2185</v>
      </c>
      <c r="J242" s="21" t="s">
        <v>644</v>
      </c>
      <c r="K242" s="21" t="s">
        <v>1202</v>
      </c>
      <c r="L242" s="21" t="s">
        <v>2186</v>
      </c>
      <c r="M242" s="21" t="s">
        <v>2187</v>
      </c>
      <c r="N242" s="21" t="s">
        <v>2188</v>
      </c>
      <c r="O242" s="48" t="s">
        <v>2189</v>
      </c>
      <c r="P242" s="21" t="s">
        <v>48</v>
      </c>
      <c r="Q242" s="24" t="s">
        <v>65</v>
      </c>
      <c r="R242" s="21" t="s">
        <v>2190</v>
      </c>
      <c r="S242" s="21" t="s">
        <v>51</v>
      </c>
      <c r="T242" s="21" t="s">
        <v>52</v>
      </c>
      <c r="U242" s="21" t="s">
        <v>52</v>
      </c>
      <c r="V242" s="21" t="s">
        <v>52</v>
      </c>
      <c r="W242" s="45">
        <v>45893.0</v>
      </c>
      <c r="X242" s="49">
        <v>0.6673611111111111</v>
      </c>
      <c r="Y242" s="45">
        <v>45893.0</v>
      </c>
      <c r="Z242" s="49">
        <v>0.7555555555555555</v>
      </c>
      <c r="AA242" s="49">
        <v>0.7777777777777778</v>
      </c>
      <c r="AB242" s="25">
        <v>0.7638888888888888</v>
      </c>
      <c r="AC242" s="25">
        <v>0.7756944444444445</v>
      </c>
      <c r="AD242" s="25">
        <v>0.8472222222222222</v>
      </c>
      <c r="AE242" s="45">
        <v>45893.0</v>
      </c>
      <c r="AF242" s="21" t="s">
        <v>53</v>
      </c>
      <c r="AG242" s="21" t="s">
        <v>583</v>
      </c>
      <c r="AH242" s="21" t="s">
        <v>2191</v>
      </c>
      <c r="AI242" s="62" t="str">
        <f>IFERROR(__xludf.DUMMYFUNCTION("IF(OR(W242="""",X242="""",AE242="""",AD242=""""),"""",
   TEXT(
     (
       (AE242+AD242 + IF(AE242+AD242 &lt; W242+X242,1,0)) - (W242+X242)
     )
     - IF(AND(AB242&lt;&gt;"""",AC242&lt;&gt;""""), 
          SUM(ARRAYFORMULA(SPLIT(AC242,"","") - SPLIT(AB242,"",""))"&amp;"), 
          0
       ),
     ""[hh]:mm""
   )
)
"),"04:02")</f>
        <v>04:02</v>
      </c>
      <c r="AJ242" s="27">
        <f t="shared" si="9"/>
        <v>0</v>
      </c>
      <c r="AK242" s="63" t="str">
        <f t="shared" si="10"/>
        <v>Pass</v>
      </c>
    </row>
    <row r="243">
      <c r="A243" s="45">
        <v>45893.0</v>
      </c>
      <c r="B243" s="46"/>
      <c r="C243" s="45">
        <v>45893.0</v>
      </c>
      <c r="D243" s="49">
        <v>0.8319444444444445</v>
      </c>
      <c r="E243" s="21" t="s">
        <v>2192</v>
      </c>
      <c r="F243" s="21" t="s">
        <v>2193</v>
      </c>
      <c r="G243" s="21" t="s">
        <v>2194</v>
      </c>
      <c r="H243" s="21" t="s">
        <v>40</v>
      </c>
      <c r="I243" s="21" t="s">
        <v>95</v>
      </c>
      <c r="J243" s="21" t="s">
        <v>95</v>
      </c>
      <c r="K243" s="21" t="s">
        <v>333</v>
      </c>
      <c r="L243" s="21" t="s">
        <v>2195</v>
      </c>
      <c r="M243" s="21" t="s">
        <v>2196</v>
      </c>
      <c r="N243" s="21" t="s">
        <v>2197</v>
      </c>
      <c r="O243" s="48" t="s">
        <v>2198</v>
      </c>
      <c r="P243" s="21" t="s">
        <v>48</v>
      </c>
      <c r="Q243" s="24" t="s">
        <v>49</v>
      </c>
      <c r="R243" s="21" t="s">
        <v>2199</v>
      </c>
      <c r="S243" s="21" t="s">
        <v>51</v>
      </c>
      <c r="T243" s="21" t="s">
        <v>52</v>
      </c>
      <c r="U243" s="21" t="s">
        <v>52</v>
      </c>
      <c r="V243" s="21" t="s">
        <v>52</v>
      </c>
      <c r="W243" s="45">
        <v>45893.0</v>
      </c>
      <c r="X243" s="49">
        <v>0.8319444444444445</v>
      </c>
      <c r="Y243" s="45">
        <v>45893.0</v>
      </c>
      <c r="Z243" s="49">
        <v>0.8854166666666666</v>
      </c>
      <c r="AA243" s="49">
        <v>0.8888888888888888</v>
      </c>
      <c r="AB243" s="25">
        <v>0.9375</v>
      </c>
      <c r="AC243" s="25">
        <v>0.9583333333333334</v>
      </c>
      <c r="AD243" s="25">
        <v>0.9583333333333334</v>
      </c>
      <c r="AE243" s="45">
        <v>45893.0</v>
      </c>
      <c r="AF243" s="21" t="s">
        <v>53</v>
      </c>
      <c r="AG243" s="21" t="s">
        <v>392</v>
      </c>
      <c r="AH243" s="21" t="s">
        <v>2200</v>
      </c>
      <c r="AI243" s="62" t="str">
        <f>IFERROR(__xludf.DUMMYFUNCTION("IF(OR(W243="""",X243="""",AE243="""",AD243=""""),"""",
   TEXT(
     (
       (AE243+AD243 + IF(AE243+AD243 &lt; W243+X243,1,0)) - (W243+X243)
     )
     - IF(AND(AB243&lt;&gt;"""",AC243&lt;&gt;""""), 
          SUM(ARRAYFORMULA(SPLIT(AC243,"","") - SPLIT(AB243,"",""))"&amp;"), 
          0
       ),
     ""[hh]:mm""
   )
)
"),"02:32")</f>
        <v>02:32</v>
      </c>
      <c r="AJ243" s="27">
        <f t="shared" si="9"/>
        <v>0</v>
      </c>
      <c r="AK243" s="63" t="str">
        <f t="shared" si="10"/>
        <v>Pass</v>
      </c>
    </row>
    <row r="244">
      <c r="A244" s="45">
        <v>45893.0</v>
      </c>
      <c r="B244" s="46"/>
      <c r="C244" s="45">
        <v>45893.0</v>
      </c>
      <c r="D244" s="49">
        <v>0.5361111111111111</v>
      </c>
      <c r="E244" s="21" t="s">
        <v>2201</v>
      </c>
      <c r="F244" s="21" t="s">
        <v>1978</v>
      </c>
      <c r="G244" s="21" t="s">
        <v>1979</v>
      </c>
      <c r="H244" s="21" t="s">
        <v>253</v>
      </c>
      <c r="I244" s="21" t="s">
        <v>234</v>
      </c>
      <c r="J244" s="21" t="s">
        <v>42</v>
      </c>
      <c r="K244" s="21" t="s">
        <v>1557</v>
      </c>
      <c r="L244" s="21" t="s">
        <v>2202</v>
      </c>
      <c r="M244" s="21" t="s">
        <v>2203</v>
      </c>
      <c r="N244" s="21" t="s">
        <v>2204</v>
      </c>
      <c r="O244" s="48" t="s">
        <v>2205</v>
      </c>
      <c r="P244" s="21" t="s">
        <v>75</v>
      </c>
      <c r="Q244" s="24" t="s">
        <v>198</v>
      </c>
      <c r="R244" s="21" t="s">
        <v>2206</v>
      </c>
      <c r="S244" s="21" t="s">
        <v>51</v>
      </c>
      <c r="T244" s="21" t="s">
        <v>52</v>
      </c>
      <c r="U244" s="21" t="s">
        <v>52</v>
      </c>
      <c r="V244" s="21" t="s">
        <v>52</v>
      </c>
      <c r="W244" s="45">
        <v>45894.0</v>
      </c>
      <c r="X244" s="49">
        <v>0.4166666666666667</v>
      </c>
      <c r="Y244" s="45">
        <v>45894.0</v>
      </c>
      <c r="Z244" s="49">
        <v>0.4166666666666667</v>
      </c>
      <c r="AA244" s="49">
        <v>0.4201388888888889</v>
      </c>
      <c r="AB244" s="25">
        <v>0.6666666666666666</v>
      </c>
      <c r="AC244" s="25">
        <v>0.6875</v>
      </c>
      <c r="AD244" s="25">
        <v>0.6875</v>
      </c>
      <c r="AE244" s="45">
        <v>45894.0</v>
      </c>
      <c r="AF244" s="21" t="s">
        <v>53</v>
      </c>
      <c r="AG244" s="21" t="s">
        <v>54</v>
      </c>
      <c r="AH244" s="21" t="s">
        <v>2207</v>
      </c>
      <c r="AI244" s="62" t="str">
        <f>IFERROR(__xludf.DUMMYFUNCTION("IF(OR(W244="""",X244="""",AE244="""",AD244=""""),"""",
   TEXT(
     (
       (AE244+AD244 + IF(AE244+AD244 &lt; W244+X244,1,0)) - (W244+X244)
     )
     - IF(AND(AB244&lt;&gt;"""",AC244&lt;&gt;""""), 
          SUM(ARRAYFORMULA(SPLIT(AC244,"","") - SPLIT(AB244,"",""))"&amp;"), 
          0
       ),
     ""[hh]:mm""
   )
)
"),"06:00")</f>
        <v>06:00</v>
      </c>
      <c r="AJ244" s="27">
        <f t="shared" si="9"/>
        <v>0</v>
      </c>
      <c r="AK244" s="63" t="str">
        <f t="shared" si="10"/>
        <v>Pass</v>
      </c>
    </row>
    <row r="245">
      <c r="A245" s="45">
        <v>45893.0</v>
      </c>
      <c r="B245" s="46"/>
      <c r="C245" s="45">
        <v>45893.0</v>
      </c>
      <c r="D245" s="49">
        <v>0.8958333333333334</v>
      </c>
      <c r="E245" s="21" t="s">
        <v>2208</v>
      </c>
      <c r="F245" s="21" t="s">
        <v>296</v>
      </c>
      <c r="G245" s="21" t="s">
        <v>297</v>
      </c>
      <c r="H245" s="21" t="s">
        <v>419</v>
      </c>
      <c r="I245" s="21" t="s">
        <v>60</v>
      </c>
      <c r="J245" s="21" t="s">
        <v>42</v>
      </c>
      <c r="K245" s="21" t="s">
        <v>43</v>
      </c>
      <c r="L245" s="21" t="s">
        <v>2209</v>
      </c>
      <c r="M245" s="21" t="s">
        <v>2210</v>
      </c>
      <c r="N245" s="21" t="s">
        <v>2211</v>
      </c>
      <c r="O245" s="48" t="s">
        <v>2212</v>
      </c>
      <c r="P245" s="21" t="s">
        <v>48</v>
      </c>
      <c r="Q245" s="24" t="s">
        <v>65</v>
      </c>
      <c r="R245" s="21" t="s">
        <v>2213</v>
      </c>
      <c r="S245" s="21" t="s">
        <v>51</v>
      </c>
      <c r="T245" s="21" t="s">
        <v>52</v>
      </c>
      <c r="U245" s="21" t="s">
        <v>52</v>
      </c>
      <c r="V245" s="21" t="s">
        <v>52</v>
      </c>
      <c r="W245" s="45">
        <v>45894.0</v>
      </c>
      <c r="X245" s="49">
        <v>0.2916666666666667</v>
      </c>
      <c r="Y245" s="45">
        <v>45894.0</v>
      </c>
      <c r="Z245" s="49">
        <v>0.35</v>
      </c>
      <c r="AA245" s="49">
        <v>0.3576388888888889</v>
      </c>
      <c r="AB245" s="29"/>
      <c r="AC245" s="29"/>
      <c r="AD245" s="25">
        <v>0.4305555555555556</v>
      </c>
      <c r="AE245" s="45">
        <v>45894.0</v>
      </c>
      <c r="AF245" s="21" t="s">
        <v>53</v>
      </c>
      <c r="AG245" s="21" t="s">
        <v>583</v>
      </c>
      <c r="AH245" s="21" t="s">
        <v>2214</v>
      </c>
      <c r="AI245" s="62" t="str">
        <f>IFERROR(__xludf.DUMMYFUNCTION("IF(OR(W245="""",X245="""",AE245="""",AD245=""""),"""",
   TEXT(
     (
       (AE245+AD245 + IF(AE245+AD245 &lt; W245+X245,1,0)) - (W245+X245)
     )
     - IF(AND(AB245&lt;&gt;"""",AC245&lt;&gt;""""), 
          SUM(ARRAYFORMULA(SPLIT(AC245,"","") - SPLIT(AB245,"",""))"&amp;"), 
          0
       ),
     ""[hh]:mm""
   )
)
"),"03:20")</f>
        <v>03:20</v>
      </c>
      <c r="AJ245" s="27">
        <f t="shared" si="9"/>
        <v>0</v>
      </c>
      <c r="AK245" s="63" t="str">
        <f t="shared" si="10"/>
        <v>Pass</v>
      </c>
    </row>
    <row r="246">
      <c r="A246" s="45">
        <v>45894.0</v>
      </c>
      <c r="B246" s="46"/>
      <c r="C246" s="45">
        <v>45894.0</v>
      </c>
      <c r="D246" s="49">
        <v>0.31180555555555556</v>
      </c>
      <c r="E246" s="21" t="s">
        <v>2215</v>
      </c>
      <c r="F246" s="21" t="s">
        <v>2216</v>
      </c>
      <c r="G246" s="21" t="s">
        <v>2217</v>
      </c>
      <c r="H246" s="21" t="s">
        <v>156</v>
      </c>
      <c r="I246" s="21" t="s">
        <v>616</v>
      </c>
      <c r="J246" s="21" t="s">
        <v>132</v>
      </c>
      <c r="K246" s="21" t="s">
        <v>43</v>
      </c>
      <c r="L246" s="21" t="s">
        <v>617</v>
      </c>
      <c r="M246" s="21" t="s">
        <v>2218</v>
      </c>
      <c r="N246" s="21" t="s">
        <v>2219</v>
      </c>
      <c r="O246" s="48" t="s">
        <v>2220</v>
      </c>
      <c r="P246" s="21" t="s">
        <v>75</v>
      </c>
      <c r="Q246" s="24" t="s">
        <v>65</v>
      </c>
      <c r="R246" s="21" t="s">
        <v>2221</v>
      </c>
      <c r="S246" s="21" t="s">
        <v>51</v>
      </c>
      <c r="T246" s="21" t="s">
        <v>657</v>
      </c>
      <c r="U246" s="21" t="s">
        <v>2222</v>
      </c>
      <c r="V246" s="21" t="s">
        <v>2218</v>
      </c>
      <c r="W246" s="45">
        <v>45894.0</v>
      </c>
      <c r="X246" s="49">
        <v>0.4576388888888889</v>
      </c>
      <c r="Y246" s="45">
        <v>45894.0</v>
      </c>
      <c r="Z246" s="49">
        <v>0.6180555555555556</v>
      </c>
      <c r="AA246" s="49">
        <v>0.6194444444444445</v>
      </c>
      <c r="AB246" s="29"/>
      <c r="AC246" s="29"/>
      <c r="AD246" s="25">
        <v>0.6597222222222222</v>
      </c>
      <c r="AE246" s="45">
        <v>45894.0</v>
      </c>
      <c r="AF246" s="21" t="s">
        <v>53</v>
      </c>
      <c r="AG246" s="21" t="s">
        <v>162</v>
      </c>
      <c r="AH246" s="21" t="s">
        <v>2223</v>
      </c>
      <c r="AI246" s="62" t="str">
        <f>IFERROR(__xludf.DUMMYFUNCTION("IF(OR(W246="""",X246="""",AE246="""",AD246=""""),"""",
   TEXT(
     (
       (AE246+AD246 + IF(AE246+AD246 &lt; W246+X246,1,0)) - (W246+X246)
     )
     - IF(AND(AB246&lt;&gt;"""",AC246&lt;&gt;""""), 
          SUM(ARRAYFORMULA(SPLIT(AC246,"","") - SPLIT(AB246,"",""))"&amp;"), 
          0
       ),
     ""[hh]:mm""
   )
)
"),"04:51")</f>
        <v>04:51</v>
      </c>
      <c r="AJ246" s="27">
        <f t="shared" si="9"/>
        <v>0</v>
      </c>
      <c r="AK246" s="63" t="str">
        <f t="shared" si="10"/>
        <v>Pass</v>
      </c>
    </row>
    <row r="247">
      <c r="A247" s="45">
        <v>45894.0</v>
      </c>
      <c r="B247" s="46"/>
      <c r="C247" s="45">
        <v>45894.0</v>
      </c>
      <c r="D247" s="49">
        <v>0.6770833333333334</v>
      </c>
      <c r="E247" s="21" t="s">
        <v>2224</v>
      </c>
      <c r="F247" s="21" t="s">
        <v>882</v>
      </c>
      <c r="G247" s="21" t="s">
        <v>2225</v>
      </c>
      <c r="H247" s="21" t="s">
        <v>756</v>
      </c>
      <c r="I247" s="21" t="s">
        <v>234</v>
      </c>
      <c r="J247" s="21" t="s">
        <v>42</v>
      </c>
      <c r="K247" s="21" t="s">
        <v>61</v>
      </c>
      <c r="L247" s="21" t="s">
        <v>757</v>
      </c>
      <c r="M247" s="21" t="s">
        <v>2226</v>
      </c>
      <c r="N247" s="21" t="s">
        <v>2227</v>
      </c>
      <c r="O247" s="48" t="s">
        <v>2228</v>
      </c>
      <c r="P247" s="21" t="s">
        <v>75</v>
      </c>
      <c r="Q247" s="24" t="s">
        <v>65</v>
      </c>
      <c r="R247" s="21" t="s">
        <v>2229</v>
      </c>
      <c r="S247" s="21" t="s">
        <v>51</v>
      </c>
      <c r="T247" s="21" t="s">
        <v>52</v>
      </c>
      <c r="U247" s="21" t="s">
        <v>52</v>
      </c>
      <c r="V247" s="21" t="s">
        <v>52</v>
      </c>
      <c r="W247" s="45">
        <v>45894.0</v>
      </c>
      <c r="X247" s="49">
        <v>0.6770833333333334</v>
      </c>
      <c r="Y247" s="45">
        <v>45894.0</v>
      </c>
      <c r="Z247" s="49">
        <v>0.8506944444444444</v>
      </c>
      <c r="AA247" s="49">
        <v>0.8541666666666666</v>
      </c>
      <c r="AB247" s="29"/>
      <c r="AC247" s="29"/>
      <c r="AD247" s="25">
        <v>0.8993055555555556</v>
      </c>
      <c r="AE247" s="45">
        <v>45894.0</v>
      </c>
      <c r="AF247" s="21" t="s">
        <v>53</v>
      </c>
      <c r="AG247" s="21" t="s">
        <v>54</v>
      </c>
      <c r="AH247" s="21" t="s">
        <v>2230</v>
      </c>
      <c r="AI247" s="62" t="str">
        <f>IFERROR(__xludf.DUMMYFUNCTION("IF(OR(W247="""",X247="""",AE247="""",AD247=""""),"""",
   TEXT(
     (
       (AE247+AD247 + IF(AE247+AD247 &lt; W247+X247,1,0)) - (W247+X247)
     )
     - IF(AND(AB247&lt;&gt;"""",AC247&lt;&gt;""""), 
          SUM(ARRAYFORMULA(SPLIT(AC247,"","") - SPLIT(AB247,"",""))"&amp;"), 
          0
       ),
     ""[hh]:mm""
   )
)
"),"05:20")</f>
        <v>05:20</v>
      </c>
      <c r="AJ247" s="27">
        <f t="shared" si="9"/>
        <v>0</v>
      </c>
      <c r="AK247" s="63" t="str">
        <f t="shared" si="10"/>
        <v>Pass</v>
      </c>
    </row>
    <row r="248">
      <c r="A248" s="45">
        <v>45894.0</v>
      </c>
      <c r="B248" s="46"/>
      <c r="C248" s="45">
        <v>45894.0</v>
      </c>
      <c r="D248" s="49">
        <v>0.6972222222222222</v>
      </c>
      <c r="E248" s="21" t="s">
        <v>2231</v>
      </c>
      <c r="F248" s="21" t="s">
        <v>352</v>
      </c>
      <c r="G248" s="21" t="s">
        <v>353</v>
      </c>
      <c r="H248" s="21" t="s">
        <v>756</v>
      </c>
      <c r="I248" s="21" t="s">
        <v>234</v>
      </c>
      <c r="J248" s="21" t="s">
        <v>42</v>
      </c>
      <c r="K248" s="21" t="s">
        <v>43</v>
      </c>
      <c r="L248" s="21" t="s">
        <v>1171</v>
      </c>
      <c r="M248" s="21" t="s">
        <v>2232</v>
      </c>
      <c r="N248" s="21" t="s">
        <v>2233</v>
      </c>
      <c r="O248" s="48" t="s">
        <v>2234</v>
      </c>
      <c r="P248" s="21" t="s">
        <v>75</v>
      </c>
      <c r="Q248" s="24" t="s">
        <v>65</v>
      </c>
      <c r="R248" s="21" t="s">
        <v>2235</v>
      </c>
      <c r="S248" s="21" t="s">
        <v>51</v>
      </c>
      <c r="T248" s="21" t="s">
        <v>131</v>
      </c>
      <c r="U248" s="21" t="s">
        <v>2236</v>
      </c>
      <c r="V248" s="21" t="s">
        <v>2232</v>
      </c>
      <c r="W248" s="45">
        <v>45894.0</v>
      </c>
      <c r="X248" s="49">
        <v>0.6972222222222222</v>
      </c>
      <c r="Y248" s="45">
        <v>45894.0</v>
      </c>
      <c r="Z248" s="49">
        <v>0.8506944444444444</v>
      </c>
      <c r="AA248" s="49">
        <v>0.8541666666666666</v>
      </c>
      <c r="AB248" s="29"/>
      <c r="AC248" s="29"/>
      <c r="AD248" s="25">
        <v>0.8993055555555556</v>
      </c>
      <c r="AE248" s="45">
        <v>45894.0</v>
      </c>
      <c r="AF248" s="21" t="s">
        <v>53</v>
      </c>
      <c r="AG248" s="21" t="s">
        <v>102</v>
      </c>
      <c r="AH248" s="21" t="s">
        <v>361</v>
      </c>
      <c r="AI248" s="62" t="str">
        <f>IFERROR(__xludf.DUMMYFUNCTION("IF(OR(W248="""",X248="""",AE248="""",AD248=""""),"""",
   TEXT(
     (
       (AE248+AD248 + IF(AE248+AD248 &lt; W248+X248,1,0)) - (W248+X248)
     )
     - IF(AND(AB248&lt;&gt;"""",AC248&lt;&gt;""""), 
          SUM(ARRAYFORMULA(SPLIT(AC248,"","") - SPLIT(AB248,"",""))"&amp;"), 
          0
       ),
     ""[hh]:mm""
   )
)
"),"04:51")</f>
        <v>04:51</v>
      </c>
      <c r="AJ248" s="27">
        <f t="shared" si="9"/>
        <v>0</v>
      </c>
      <c r="AK248" s="63" t="str">
        <f t="shared" si="10"/>
        <v>Pass</v>
      </c>
    </row>
    <row r="249">
      <c r="A249" s="45">
        <v>45894.0</v>
      </c>
      <c r="B249" s="46"/>
      <c r="C249" s="45">
        <v>45894.0</v>
      </c>
      <c r="D249" s="49">
        <v>0.7458333333333333</v>
      </c>
      <c r="E249" s="21" t="s">
        <v>2237</v>
      </c>
      <c r="F249" s="21" t="s">
        <v>2238</v>
      </c>
      <c r="G249" s="21" t="s">
        <v>2239</v>
      </c>
      <c r="H249" s="21" t="s">
        <v>244</v>
      </c>
      <c r="I249" s="21" t="s">
        <v>60</v>
      </c>
      <c r="J249" s="21" t="s">
        <v>42</v>
      </c>
      <c r="K249" s="21" t="s">
        <v>61</v>
      </c>
      <c r="L249" s="21" t="s">
        <v>183</v>
      </c>
      <c r="M249" s="21" t="s">
        <v>2240</v>
      </c>
      <c r="N249" s="21" t="s">
        <v>2241</v>
      </c>
      <c r="O249" s="48" t="s">
        <v>2242</v>
      </c>
      <c r="P249" s="21" t="s">
        <v>187</v>
      </c>
      <c r="Q249" s="24" t="s">
        <v>65</v>
      </c>
      <c r="R249" s="21" t="s">
        <v>2243</v>
      </c>
      <c r="S249" s="21" t="s">
        <v>51</v>
      </c>
      <c r="T249" s="21" t="s">
        <v>52</v>
      </c>
      <c r="U249" s="21" t="s">
        <v>52</v>
      </c>
      <c r="V249" s="21" t="s">
        <v>52</v>
      </c>
      <c r="W249" s="45">
        <v>45894.0</v>
      </c>
      <c r="X249" s="49">
        <v>0.7458333333333333</v>
      </c>
      <c r="Y249" s="45">
        <v>45894.0</v>
      </c>
      <c r="Z249" s="49">
        <v>0.8263888888888888</v>
      </c>
      <c r="AA249" s="49">
        <v>0.8333333333333334</v>
      </c>
      <c r="AB249" s="25">
        <v>0.8645833333333334</v>
      </c>
      <c r="AC249" s="25">
        <v>0.8854166666666666</v>
      </c>
      <c r="AD249" s="25">
        <v>0.8854166666666666</v>
      </c>
      <c r="AE249" s="45">
        <v>45894.0</v>
      </c>
      <c r="AF249" s="21" t="s">
        <v>53</v>
      </c>
      <c r="AG249" s="21" t="s">
        <v>2244</v>
      </c>
      <c r="AH249" s="22" t="s">
        <v>2245</v>
      </c>
      <c r="AI249" s="62" t="str">
        <f>IFERROR(__xludf.DUMMYFUNCTION("IF(OR(W249="""",X249="""",AE249="""",AD249=""""),"""",
   TEXT(
     (
       (AE249+AD249 + IF(AE249+AD249 &lt; W249+X249,1,0)) - (W249+X249)
     )
     - IF(AND(AB249&lt;&gt;"""",AC249&lt;&gt;""""), 
          SUM(ARRAYFORMULA(SPLIT(AC249,"","") - SPLIT(AB249,"",""))"&amp;"), 
          0
       ),
     ""[hh]:mm""
   )
)
"),"02:51")</f>
        <v>02:51</v>
      </c>
      <c r="AJ249" s="27">
        <f t="shared" si="9"/>
        <v>0</v>
      </c>
      <c r="AK249" s="63" t="str">
        <f t="shared" si="10"/>
        <v>Pass</v>
      </c>
    </row>
    <row r="250">
      <c r="A250" s="18">
        <v>45894.0</v>
      </c>
      <c r="B250" s="20">
        <v>0.9784722222222222</v>
      </c>
      <c r="C250" s="18">
        <v>45895.0</v>
      </c>
      <c r="D250" s="79">
        <v>0.3125</v>
      </c>
      <c r="E250" s="22" t="s">
        <v>2246</v>
      </c>
      <c r="F250" s="22" t="s">
        <v>1766</v>
      </c>
      <c r="G250" s="22" t="s">
        <v>2247</v>
      </c>
      <c r="H250" s="22" t="s">
        <v>2248</v>
      </c>
      <c r="I250" s="22" t="s">
        <v>131</v>
      </c>
      <c r="J250" s="22" t="s">
        <v>132</v>
      </c>
      <c r="K250" s="22" t="s">
        <v>43</v>
      </c>
      <c r="L250" s="22" t="s">
        <v>1171</v>
      </c>
      <c r="M250" s="22" t="s">
        <v>2249</v>
      </c>
      <c r="N250" s="22" t="s">
        <v>2250</v>
      </c>
      <c r="O250" s="23" t="s">
        <v>2251</v>
      </c>
      <c r="P250" s="22" t="s">
        <v>75</v>
      </c>
      <c r="Q250" s="50" t="s">
        <v>65</v>
      </c>
      <c r="R250" s="22" t="s">
        <v>2252</v>
      </c>
      <c r="S250" s="22" t="s">
        <v>51</v>
      </c>
      <c r="T250" s="22" t="s">
        <v>2253</v>
      </c>
      <c r="U250" s="22" t="s">
        <v>2254</v>
      </c>
      <c r="V250" s="22" t="s">
        <v>2249</v>
      </c>
      <c r="W250" s="18">
        <v>45895.0</v>
      </c>
      <c r="X250" s="20">
        <v>0.5180555555555556</v>
      </c>
      <c r="Y250" s="18">
        <v>45895.0</v>
      </c>
      <c r="Z250" s="20">
        <v>0.5833333333333334</v>
      </c>
      <c r="AA250" s="20">
        <v>0.6041666666666666</v>
      </c>
      <c r="AB250" s="51">
        <v>0.6145833333333334</v>
      </c>
      <c r="AC250" s="51">
        <v>0.7256944444444444</v>
      </c>
      <c r="AD250" s="51">
        <v>0.7395833333333334</v>
      </c>
      <c r="AE250" s="18">
        <v>45895.0</v>
      </c>
      <c r="AF250" s="22" t="s">
        <v>53</v>
      </c>
      <c r="AG250" s="22" t="s">
        <v>78</v>
      </c>
      <c r="AH250" s="22" t="s">
        <v>2255</v>
      </c>
      <c r="AI250" s="62" t="str">
        <f>IFERROR(__xludf.DUMMYFUNCTION("IF(OR(W250="""",X250="""",AE250="""",AD250=""""),"""",
   TEXT(
     (
       (AE250+AD250 + IF(AE250+AD250 &lt; W250+X250,1,0)) - (W250+X250)
     )
     - IF(AND(AB250&lt;&gt;"""",AC250&lt;&gt;""""), 
          SUM(ARRAYFORMULA(SPLIT(AC250,"","") - SPLIT(AB250,"",""))"&amp;"), 
          0
       ),
     ""[hh]:mm""
   )
)
"),"02:39")</f>
        <v>02:39</v>
      </c>
      <c r="AJ250" s="27">
        <f t="shared" si="9"/>
        <v>0</v>
      </c>
      <c r="AK250" s="63" t="str">
        <f t="shared" si="10"/>
        <v>Pass</v>
      </c>
    </row>
    <row r="251">
      <c r="A251" s="45">
        <v>45895.0</v>
      </c>
      <c r="B251" s="20">
        <v>0.3625</v>
      </c>
      <c r="C251" s="45">
        <v>45895.0</v>
      </c>
      <c r="D251" s="49">
        <v>0.3680555555555556</v>
      </c>
      <c r="E251" s="21" t="s">
        <v>2256</v>
      </c>
      <c r="F251" s="21" t="s">
        <v>2257</v>
      </c>
      <c r="G251" s="21" t="s">
        <v>2258</v>
      </c>
      <c r="H251" s="21" t="s">
        <v>156</v>
      </c>
      <c r="I251" s="21" t="s">
        <v>616</v>
      </c>
      <c r="J251" s="21" t="s">
        <v>132</v>
      </c>
      <c r="K251" s="21" t="s">
        <v>43</v>
      </c>
      <c r="L251" s="21" t="s">
        <v>1171</v>
      </c>
      <c r="M251" s="21" t="s">
        <v>2259</v>
      </c>
      <c r="N251" s="21" t="s">
        <v>2260</v>
      </c>
      <c r="O251" s="48" t="s">
        <v>2261</v>
      </c>
      <c r="P251" s="21" t="s">
        <v>75</v>
      </c>
      <c r="Q251" s="24" t="s">
        <v>65</v>
      </c>
      <c r="R251" s="21" t="s">
        <v>2262</v>
      </c>
      <c r="S251" s="21" t="s">
        <v>51</v>
      </c>
      <c r="T251" s="21" t="s">
        <v>52</v>
      </c>
      <c r="U251" s="21" t="s">
        <v>52</v>
      </c>
      <c r="V251" s="21" t="s">
        <v>52</v>
      </c>
      <c r="W251" s="45">
        <v>45895.0</v>
      </c>
      <c r="X251" s="49">
        <v>0.4125</v>
      </c>
      <c r="Y251" s="45">
        <v>45895.0</v>
      </c>
      <c r="Z251" s="49">
        <v>0.4666666666666667</v>
      </c>
      <c r="AA251" s="49">
        <v>0.46875</v>
      </c>
      <c r="AB251" s="29"/>
      <c r="AC251" s="29"/>
      <c r="AD251" s="25">
        <v>0.49166666666666664</v>
      </c>
      <c r="AE251" s="45">
        <v>45895.0</v>
      </c>
      <c r="AF251" s="21" t="s">
        <v>53</v>
      </c>
      <c r="AG251" s="21" t="s">
        <v>313</v>
      </c>
      <c r="AH251" s="21" t="s">
        <v>2263</v>
      </c>
      <c r="AI251" s="62" t="str">
        <f>IFERROR(__xludf.DUMMYFUNCTION("IF(OR(W251="""",X251="""",AE251="""",AD251=""""),"""",
   TEXT(
     (
       (AE251+AD251 + IF(AE251+AD251 &lt; W251+X251,1,0)) - (W251+X251)
     )
     - IF(AND(AB251&lt;&gt;"""",AC251&lt;&gt;""""), 
          SUM(ARRAYFORMULA(SPLIT(AC251,"","") - SPLIT(AB251,"",""))"&amp;"), 
          0
       ),
     ""[hh]:mm""
   )
)
"),"01:54")</f>
        <v>01:54</v>
      </c>
      <c r="AJ251" s="27">
        <f t="shared" si="9"/>
        <v>0</v>
      </c>
      <c r="AK251" s="63" t="str">
        <f t="shared" si="10"/>
        <v>Pass</v>
      </c>
    </row>
    <row r="252">
      <c r="A252" s="45">
        <v>45899.0</v>
      </c>
      <c r="B252" s="49">
        <v>0.5479166666666667</v>
      </c>
      <c r="C252" s="45">
        <v>45895.0</v>
      </c>
      <c r="D252" s="49">
        <v>0.35625</v>
      </c>
      <c r="E252" s="21" t="s">
        <v>1522</v>
      </c>
      <c r="F252" s="21" t="s">
        <v>842</v>
      </c>
      <c r="G252" s="21" t="s">
        <v>843</v>
      </c>
      <c r="H252" s="21" t="s">
        <v>142</v>
      </c>
      <c r="I252" s="21" t="s">
        <v>131</v>
      </c>
      <c r="J252" s="21" t="s">
        <v>132</v>
      </c>
      <c r="K252" s="21" t="s">
        <v>43</v>
      </c>
      <c r="L252" s="21" t="s">
        <v>1120</v>
      </c>
      <c r="M252" s="21" t="s">
        <v>1121</v>
      </c>
      <c r="N252" s="21" t="s">
        <v>2264</v>
      </c>
      <c r="O252" s="48" t="s">
        <v>1524</v>
      </c>
      <c r="P252" s="21" t="s">
        <v>75</v>
      </c>
      <c r="Q252" s="24" t="s">
        <v>65</v>
      </c>
      <c r="R252" s="21" t="s">
        <v>2265</v>
      </c>
      <c r="S252" s="21" t="s">
        <v>51</v>
      </c>
      <c r="T252" s="21" t="s">
        <v>657</v>
      </c>
      <c r="U252" s="21" t="s">
        <v>1526</v>
      </c>
      <c r="V252" s="21" t="s">
        <v>1527</v>
      </c>
      <c r="W252" s="45">
        <v>45895.0</v>
      </c>
      <c r="X252" s="49">
        <v>0.35625</v>
      </c>
      <c r="Y252" s="69"/>
      <c r="Z252" s="46"/>
      <c r="AA252" s="46"/>
      <c r="AB252" s="29"/>
      <c r="AC252" s="29"/>
      <c r="AD252" s="29"/>
      <c r="AE252" s="69"/>
      <c r="AF252" s="21" t="s">
        <v>829</v>
      </c>
      <c r="AG252" s="21" t="s">
        <v>848</v>
      </c>
      <c r="AH252" s="47"/>
      <c r="AI252" s="64" t="str">
        <f>IFERROR(__xludf.DUMMYFUNCTION("IF(OR(W252="""",X252="""",AE252="""",AD252=""""),"""",
   TEXT(
     (
       (AE252+AD252 + IF(AE252+AD252 &lt; W252+X252,1,0)) - (W252+X252)
     )
     - IF(AND(AB252&lt;&gt;"""",AC252&lt;&gt;""""), 
          SUM(ARRAYFORMULA(SPLIT(AC252,"","") - SPLIT(AB252,"",""))"&amp;"), 
          0
       ),
     ""[hh]:mm""
   )
)
"),"")</f>
        <v/>
      </c>
      <c r="AJ252" s="65" t="str">
        <f t="shared" si="9"/>
        <v/>
      </c>
      <c r="AK252" s="66" t="str">
        <f t="shared" si="10"/>
        <v/>
      </c>
    </row>
    <row r="253">
      <c r="A253" s="45">
        <v>45895.0</v>
      </c>
      <c r="B253" s="20">
        <v>0.5916666666666667</v>
      </c>
      <c r="C253" s="45">
        <v>45895.0</v>
      </c>
      <c r="D253" s="80">
        <v>0.2951388888888889</v>
      </c>
      <c r="E253" s="21" t="s">
        <v>2266</v>
      </c>
      <c r="F253" s="21" t="s">
        <v>2267</v>
      </c>
      <c r="G253" s="21" t="s">
        <v>2268</v>
      </c>
      <c r="H253" s="21" t="s">
        <v>566</v>
      </c>
      <c r="I253" s="21" t="s">
        <v>815</v>
      </c>
      <c r="J253" s="21" t="s">
        <v>1084</v>
      </c>
      <c r="K253" s="21" t="s">
        <v>2269</v>
      </c>
      <c r="L253" s="21" t="s">
        <v>2269</v>
      </c>
      <c r="M253" s="21" t="s">
        <v>2270</v>
      </c>
      <c r="N253" s="21" t="s">
        <v>2271</v>
      </c>
      <c r="O253" s="48" t="s">
        <v>2272</v>
      </c>
      <c r="P253" s="21" t="s">
        <v>48</v>
      </c>
      <c r="Q253" s="24" t="s">
        <v>198</v>
      </c>
      <c r="R253" s="21" t="s">
        <v>2273</v>
      </c>
      <c r="S253" s="21" t="s">
        <v>51</v>
      </c>
      <c r="T253" s="21" t="s">
        <v>52</v>
      </c>
      <c r="U253" s="21" t="s">
        <v>52</v>
      </c>
      <c r="V253" s="21" t="s">
        <v>52</v>
      </c>
      <c r="W253" s="45">
        <v>45895.0</v>
      </c>
      <c r="X253" s="49">
        <v>0.36041666666666666</v>
      </c>
      <c r="Y253" s="45">
        <v>45895.0</v>
      </c>
      <c r="Z253" s="49">
        <v>0.4465277777777778</v>
      </c>
      <c r="AA253" s="49">
        <v>0.4513888888888889</v>
      </c>
      <c r="AB253" s="29"/>
      <c r="AC253" s="24" t="s">
        <v>829</v>
      </c>
      <c r="AD253" s="25">
        <v>0.5576388888888889</v>
      </c>
      <c r="AE253" s="45">
        <v>45895.0</v>
      </c>
      <c r="AF253" s="21" t="s">
        <v>53</v>
      </c>
      <c r="AG253" s="21" t="s">
        <v>293</v>
      </c>
      <c r="AH253" s="21" t="s">
        <v>2274</v>
      </c>
      <c r="AI253" s="62" t="str">
        <f>IFERROR(__xludf.DUMMYFUNCTION("IF(OR(W253="""",X253="""",AE253="""",AD253=""""),"""",
   TEXT(
     (
       (AE253+AD253 + IF(AE253+AD253 &lt; W253+X253,1,0)) - (W253+X253)
     )
     - IF(AND(AB253&lt;&gt;"""",AC253&lt;&gt;""""), 
          SUM(ARRAYFORMULA(SPLIT(AC253,"","") - SPLIT(AB253,"",""))"&amp;"), 
          0
       ),
     ""[hh]:mm""
   )
)
"),"04:44")</f>
        <v>04:44</v>
      </c>
      <c r="AJ253" s="27">
        <f t="shared" si="9"/>
        <v>0</v>
      </c>
      <c r="AK253" s="63" t="str">
        <f t="shared" si="10"/>
        <v>Pass</v>
      </c>
    </row>
    <row r="254">
      <c r="A254" s="18">
        <v>45895.0</v>
      </c>
      <c r="B254" s="20">
        <v>0.6215277777777778</v>
      </c>
      <c r="C254" s="18">
        <v>45895.0</v>
      </c>
      <c r="D254" s="79">
        <v>0.2951388888888889</v>
      </c>
      <c r="E254" s="22" t="s">
        <v>2275</v>
      </c>
      <c r="F254" s="22" t="s">
        <v>2276</v>
      </c>
      <c r="G254" s="22" t="s">
        <v>2277</v>
      </c>
      <c r="H254" s="22" t="s">
        <v>566</v>
      </c>
      <c r="I254" s="22" t="s">
        <v>815</v>
      </c>
      <c r="J254" s="22" t="s">
        <v>1084</v>
      </c>
      <c r="K254" s="22" t="s">
        <v>2269</v>
      </c>
      <c r="L254" s="21" t="s">
        <v>2269</v>
      </c>
      <c r="M254" s="22" t="s">
        <v>2278</v>
      </c>
      <c r="N254" s="22" t="s">
        <v>2279</v>
      </c>
      <c r="O254" s="23" t="s">
        <v>2280</v>
      </c>
      <c r="P254" s="22" t="s">
        <v>48</v>
      </c>
      <c r="Q254" s="50" t="s">
        <v>198</v>
      </c>
      <c r="R254" s="22" t="s">
        <v>2281</v>
      </c>
      <c r="S254" s="22" t="s">
        <v>51</v>
      </c>
      <c r="T254" s="21" t="s">
        <v>52</v>
      </c>
      <c r="U254" s="21" t="s">
        <v>52</v>
      </c>
      <c r="V254" s="21" t="s">
        <v>52</v>
      </c>
      <c r="W254" s="18">
        <v>45895.0</v>
      </c>
      <c r="X254" s="20">
        <v>0.36041666666666666</v>
      </c>
      <c r="Y254" s="45">
        <v>45895.0</v>
      </c>
      <c r="Z254" s="20">
        <v>0.5722222222222222</v>
      </c>
      <c r="AA254" s="20">
        <v>0.5729166666666666</v>
      </c>
      <c r="AB254" s="54"/>
      <c r="AC254" s="54"/>
      <c r="AD254" s="51">
        <v>0.6111111111111112</v>
      </c>
      <c r="AE254" s="45">
        <v>45895.0</v>
      </c>
      <c r="AF254" s="21" t="s">
        <v>53</v>
      </c>
      <c r="AG254" s="22" t="s">
        <v>102</v>
      </c>
      <c r="AH254" s="22" t="s">
        <v>2282</v>
      </c>
      <c r="AI254" s="62" t="str">
        <f>IFERROR(__xludf.DUMMYFUNCTION("IF(OR(W254="""",X254="""",AE254="""",AD254=""""),"""",
   TEXT(
     (
       (AE254+AD254 + IF(AE254+AD254 &lt; W254+X254,1,0)) - (W254+X254)
     )
     - IF(AND(AB254&lt;&gt;"""",AC254&lt;&gt;""""), 
          SUM(ARRAYFORMULA(SPLIT(AC254,"","") - SPLIT(AB254,"",""))"&amp;"), 
          0
       ),
     ""[hh]:mm""
   )
)
"),"06:01")</f>
        <v>06:01</v>
      </c>
      <c r="AJ254" s="27">
        <f t="shared" si="9"/>
        <v>0</v>
      </c>
      <c r="AK254" s="63" t="str">
        <f t="shared" si="10"/>
        <v>Pass</v>
      </c>
    </row>
    <row r="255">
      <c r="A255" s="45">
        <v>45895.0</v>
      </c>
      <c r="B255" s="20">
        <v>0.6076388888888888</v>
      </c>
      <c r="C255" s="45">
        <v>45895.0</v>
      </c>
      <c r="D255" s="80">
        <v>0.2951388888888889</v>
      </c>
      <c r="E255" s="21" t="s">
        <v>2283</v>
      </c>
      <c r="F255" s="21" t="s">
        <v>2284</v>
      </c>
      <c r="G255" s="21" t="s">
        <v>2285</v>
      </c>
      <c r="H255" s="21" t="s">
        <v>566</v>
      </c>
      <c r="I255" s="21" t="s">
        <v>815</v>
      </c>
      <c r="J255" s="21" t="s">
        <v>1084</v>
      </c>
      <c r="K255" s="21" t="s">
        <v>1998</v>
      </c>
      <c r="L255" s="21" t="s">
        <v>817</v>
      </c>
      <c r="M255" s="21" t="s">
        <v>2286</v>
      </c>
      <c r="N255" s="21" t="s">
        <v>2287</v>
      </c>
      <c r="O255" s="48" t="s">
        <v>2288</v>
      </c>
      <c r="P255" s="21" t="s">
        <v>48</v>
      </c>
      <c r="Q255" s="24" t="s">
        <v>198</v>
      </c>
      <c r="R255" s="21" t="s">
        <v>2289</v>
      </c>
      <c r="S255" s="21" t="s">
        <v>51</v>
      </c>
      <c r="T255" s="21" t="s">
        <v>52</v>
      </c>
      <c r="U255" s="21" t="s">
        <v>52</v>
      </c>
      <c r="V255" s="21" t="s">
        <v>52</v>
      </c>
      <c r="W255" s="45">
        <v>45895.0</v>
      </c>
      <c r="X255" s="49">
        <v>0.36041666666666666</v>
      </c>
      <c r="Y255" s="45">
        <v>45895.0</v>
      </c>
      <c r="Z255" s="49">
        <v>0.46805555555555556</v>
      </c>
      <c r="AA255" s="49">
        <v>0.4701388888888889</v>
      </c>
      <c r="AB255" s="29"/>
      <c r="AC255" s="29"/>
      <c r="AD255" s="25">
        <v>0.5347222222222222</v>
      </c>
      <c r="AE255" s="45">
        <v>45895.0</v>
      </c>
      <c r="AF255" s="21" t="s">
        <v>53</v>
      </c>
      <c r="AG255" s="21" t="s">
        <v>1482</v>
      </c>
      <c r="AH255" s="21" t="s">
        <v>2290</v>
      </c>
      <c r="AI255" s="62" t="str">
        <f>IFERROR(__xludf.DUMMYFUNCTION("IF(OR(W255="""",X255="""",AE255="""",AD255=""""),"""",
   TEXT(
     (
       (AE255+AD255 + IF(AE255+AD255 &lt; W255+X255,1,0)) - (W255+X255)
     )
     - IF(AND(AB255&lt;&gt;"""",AC255&lt;&gt;""""), 
          SUM(ARRAYFORMULA(SPLIT(AC255,"","") - SPLIT(AB255,"",""))"&amp;"), 
          0
       ),
     ""[hh]:mm""
   )
)
"),"04:11")</f>
        <v>04:11</v>
      </c>
      <c r="AJ255" s="27">
        <f t="shared" si="9"/>
        <v>0</v>
      </c>
      <c r="AK255" s="63" t="str">
        <f t="shared" si="10"/>
        <v>Pass</v>
      </c>
    </row>
    <row r="256">
      <c r="A256" s="18">
        <v>45895.0</v>
      </c>
      <c r="B256" s="20">
        <v>0.5458333333333333</v>
      </c>
      <c r="C256" s="18">
        <v>45895.0</v>
      </c>
      <c r="D256" s="79">
        <v>0.2951388888888889</v>
      </c>
      <c r="E256" s="22" t="s">
        <v>2291</v>
      </c>
      <c r="F256" s="22" t="s">
        <v>493</v>
      </c>
      <c r="G256" s="22" t="s">
        <v>2292</v>
      </c>
      <c r="H256" s="22" t="s">
        <v>566</v>
      </c>
      <c r="I256" s="22" t="s">
        <v>815</v>
      </c>
      <c r="J256" s="22" t="s">
        <v>1084</v>
      </c>
      <c r="K256" s="22" t="s">
        <v>2293</v>
      </c>
      <c r="L256" s="22" t="s">
        <v>2294</v>
      </c>
      <c r="M256" s="22" t="s">
        <v>2295</v>
      </c>
      <c r="N256" s="22" t="s">
        <v>2296</v>
      </c>
      <c r="O256" s="23" t="s">
        <v>2297</v>
      </c>
      <c r="P256" s="22" t="s">
        <v>48</v>
      </c>
      <c r="Q256" s="50" t="s">
        <v>198</v>
      </c>
      <c r="R256" s="22" t="s">
        <v>2298</v>
      </c>
      <c r="S256" s="22" t="s">
        <v>51</v>
      </c>
      <c r="T256" s="21" t="s">
        <v>52</v>
      </c>
      <c r="U256" s="21" t="s">
        <v>52</v>
      </c>
      <c r="V256" s="21" t="s">
        <v>52</v>
      </c>
      <c r="W256" s="18">
        <v>45895.0</v>
      </c>
      <c r="X256" s="20">
        <v>0.36041666666666666</v>
      </c>
      <c r="Y256" s="45">
        <v>45895.0</v>
      </c>
      <c r="Z256" s="20">
        <v>0.6215277777777778</v>
      </c>
      <c r="AA256" s="20">
        <v>0.6236111111111111</v>
      </c>
      <c r="AB256" s="54"/>
      <c r="AC256" s="54"/>
      <c r="AD256" s="51">
        <v>0.6458333333333334</v>
      </c>
      <c r="AE256" s="45">
        <v>45895.0</v>
      </c>
      <c r="AF256" s="21" t="s">
        <v>53</v>
      </c>
      <c r="AG256" s="22" t="s">
        <v>162</v>
      </c>
      <c r="AH256" s="22" t="s">
        <v>2299</v>
      </c>
      <c r="AI256" s="62" t="str">
        <f>IFERROR(__xludf.DUMMYFUNCTION("IF(OR(W256="""",X256="""",AE256="""",AD256=""""),"""",
   TEXT(
     (
       (AE256+AD256 + IF(AE256+AD256 &lt; W256+X256,1,0)) - (W256+X256)
     )
     - IF(AND(AB256&lt;&gt;"""",AC256&lt;&gt;""""), 
          SUM(ARRAYFORMULA(SPLIT(AC256,"","") - SPLIT(AB256,"",""))"&amp;"), 
          0
       ),
     ""[hh]:mm""
   )
)
"),"06:51")</f>
        <v>06:51</v>
      </c>
      <c r="AJ256" s="27">
        <f t="shared" si="9"/>
        <v>0</v>
      </c>
      <c r="AK256" s="63" t="str">
        <f t="shared" si="10"/>
        <v>Pass</v>
      </c>
    </row>
    <row r="257">
      <c r="A257" s="45">
        <v>45895.0</v>
      </c>
      <c r="B257" s="20">
        <v>0.6048611111111111</v>
      </c>
      <c r="C257" s="45">
        <v>45895.0</v>
      </c>
      <c r="D257" s="80">
        <v>0.2951388888888889</v>
      </c>
      <c r="E257" s="21" t="s">
        <v>2300</v>
      </c>
      <c r="F257" s="21" t="s">
        <v>2301</v>
      </c>
      <c r="G257" s="21" t="s">
        <v>2302</v>
      </c>
      <c r="H257" s="21" t="s">
        <v>566</v>
      </c>
      <c r="I257" s="21" t="s">
        <v>815</v>
      </c>
      <c r="J257" s="21" t="s">
        <v>1084</v>
      </c>
      <c r="K257" s="21" t="s">
        <v>1085</v>
      </c>
      <c r="L257" s="21" t="s">
        <v>2303</v>
      </c>
      <c r="M257" s="21" t="s">
        <v>2304</v>
      </c>
      <c r="N257" s="21" t="s">
        <v>2271</v>
      </c>
      <c r="O257" s="48" t="s">
        <v>2305</v>
      </c>
      <c r="P257" s="21" t="s">
        <v>48</v>
      </c>
      <c r="Q257" s="24" t="s">
        <v>198</v>
      </c>
      <c r="R257" s="21" t="s">
        <v>2306</v>
      </c>
      <c r="S257" s="21" t="s">
        <v>51</v>
      </c>
      <c r="T257" s="21" t="s">
        <v>52</v>
      </c>
      <c r="U257" s="21" t="s">
        <v>52</v>
      </c>
      <c r="V257" s="21" t="s">
        <v>52</v>
      </c>
      <c r="W257" s="45">
        <v>45895.0</v>
      </c>
      <c r="X257" s="49">
        <v>0.36041666666666666</v>
      </c>
      <c r="Y257" s="45">
        <v>45895.0</v>
      </c>
      <c r="Z257" s="49">
        <v>0.46875</v>
      </c>
      <c r="AA257" s="49">
        <v>0.4722222222222222</v>
      </c>
      <c r="AB257" s="29"/>
      <c r="AC257" s="29"/>
      <c r="AD257" s="25">
        <v>0.5659722222222222</v>
      </c>
      <c r="AE257" s="45">
        <v>45895.0</v>
      </c>
      <c r="AF257" s="21" t="s">
        <v>53</v>
      </c>
      <c r="AG257" s="21" t="s">
        <v>102</v>
      </c>
      <c r="AH257" s="21" t="s">
        <v>2307</v>
      </c>
      <c r="AI257" s="62" t="str">
        <f>IFERROR(__xludf.DUMMYFUNCTION("IF(OR(W257="""",X257="""",AE257="""",AD257=""""),"""",
   TEXT(
     (
       (AE257+AD257 + IF(AE257+AD257 &lt; W257+X257,1,0)) - (W257+X257)
     )
     - IF(AND(AB257&lt;&gt;"""",AC257&lt;&gt;""""), 
          SUM(ARRAYFORMULA(SPLIT(AC257,"","") - SPLIT(AB257,"",""))"&amp;"), 
          0
       ),
     ""[hh]:mm""
   )
)
"),"04:56")</f>
        <v>04:56</v>
      </c>
      <c r="AJ257" s="27">
        <f t="shared" si="9"/>
        <v>0</v>
      </c>
      <c r="AK257" s="63" t="str">
        <f t="shared" si="10"/>
        <v>Pass</v>
      </c>
    </row>
    <row r="258">
      <c r="A258" s="18">
        <v>45895.0</v>
      </c>
      <c r="B258" s="20">
        <v>0.6805555555555556</v>
      </c>
      <c r="C258" s="18">
        <v>45895.0</v>
      </c>
      <c r="D258" s="79">
        <v>0.39652777777777776</v>
      </c>
      <c r="E258" s="22" t="s">
        <v>2308</v>
      </c>
      <c r="F258" s="22" t="s">
        <v>2309</v>
      </c>
      <c r="G258" s="22" t="s">
        <v>2310</v>
      </c>
      <c r="H258" s="22" t="s">
        <v>1744</v>
      </c>
      <c r="I258" s="22" t="s">
        <v>1745</v>
      </c>
      <c r="J258" s="22" t="s">
        <v>1745</v>
      </c>
      <c r="K258" s="22" t="s">
        <v>1746</v>
      </c>
      <c r="L258" s="22" t="s">
        <v>1989</v>
      </c>
      <c r="M258" s="22" t="s">
        <v>2311</v>
      </c>
      <c r="N258" s="22" t="s">
        <v>2312</v>
      </c>
      <c r="O258" s="23" t="s">
        <v>2313</v>
      </c>
      <c r="P258" s="22" t="s">
        <v>75</v>
      </c>
      <c r="Q258" s="50" t="s">
        <v>198</v>
      </c>
      <c r="R258" s="22" t="s">
        <v>2314</v>
      </c>
      <c r="S258" s="22" t="s">
        <v>51</v>
      </c>
      <c r="T258" s="22" t="s">
        <v>52</v>
      </c>
      <c r="U258" s="22" t="s">
        <v>52</v>
      </c>
      <c r="V258" s="22" t="s">
        <v>52</v>
      </c>
      <c r="W258" s="18">
        <v>45895.0</v>
      </c>
      <c r="X258" s="20">
        <v>0.39652777777777776</v>
      </c>
      <c r="Y258" s="18">
        <v>45895.0</v>
      </c>
      <c r="Z258" s="75">
        <v>0.6458333333333334</v>
      </c>
      <c r="AA258" s="20">
        <v>0.6944444444444444</v>
      </c>
      <c r="AB258" s="51">
        <v>0.6458333333333334</v>
      </c>
      <c r="AC258" s="51">
        <v>0.6944444444444444</v>
      </c>
      <c r="AD258" s="51">
        <v>0.7083333333333334</v>
      </c>
      <c r="AE258" s="18">
        <v>45895.0</v>
      </c>
      <c r="AF258" s="22" t="s">
        <v>53</v>
      </c>
      <c r="AG258" s="22" t="s">
        <v>54</v>
      </c>
      <c r="AH258" s="22" t="s">
        <v>2315</v>
      </c>
      <c r="AI258" s="62" t="str">
        <f>IFERROR(__xludf.DUMMYFUNCTION("IF(OR(W258="""",X258="""",AE258="""",AD258=""""),"""",
   TEXT(
     (
       (AE258+AD258 + IF(AE258+AD258 &lt; W258+X258,1,0)) - (W258+X258)
     )
     - IF(AND(AB258&lt;&gt;"""",AC258&lt;&gt;""""), 
          SUM(ARRAYFORMULA(SPLIT(AC258,"","") - SPLIT(AB258,"",""))"&amp;"), 
          0
       ),
     ""[hh]:mm""
   )
)
"),"06:19")</f>
        <v>06:19</v>
      </c>
      <c r="AJ258" s="27">
        <f t="shared" si="9"/>
        <v>0</v>
      </c>
      <c r="AK258" s="63" t="str">
        <f t="shared" si="10"/>
        <v>Pass</v>
      </c>
    </row>
    <row r="259">
      <c r="A259" s="18">
        <v>45895.0</v>
      </c>
      <c r="B259" s="20">
        <v>0.6791666666666667</v>
      </c>
      <c r="C259" s="18">
        <v>45895.0</v>
      </c>
      <c r="D259" s="79">
        <v>0.39652777777777776</v>
      </c>
      <c r="E259" s="22" t="s">
        <v>2316</v>
      </c>
      <c r="F259" s="22" t="s">
        <v>1260</v>
      </c>
      <c r="G259" s="22" t="s">
        <v>1261</v>
      </c>
      <c r="H259" s="22" t="s">
        <v>1744</v>
      </c>
      <c r="I259" s="22" t="s">
        <v>1745</v>
      </c>
      <c r="J259" s="22" t="s">
        <v>1745</v>
      </c>
      <c r="K259" s="22" t="s">
        <v>1746</v>
      </c>
      <c r="L259" s="22" t="s">
        <v>1989</v>
      </c>
      <c r="M259" s="22" t="s">
        <v>2317</v>
      </c>
      <c r="N259" s="22" t="s">
        <v>2312</v>
      </c>
      <c r="O259" s="23" t="s">
        <v>2318</v>
      </c>
      <c r="P259" s="22" t="s">
        <v>75</v>
      </c>
      <c r="Q259" s="50" t="s">
        <v>198</v>
      </c>
      <c r="R259" s="22" t="s">
        <v>2319</v>
      </c>
      <c r="S259" s="22" t="s">
        <v>51</v>
      </c>
      <c r="T259" s="22" t="s">
        <v>52</v>
      </c>
      <c r="U259" s="22" t="s">
        <v>52</v>
      </c>
      <c r="V259" s="22" t="s">
        <v>52</v>
      </c>
      <c r="W259" s="18">
        <v>45895.0</v>
      </c>
      <c r="X259" s="20">
        <v>0.39652777777777776</v>
      </c>
      <c r="Y259" s="18">
        <v>45895.0</v>
      </c>
      <c r="Z259" s="20">
        <v>0.9166666666666666</v>
      </c>
      <c r="AA259" s="20">
        <v>0.9166666666666666</v>
      </c>
      <c r="AB259" s="51">
        <v>0.7222222222222222</v>
      </c>
      <c r="AC259" s="51">
        <v>0.8958333333333334</v>
      </c>
      <c r="AD259" s="51">
        <v>0.9375</v>
      </c>
      <c r="AE259" s="18">
        <v>45895.0</v>
      </c>
      <c r="AF259" s="22" t="s">
        <v>53</v>
      </c>
      <c r="AG259" s="22" t="s">
        <v>2320</v>
      </c>
      <c r="AH259" s="22" t="s">
        <v>2321</v>
      </c>
      <c r="AI259" s="26" t="str">
        <f>IFERROR(__xludf.DUMMYFUNCTION("IF(OR(W259="""",X259="""",AE259="""",AD259=""""),"""",
   TEXT(
     (
       (AE259+AD259 + IF(AE259+AD259 &lt; W259+X259,1,0)) - (W259+X259)
     )
     - IF(AND(AB259&lt;&gt;"""",AC259&lt;&gt;""""), 
          SUM(ARRAYFORMULA(SPLIT(AC259,"","") - SPLIT(AB259,"",""))"&amp;"), 
          0
       ),
     ""[hh]:mm""
   )
)
"),"08:49")</f>
        <v>08:49</v>
      </c>
      <c r="AJ259" s="55">
        <f t="shared" si="9"/>
        <v>0</v>
      </c>
      <c r="AK259" s="28" t="str">
        <f t="shared" si="10"/>
        <v>Pass</v>
      </c>
    </row>
    <row r="260">
      <c r="A260" s="18">
        <v>45895.0</v>
      </c>
      <c r="B260" s="20">
        <v>0.4930555555555556</v>
      </c>
      <c r="C260" s="18">
        <v>45895.0</v>
      </c>
      <c r="D260" s="20">
        <v>0.4951388888888889</v>
      </c>
      <c r="E260" s="22" t="s">
        <v>2322</v>
      </c>
      <c r="F260" s="22" t="s">
        <v>969</v>
      </c>
      <c r="G260" s="22" t="s">
        <v>2323</v>
      </c>
      <c r="H260" s="22" t="s">
        <v>244</v>
      </c>
      <c r="I260" s="22" t="s">
        <v>836</v>
      </c>
      <c r="J260" s="22" t="s">
        <v>1056</v>
      </c>
      <c r="K260" s="22" t="s">
        <v>52</v>
      </c>
      <c r="L260" s="22" t="s">
        <v>52</v>
      </c>
      <c r="M260" s="22" t="s">
        <v>52</v>
      </c>
      <c r="N260" s="22" t="s">
        <v>2324</v>
      </c>
      <c r="O260" s="23" t="s">
        <v>2325</v>
      </c>
      <c r="P260" s="22" t="s">
        <v>48</v>
      </c>
      <c r="Q260" s="50" t="s">
        <v>65</v>
      </c>
      <c r="R260" s="22" t="s">
        <v>2326</v>
      </c>
      <c r="S260" s="22" t="s">
        <v>51</v>
      </c>
      <c r="T260" s="22" t="s">
        <v>52</v>
      </c>
      <c r="U260" s="22" t="s">
        <v>52</v>
      </c>
      <c r="V260" s="22" t="s">
        <v>52</v>
      </c>
      <c r="W260" s="18">
        <v>45895.0</v>
      </c>
      <c r="X260" s="20">
        <v>0.4951388888888889</v>
      </c>
      <c r="Y260" s="18">
        <v>45895.0</v>
      </c>
      <c r="Z260" s="20">
        <v>0.6458333333333334</v>
      </c>
      <c r="AA260" s="20">
        <v>0.6472222222222223</v>
      </c>
      <c r="AB260" s="54"/>
      <c r="AC260" s="54"/>
      <c r="AD260" s="51">
        <v>0.6875</v>
      </c>
      <c r="AE260" s="18">
        <v>45895.0</v>
      </c>
      <c r="AF260" s="22" t="s">
        <v>53</v>
      </c>
      <c r="AG260" s="22" t="s">
        <v>1321</v>
      </c>
      <c r="AH260" s="22" t="s">
        <v>2327</v>
      </c>
      <c r="AI260" s="62" t="str">
        <f>IFERROR(__xludf.DUMMYFUNCTION("IF(OR(W260="""",X260="""",AE260="""",AD260=""""),"""",
   TEXT(
     (
       (AE260+AD260 + IF(AE260+AD260 &lt; W260+X260,1,0)) - (W260+X260)
     )
     - IF(AND(AB260&lt;&gt;"""",AC260&lt;&gt;""""), 
          SUM(ARRAYFORMULA(SPLIT(AC260,"","") - SPLIT(AB260,"",""))"&amp;"), 
          0
       ),
     ""[hh]:mm""
   )
)
"),"04:37")</f>
        <v>04:37</v>
      </c>
      <c r="AJ260" s="27">
        <f t="shared" si="9"/>
        <v>0</v>
      </c>
      <c r="AK260" s="63" t="str">
        <f t="shared" si="10"/>
        <v>Pass</v>
      </c>
    </row>
    <row r="261">
      <c r="A261" s="18">
        <v>45895.0</v>
      </c>
      <c r="B261" s="20">
        <v>0.4909722222222222</v>
      </c>
      <c r="C261" s="18">
        <v>45895.0</v>
      </c>
      <c r="D261" s="20">
        <v>0.49166666666666664</v>
      </c>
      <c r="E261" s="22" t="s">
        <v>2328</v>
      </c>
      <c r="F261" s="22" t="s">
        <v>2329</v>
      </c>
      <c r="G261" s="22" t="s">
        <v>2330</v>
      </c>
      <c r="H261" s="22" t="s">
        <v>566</v>
      </c>
      <c r="I261" s="22" t="s">
        <v>1153</v>
      </c>
      <c r="J261" s="22" t="s">
        <v>1056</v>
      </c>
      <c r="K261" s="22" t="s">
        <v>635</v>
      </c>
      <c r="L261" s="22" t="s">
        <v>1585</v>
      </c>
      <c r="M261" s="22" t="s">
        <v>2331</v>
      </c>
      <c r="N261" s="22" t="s">
        <v>2332</v>
      </c>
      <c r="O261" s="23" t="s">
        <v>2333</v>
      </c>
      <c r="P261" s="22" t="s">
        <v>48</v>
      </c>
      <c r="Q261" s="50" t="s">
        <v>65</v>
      </c>
      <c r="R261" s="22" t="s">
        <v>2334</v>
      </c>
      <c r="S261" s="22" t="s">
        <v>51</v>
      </c>
      <c r="T261" s="22" t="s">
        <v>52</v>
      </c>
      <c r="U261" s="22" t="s">
        <v>52</v>
      </c>
      <c r="V261" s="22" t="s">
        <v>52</v>
      </c>
      <c r="W261" s="18">
        <v>45895.0</v>
      </c>
      <c r="X261" s="20">
        <v>0.49166666666666664</v>
      </c>
      <c r="Y261" s="18">
        <v>45895.0</v>
      </c>
      <c r="Z261" s="20">
        <v>0.7486111111111111</v>
      </c>
      <c r="AA261" s="20">
        <v>0.7569444444444444</v>
      </c>
      <c r="AB261" s="54"/>
      <c r="AC261" s="54"/>
      <c r="AD261" s="51">
        <v>0.8958333333333334</v>
      </c>
      <c r="AE261" s="18">
        <v>45895.0</v>
      </c>
      <c r="AF261" s="22" t="s">
        <v>53</v>
      </c>
      <c r="AG261" s="22" t="s">
        <v>583</v>
      </c>
      <c r="AH261" s="22" t="s">
        <v>2335</v>
      </c>
      <c r="AI261" s="26" t="str">
        <f>IFERROR(__xludf.DUMMYFUNCTION("IF(OR(W261="""",X261="""",AE261="""",AD261=""""),"""",
   TEXT(
     (
       (AE261+AD261 + IF(AE261+AD261 &lt; W261+X261,1,0)) - (W261+X261)
     )
     - IF(AND(AB261&lt;&gt;"""",AC261&lt;&gt;""""), 
          SUM(ARRAYFORMULA(SPLIT(AC261,"","") - SPLIT(AB261,"",""))"&amp;"), 
          0
       ),
     ""[hh]:mm""
   )
)
"),"09:42")</f>
        <v>09:42</v>
      </c>
      <c r="AJ261" s="55">
        <f t="shared" si="9"/>
        <v>0</v>
      </c>
      <c r="AK261" s="28" t="str">
        <f t="shared" si="10"/>
        <v>Pass</v>
      </c>
    </row>
    <row r="262">
      <c r="A262" s="18">
        <v>45895.0</v>
      </c>
      <c r="B262" s="20">
        <v>0.43680555555555556</v>
      </c>
      <c r="C262" s="18">
        <v>45895.0</v>
      </c>
      <c r="D262" s="20">
        <v>0.43819444444444444</v>
      </c>
      <c r="E262" s="22" t="s">
        <v>2336</v>
      </c>
      <c r="F262" s="22" t="s">
        <v>212</v>
      </c>
      <c r="G262" s="22" t="s">
        <v>213</v>
      </c>
      <c r="H262" s="22" t="s">
        <v>2337</v>
      </c>
      <c r="I262" s="22" t="s">
        <v>1814</v>
      </c>
      <c r="J262" s="22" t="s">
        <v>119</v>
      </c>
      <c r="K262" s="31"/>
      <c r="L262" s="31"/>
      <c r="M262" s="31"/>
      <c r="N262" s="22" t="s">
        <v>2338</v>
      </c>
      <c r="O262" s="23" t="s">
        <v>2339</v>
      </c>
      <c r="P262" s="22" t="s">
        <v>75</v>
      </c>
      <c r="Q262" s="50" t="s">
        <v>65</v>
      </c>
      <c r="R262" s="22" t="s">
        <v>2340</v>
      </c>
      <c r="S262" s="22" t="s">
        <v>51</v>
      </c>
      <c r="T262" s="22" t="s">
        <v>2341</v>
      </c>
      <c r="U262" s="22" t="s">
        <v>2342</v>
      </c>
      <c r="V262" s="22" t="s">
        <v>2343</v>
      </c>
      <c r="W262" s="18">
        <v>45895.0</v>
      </c>
      <c r="X262" s="20">
        <v>0.43819444444444444</v>
      </c>
      <c r="Y262" s="18">
        <v>45895.0</v>
      </c>
      <c r="Z262" s="75">
        <v>0.5944444444444444</v>
      </c>
      <c r="AA262" s="20">
        <v>0.6173611111111111</v>
      </c>
      <c r="AB262" s="51">
        <v>0.6194444444444445</v>
      </c>
      <c r="AC262" s="51">
        <v>0.68125</v>
      </c>
      <c r="AD262" s="51">
        <v>0.70625</v>
      </c>
      <c r="AE262" s="18">
        <v>45895.0</v>
      </c>
      <c r="AF262" s="22" t="s">
        <v>53</v>
      </c>
      <c r="AG262" s="22" t="s">
        <v>293</v>
      </c>
      <c r="AH262" s="22" t="s">
        <v>2344</v>
      </c>
      <c r="AI262" s="62" t="str">
        <f>IFERROR(__xludf.DUMMYFUNCTION("IF(OR(W262="""",X262="""",AE262="""",AD262=""""),"""",
   TEXT(
     (
       (AE262+AD262 + IF(AE262+AD262 &lt; W262+X262,1,0)) - (W262+X262)
     )
     - IF(AND(AB262&lt;&gt;"""",AC262&lt;&gt;""""), 
          SUM(ARRAYFORMULA(SPLIT(AC262,"","") - SPLIT(AB262,"",""))"&amp;"), 
          0
       ),
     ""[hh]:mm""
   )
)
"),"04:57")</f>
        <v>04:57</v>
      </c>
      <c r="AJ262" s="27">
        <f t="shared" si="9"/>
        <v>0</v>
      </c>
      <c r="AK262" s="63" t="str">
        <f t="shared" si="10"/>
        <v>Pass</v>
      </c>
    </row>
    <row r="263">
      <c r="A263" s="18">
        <v>45895.0</v>
      </c>
      <c r="B263" s="20">
        <v>0.44027777777777777</v>
      </c>
      <c r="C263" s="18">
        <v>45895.0</v>
      </c>
      <c r="D263" s="20">
        <v>0.44583333333333336</v>
      </c>
      <c r="E263" s="22" t="s">
        <v>2345</v>
      </c>
      <c r="F263" s="22" t="s">
        <v>1978</v>
      </c>
      <c r="G263" s="22" t="s">
        <v>1979</v>
      </c>
      <c r="H263" s="22" t="s">
        <v>130</v>
      </c>
      <c r="I263" s="22" t="s">
        <v>60</v>
      </c>
      <c r="J263" s="22" t="s">
        <v>42</v>
      </c>
      <c r="K263" s="22" t="s">
        <v>61</v>
      </c>
      <c r="L263" s="22" t="s">
        <v>183</v>
      </c>
      <c r="M263" s="22" t="s">
        <v>2346</v>
      </c>
      <c r="N263" s="22" t="s">
        <v>2347</v>
      </c>
      <c r="O263" s="23" t="s">
        <v>2348</v>
      </c>
      <c r="P263" s="22" t="s">
        <v>75</v>
      </c>
      <c r="Q263" s="50" t="s">
        <v>65</v>
      </c>
      <c r="R263" s="22" t="s">
        <v>2349</v>
      </c>
      <c r="S263" s="22" t="s">
        <v>51</v>
      </c>
      <c r="T263" s="21" t="s">
        <v>52</v>
      </c>
      <c r="U263" s="21" t="s">
        <v>52</v>
      </c>
      <c r="V263" s="21" t="s">
        <v>52</v>
      </c>
      <c r="W263" s="18">
        <v>45895.0</v>
      </c>
      <c r="X263" s="20">
        <v>0.45069444444444445</v>
      </c>
      <c r="Y263" s="18">
        <v>45895.0</v>
      </c>
      <c r="Z263" s="20">
        <v>0.5833333333333334</v>
      </c>
      <c r="AA263" s="20">
        <v>0.5868055555555556</v>
      </c>
      <c r="AB263" s="51">
        <v>0.5972222222222222</v>
      </c>
      <c r="AC263" s="51">
        <v>0.6180555555555556</v>
      </c>
      <c r="AD263" s="51">
        <v>0.6180555555555556</v>
      </c>
      <c r="AE263" s="18">
        <v>45895.0</v>
      </c>
      <c r="AF263" s="22" t="s">
        <v>53</v>
      </c>
      <c r="AG263" s="22" t="s">
        <v>54</v>
      </c>
      <c r="AH263" s="22" t="s">
        <v>2350</v>
      </c>
      <c r="AI263" s="62" t="str">
        <f>IFERROR(__xludf.DUMMYFUNCTION("IF(OR(W263="""",X263="""",AE263="""",AD263=""""),"""",
   TEXT(
     (
       (AE263+AD263 + IF(AE263+AD263 &lt; W263+X263,1,0)) - (W263+X263)
     )
     - IF(AND(AB263&lt;&gt;"""",AC263&lt;&gt;""""), 
          SUM(ARRAYFORMULA(SPLIT(AC263,"","") - SPLIT(AB263,"",""))"&amp;"), 
          0
       ),
     ""[hh]:mm""
   )
)
"),"03:31")</f>
        <v>03:31</v>
      </c>
      <c r="AJ263" s="27">
        <f t="shared" si="9"/>
        <v>0</v>
      </c>
      <c r="AK263" s="63" t="str">
        <f t="shared" si="10"/>
        <v>Pass</v>
      </c>
    </row>
    <row r="264">
      <c r="A264" s="18">
        <v>45891.0</v>
      </c>
      <c r="B264" s="20">
        <v>0.34305555555555556</v>
      </c>
      <c r="C264" s="18">
        <v>45891.0</v>
      </c>
      <c r="D264" s="20">
        <v>0.3486111111111111</v>
      </c>
      <c r="E264" s="22" t="s">
        <v>2351</v>
      </c>
      <c r="F264" s="22" t="s">
        <v>268</v>
      </c>
      <c r="G264" s="22" t="s">
        <v>269</v>
      </c>
      <c r="H264" s="22" t="s">
        <v>2352</v>
      </c>
      <c r="I264" s="22" t="s">
        <v>928</v>
      </c>
      <c r="J264" s="22" t="s">
        <v>928</v>
      </c>
      <c r="K264" s="22" t="s">
        <v>2353</v>
      </c>
      <c r="L264" s="22" t="s">
        <v>52</v>
      </c>
      <c r="M264" s="22" t="s">
        <v>2354</v>
      </c>
      <c r="N264" s="22" t="s">
        <v>2355</v>
      </c>
      <c r="O264" s="23" t="s">
        <v>2356</v>
      </c>
      <c r="P264" s="22" t="s">
        <v>48</v>
      </c>
      <c r="Q264" s="50" t="s">
        <v>449</v>
      </c>
      <c r="R264" s="22" t="s">
        <v>2357</v>
      </c>
      <c r="S264" s="22" t="s">
        <v>51</v>
      </c>
      <c r="T264" s="22" t="s">
        <v>52</v>
      </c>
      <c r="U264" s="22" t="s">
        <v>52</v>
      </c>
      <c r="V264" s="22" t="s">
        <v>52</v>
      </c>
      <c r="W264" s="18">
        <v>45895.0</v>
      </c>
      <c r="X264" s="20">
        <v>0.5805555555555556</v>
      </c>
      <c r="Y264" s="18">
        <v>45895.0</v>
      </c>
      <c r="Z264" s="20">
        <v>0.9791666666666666</v>
      </c>
      <c r="AA264" s="20">
        <v>0.08333333333333333</v>
      </c>
      <c r="AB264" s="50" t="s">
        <v>2358</v>
      </c>
      <c r="AC264" s="50" t="s">
        <v>2359</v>
      </c>
      <c r="AD264" s="51">
        <v>0.125</v>
      </c>
      <c r="AE264" s="18">
        <v>45896.0</v>
      </c>
      <c r="AF264" s="22" t="s">
        <v>53</v>
      </c>
      <c r="AG264" s="22" t="s">
        <v>54</v>
      </c>
      <c r="AH264" s="22" t="s">
        <v>2360</v>
      </c>
      <c r="AI264" s="26" t="str">
        <f>IFERROR(__xludf.DUMMYFUNCTION("IF(OR(W264="""",X264="""",AE264="""",AD264=""""),"""",
   TEXT(
     (
       (AE264+AD264 + IF(AE264+AD264 &lt; W264+X264,1,0)) - (W264+X264)
     )
     - IF(AND(AB264&lt;&gt;"""",AC264&lt;&gt;""""), 
          SUM(ARRAYFORMULA(SPLIT(AC264,"","") - SPLIT(AB264,"",""))"&amp;"), 
          0
       ),
     ""[hh]:mm""
   )
)
"),"10:35")</f>
        <v>10:35</v>
      </c>
      <c r="AJ264" s="55">
        <f t="shared" si="9"/>
        <v>0</v>
      </c>
      <c r="AK264" s="28" t="str">
        <f t="shared" si="10"/>
        <v>Pass</v>
      </c>
    </row>
    <row r="265">
      <c r="A265" s="18">
        <v>45894.0</v>
      </c>
      <c r="B265" s="20">
        <v>0.3798611111111111</v>
      </c>
      <c r="C265" s="18">
        <v>45894.0</v>
      </c>
      <c r="D265" s="20">
        <v>0.3819444444444444</v>
      </c>
      <c r="E265" s="22" t="s">
        <v>2361</v>
      </c>
      <c r="F265" s="22" t="s">
        <v>268</v>
      </c>
      <c r="G265" s="22" t="s">
        <v>269</v>
      </c>
      <c r="H265" s="22" t="s">
        <v>270</v>
      </c>
      <c r="I265" s="22" t="s">
        <v>60</v>
      </c>
      <c r="J265" s="22" t="s">
        <v>42</v>
      </c>
      <c r="K265" s="22" t="s">
        <v>61</v>
      </c>
      <c r="L265" s="22" t="s">
        <v>183</v>
      </c>
      <c r="M265" s="22" t="s">
        <v>2362</v>
      </c>
      <c r="N265" s="22" t="s">
        <v>2363</v>
      </c>
      <c r="O265" s="23" t="s">
        <v>2364</v>
      </c>
      <c r="P265" s="22" t="s">
        <v>75</v>
      </c>
      <c r="Q265" s="50" t="s">
        <v>65</v>
      </c>
      <c r="R265" s="22" t="s">
        <v>2365</v>
      </c>
      <c r="S265" s="22" t="s">
        <v>51</v>
      </c>
      <c r="T265" s="22" t="s">
        <v>52</v>
      </c>
      <c r="U265" s="22" t="s">
        <v>52</v>
      </c>
      <c r="V265" s="22" t="s">
        <v>52</v>
      </c>
      <c r="W265" s="18">
        <v>45894.0</v>
      </c>
      <c r="X265" s="20">
        <v>0.3819444444444444</v>
      </c>
      <c r="Y265" s="18">
        <v>45895.0</v>
      </c>
      <c r="Z265" s="20">
        <v>0.9166666666666666</v>
      </c>
      <c r="AA265" s="20">
        <v>0.9583333333333334</v>
      </c>
      <c r="AB265" s="50" t="s">
        <v>2366</v>
      </c>
      <c r="AC265" s="50" t="s">
        <v>2367</v>
      </c>
      <c r="AD265" s="51">
        <v>0.16666666666666666</v>
      </c>
      <c r="AE265" s="18">
        <v>45896.0</v>
      </c>
      <c r="AF265" s="22" t="s">
        <v>53</v>
      </c>
      <c r="AG265" s="22" t="s">
        <v>293</v>
      </c>
      <c r="AH265" s="22" t="s">
        <v>2360</v>
      </c>
      <c r="AI265" s="26" t="str">
        <f>IFERROR(__xludf.DUMMYFUNCTION("IF(OR(W265="""",X265="""",AE265="""",AD265=""""),"""",
   TEXT(
     (
       (AE265+AD265 + IF(AE265+AD265 &lt; W265+X265,1,0)) - (W265+X265)
     )
     - IF(AND(AB265&lt;&gt;"""",AC265&lt;&gt;""""), 
          SUM(ARRAYFORMULA(SPLIT(AC265,"","") - SPLIT(AB265,"",""))"&amp;"), 
          0
       ),
     ""[hh]:mm""
   )
)
"),"06:01")</f>
        <v>06:01</v>
      </c>
      <c r="AJ265" s="55">
        <f t="shared" si="9"/>
        <v>0</v>
      </c>
      <c r="AK265" s="28" t="str">
        <f t="shared" si="10"/>
        <v>Pass</v>
      </c>
    </row>
    <row r="266">
      <c r="A266" s="32">
        <v>45895.0</v>
      </c>
      <c r="B266" s="20">
        <v>0.6298611111111111</v>
      </c>
      <c r="C266" s="18">
        <v>45895.0</v>
      </c>
      <c r="D266" s="79">
        <v>0.2951388888888889</v>
      </c>
      <c r="E266" s="22" t="s">
        <v>2368</v>
      </c>
      <c r="F266" s="22" t="s">
        <v>2369</v>
      </c>
      <c r="G266" s="22" t="s">
        <v>2370</v>
      </c>
      <c r="H266" s="22" t="s">
        <v>566</v>
      </c>
      <c r="I266" s="22" t="s">
        <v>815</v>
      </c>
      <c r="J266" s="22" t="s">
        <v>1084</v>
      </c>
      <c r="K266" s="22" t="s">
        <v>1085</v>
      </c>
      <c r="L266" s="22" t="s">
        <v>858</v>
      </c>
      <c r="M266" s="22" t="s">
        <v>2371</v>
      </c>
      <c r="N266" s="22" t="s">
        <v>2372</v>
      </c>
      <c r="O266" s="23" t="s">
        <v>2373</v>
      </c>
      <c r="P266" s="22" t="s">
        <v>48</v>
      </c>
      <c r="Q266" s="50" t="s">
        <v>198</v>
      </c>
      <c r="R266" s="22" t="s">
        <v>2374</v>
      </c>
      <c r="S266" s="22" t="s">
        <v>51</v>
      </c>
      <c r="T266" s="22" t="s">
        <v>52</v>
      </c>
      <c r="U266" s="22" t="s">
        <v>52</v>
      </c>
      <c r="V266" s="22" t="s">
        <v>52</v>
      </c>
      <c r="W266" s="18">
        <v>45895.0</v>
      </c>
      <c r="X266" s="20">
        <v>0.2951388888888889</v>
      </c>
      <c r="Y266" s="18">
        <v>45896.0</v>
      </c>
      <c r="Z266" s="20">
        <v>0.5763888888888888</v>
      </c>
      <c r="AA266" s="20">
        <v>0.5798611111111112</v>
      </c>
      <c r="AB266" s="50" t="s">
        <v>2375</v>
      </c>
      <c r="AC266" s="50" t="s">
        <v>2376</v>
      </c>
      <c r="AD266" s="51">
        <v>0.625</v>
      </c>
      <c r="AE266" s="18">
        <v>45896.0</v>
      </c>
      <c r="AF266" s="22" t="s">
        <v>53</v>
      </c>
      <c r="AG266" s="22" t="s">
        <v>293</v>
      </c>
      <c r="AH266" s="22" t="s">
        <v>2377</v>
      </c>
      <c r="AI266" s="26" t="str">
        <f>IFERROR(__xludf.DUMMYFUNCTION("IF(OR(W266="""",X266="""",AE266="""",AD266=""""),"""",
   TEXT(
     (
       (AE266+AD266 + IF(AE266+AD266 &lt; W266+X266,1,0)) - (W266+X266)
     )
     - IF(AND(AB266&lt;&gt;"""",AC266&lt;&gt;""""), 
          SUM(ARRAYFORMULA(SPLIT(AC266,"","") - SPLIT(AB266,"",""))"&amp;"), 
          0
       ),
     ""[hh]:mm""
   )
)
"),"05:01")</f>
        <v>05:01</v>
      </c>
      <c r="AJ266" s="55">
        <f t="shared" si="9"/>
        <v>0</v>
      </c>
      <c r="AK266" s="28" t="str">
        <f t="shared" si="10"/>
        <v>Pass</v>
      </c>
    </row>
    <row r="267">
      <c r="A267" s="18">
        <v>45895.0</v>
      </c>
      <c r="B267" s="20">
        <v>0.6465277777777778</v>
      </c>
      <c r="C267" s="18">
        <v>45895.0</v>
      </c>
      <c r="D267" s="79">
        <v>0.2951388888888889</v>
      </c>
      <c r="E267" s="22" t="s">
        <v>2378</v>
      </c>
      <c r="F267" s="22" t="s">
        <v>92</v>
      </c>
      <c r="G267" s="22" t="s">
        <v>93</v>
      </c>
      <c r="H267" s="22" t="s">
        <v>566</v>
      </c>
      <c r="I267" s="22" t="s">
        <v>815</v>
      </c>
      <c r="J267" s="22" t="s">
        <v>1084</v>
      </c>
      <c r="K267" s="22" t="s">
        <v>2379</v>
      </c>
      <c r="L267" s="22" t="s">
        <v>2380</v>
      </c>
      <c r="M267" s="22" t="s">
        <v>2381</v>
      </c>
      <c r="N267" s="22" t="s">
        <v>2271</v>
      </c>
      <c r="O267" s="23" t="s">
        <v>2382</v>
      </c>
      <c r="P267" s="22" t="s">
        <v>48</v>
      </c>
      <c r="Q267" s="50" t="s">
        <v>198</v>
      </c>
      <c r="R267" s="22" t="s">
        <v>2383</v>
      </c>
      <c r="S267" s="22" t="s">
        <v>51</v>
      </c>
      <c r="T267" s="22" t="s">
        <v>52</v>
      </c>
      <c r="U267" s="22" t="s">
        <v>52</v>
      </c>
      <c r="V267" s="22" t="s">
        <v>52</v>
      </c>
      <c r="W267" s="18">
        <v>45895.0</v>
      </c>
      <c r="X267" s="20">
        <v>0.2951388888888889</v>
      </c>
      <c r="Y267" s="18">
        <v>45896.0</v>
      </c>
      <c r="Z267" s="20">
        <v>0.6645833333333333</v>
      </c>
      <c r="AA267" s="20">
        <v>0.6666666666666666</v>
      </c>
      <c r="AB267" s="50" t="s">
        <v>2375</v>
      </c>
      <c r="AC267" s="50" t="s">
        <v>2376</v>
      </c>
      <c r="AD267" s="51">
        <v>0.7048611111111112</v>
      </c>
      <c r="AE267" s="18">
        <v>45896.0</v>
      </c>
      <c r="AF267" s="22" t="s">
        <v>53</v>
      </c>
      <c r="AG267" s="22" t="s">
        <v>102</v>
      </c>
      <c r="AH267" s="22" t="s">
        <v>2384</v>
      </c>
      <c r="AI267" s="26" t="str">
        <f>IFERROR(__xludf.DUMMYFUNCTION("IF(OR(W267="""",X267="""",AE267="""",AD267=""""),"""",
   TEXT(
     (
       (AE267+AD267 + IF(AE267+AD267 &lt; W267+X267,1,0)) - (W267+X267)
     )
     - IF(AND(AB267&lt;&gt;"""",AC267&lt;&gt;""""), 
          SUM(ARRAYFORMULA(SPLIT(AC267,"","") - SPLIT(AB267,"",""))"&amp;"), 
          0
       ),
     ""[hh]:mm""
   )
)
"),"06:56")</f>
        <v>06:56</v>
      </c>
      <c r="AJ267" s="55">
        <f t="shared" si="9"/>
        <v>0</v>
      </c>
      <c r="AK267" s="28" t="str">
        <f t="shared" si="10"/>
        <v>Pass</v>
      </c>
    </row>
    <row r="268">
      <c r="A268" s="18">
        <v>45895.0</v>
      </c>
      <c r="B268" s="20">
        <v>0.8451388888888889</v>
      </c>
      <c r="C268" s="18">
        <v>45895.0</v>
      </c>
      <c r="D268" s="20">
        <v>0.8597222222222223</v>
      </c>
      <c r="E268" s="22" t="s">
        <v>2385</v>
      </c>
      <c r="F268" s="22" t="s">
        <v>1514</v>
      </c>
      <c r="G268" s="22" t="s">
        <v>1515</v>
      </c>
      <c r="H268" s="22" t="s">
        <v>253</v>
      </c>
      <c r="I268" s="22" t="s">
        <v>928</v>
      </c>
      <c r="J268" s="22" t="s">
        <v>928</v>
      </c>
      <c r="K268" s="22" t="s">
        <v>52</v>
      </c>
      <c r="L268" s="22" t="s">
        <v>52</v>
      </c>
      <c r="M268" s="22" t="s">
        <v>52</v>
      </c>
      <c r="N268" s="22" t="s">
        <v>2386</v>
      </c>
      <c r="O268" s="23" t="s">
        <v>2387</v>
      </c>
      <c r="P268" s="22" t="s">
        <v>48</v>
      </c>
      <c r="Q268" s="50" t="s">
        <v>198</v>
      </c>
      <c r="R268" s="22" t="s">
        <v>2388</v>
      </c>
      <c r="S268" s="22" t="s">
        <v>51</v>
      </c>
      <c r="T268" s="22" t="s">
        <v>52</v>
      </c>
      <c r="U268" s="22" t="s">
        <v>52</v>
      </c>
      <c r="V268" s="22" t="s">
        <v>52</v>
      </c>
      <c r="W268" s="18">
        <v>45895.0</v>
      </c>
      <c r="X268" s="20">
        <v>0.8597222222222223</v>
      </c>
      <c r="Y268" s="18">
        <v>45896.0</v>
      </c>
      <c r="Z268" s="20">
        <v>0.8479166666666667</v>
      </c>
      <c r="AA268" s="20">
        <v>0.875</v>
      </c>
      <c r="AB268" s="50" t="s">
        <v>2389</v>
      </c>
      <c r="AC268" s="50" t="s">
        <v>1900</v>
      </c>
      <c r="AD268" s="77">
        <v>0.9166666666666666</v>
      </c>
      <c r="AE268" s="18">
        <v>45896.0</v>
      </c>
      <c r="AF268" s="22" t="s">
        <v>53</v>
      </c>
      <c r="AG268" s="22" t="s">
        <v>284</v>
      </c>
      <c r="AH268" s="22" t="s">
        <v>2390</v>
      </c>
      <c r="AI268" s="26" t="str">
        <f>IFERROR(__xludf.DUMMYFUNCTION("IF(OR(W268="""",X268="""",AE268="""",AD268=""""),"""",
   TEXT(
     (
       (AE268+AD268 + IF(AE268+AD268 &lt; W268+X268,1,0)) - (W268+X268)
     )
     - IF(AND(AB268&lt;&gt;"""",AC268&lt;&gt;""""), 
          SUM(ARRAYFORMULA(SPLIT(AC268,"","") - SPLIT(AB268,"",""))"&amp;"), 
          0
       ),
     ""[hh]:mm""
   )
)
"),"13:01")</f>
        <v>13:01</v>
      </c>
      <c r="AJ268" s="55">
        <f t="shared" si="9"/>
        <v>0</v>
      </c>
      <c r="AK268" s="28" t="str">
        <f t="shared" si="10"/>
        <v>Pass</v>
      </c>
    </row>
    <row r="269">
      <c r="A269" s="18">
        <v>45895.0</v>
      </c>
      <c r="B269" s="20">
        <v>0.9173611111111111</v>
      </c>
      <c r="C269" s="18">
        <v>45896.0</v>
      </c>
      <c r="D269" s="79">
        <v>0.33819444444444446</v>
      </c>
      <c r="E269" s="22" t="s">
        <v>2391</v>
      </c>
      <c r="F269" s="22" t="s">
        <v>2392</v>
      </c>
      <c r="G269" s="22" t="s">
        <v>2393</v>
      </c>
      <c r="H269" s="22" t="s">
        <v>182</v>
      </c>
      <c r="I269" s="22" t="s">
        <v>234</v>
      </c>
      <c r="J269" s="22" t="s">
        <v>42</v>
      </c>
      <c r="K269" s="22" t="s">
        <v>61</v>
      </c>
      <c r="L269" s="22" t="s">
        <v>183</v>
      </c>
      <c r="M269" s="22" t="s">
        <v>2394</v>
      </c>
      <c r="N269" s="22" t="s">
        <v>2395</v>
      </c>
      <c r="O269" s="23" t="s">
        <v>2396</v>
      </c>
      <c r="P269" s="22" t="s">
        <v>75</v>
      </c>
      <c r="Q269" s="50" t="s">
        <v>65</v>
      </c>
      <c r="R269" s="22" t="s">
        <v>1271</v>
      </c>
      <c r="S269" s="22" t="s">
        <v>51</v>
      </c>
      <c r="T269" s="22" t="s">
        <v>52</v>
      </c>
      <c r="U269" s="22" t="s">
        <v>52</v>
      </c>
      <c r="V269" s="22" t="s">
        <v>52</v>
      </c>
      <c r="W269" s="18">
        <v>45896.0</v>
      </c>
      <c r="X269" s="20">
        <v>0.5256944444444445</v>
      </c>
      <c r="Y269" s="18">
        <v>45896.0</v>
      </c>
      <c r="Z269" s="20">
        <v>0.5243055555555556</v>
      </c>
      <c r="AA269" s="20">
        <v>0.5277777777777778</v>
      </c>
      <c r="AB269" s="51">
        <v>0.5930555555555556</v>
      </c>
      <c r="AC269" s="51">
        <v>0.6534722222222222</v>
      </c>
      <c r="AD269" s="51">
        <v>0.7534722222222222</v>
      </c>
      <c r="AE269" s="18">
        <v>45896.0</v>
      </c>
      <c r="AF269" s="22" t="s">
        <v>53</v>
      </c>
      <c r="AG269" s="22" t="s">
        <v>313</v>
      </c>
      <c r="AH269" s="22" t="s">
        <v>2397</v>
      </c>
      <c r="AI269" s="26" t="str">
        <f>IFERROR(__xludf.DUMMYFUNCTION("IF(OR(W269="""",X269="""",AE269="""",AD269=""""),"""",
   TEXT(
     (
       (AE269+AD269 + IF(AE269+AD269 &lt; W269+X269,1,0)) - (W269+X269)
     )
     - IF(AND(AB269&lt;&gt;"""",AC269&lt;&gt;""""), 
          SUM(ARRAYFORMULA(SPLIT(AC269,"","") - SPLIT(AB269,"",""))"&amp;"), 
          0
       ),
     ""[hh]:mm""
   )
)
"),"04:01")</f>
        <v>04:01</v>
      </c>
      <c r="AJ269" s="55">
        <f t="shared" si="9"/>
        <v>0</v>
      </c>
      <c r="AK269" s="28" t="str">
        <f t="shared" si="10"/>
        <v>Pass</v>
      </c>
    </row>
    <row r="270">
      <c r="A270" s="18">
        <v>45896.0</v>
      </c>
      <c r="B270" s="20">
        <v>0.16805555555555557</v>
      </c>
      <c r="C270" s="18">
        <v>45896.0</v>
      </c>
      <c r="D270" s="20">
        <v>0.33611111111111114</v>
      </c>
      <c r="E270" s="22" t="s">
        <v>2398</v>
      </c>
      <c r="F270" s="22" t="s">
        <v>2399</v>
      </c>
      <c r="G270" s="22" t="s">
        <v>2400</v>
      </c>
      <c r="H270" s="22" t="s">
        <v>377</v>
      </c>
      <c r="I270" s="22" t="s">
        <v>95</v>
      </c>
      <c r="J270" s="22" t="s">
        <v>95</v>
      </c>
      <c r="K270" s="22" t="s">
        <v>333</v>
      </c>
      <c r="L270" s="22" t="s">
        <v>1441</v>
      </c>
      <c r="M270" s="22" t="s">
        <v>2401</v>
      </c>
      <c r="N270" s="22" t="s">
        <v>2402</v>
      </c>
      <c r="O270" s="23" t="s">
        <v>2403</v>
      </c>
      <c r="P270" s="22" t="s">
        <v>48</v>
      </c>
      <c r="Q270" s="50" t="s">
        <v>49</v>
      </c>
      <c r="R270" s="22" t="s">
        <v>2404</v>
      </c>
      <c r="S270" s="22" t="s">
        <v>51</v>
      </c>
      <c r="T270" s="22" t="s">
        <v>52</v>
      </c>
      <c r="U270" s="22" t="s">
        <v>52</v>
      </c>
      <c r="V270" s="22" t="s">
        <v>52</v>
      </c>
      <c r="W270" s="18">
        <v>45896.0</v>
      </c>
      <c r="X270" s="20">
        <v>0.33611111111111114</v>
      </c>
      <c r="Y270" s="18">
        <v>45896.0</v>
      </c>
      <c r="Z270" s="20">
        <v>0.4465277777777778</v>
      </c>
      <c r="AA270" s="20">
        <v>0.4583333333333333</v>
      </c>
      <c r="AB270" s="51">
        <v>0.5</v>
      </c>
      <c r="AC270" s="77">
        <v>0.5625</v>
      </c>
      <c r="AD270" s="77">
        <v>0.5625</v>
      </c>
      <c r="AE270" s="18">
        <v>45896.0</v>
      </c>
      <c r="AF270" s="22" t="s">
        <v>53</v>
      </c>
      <c r="AG270" s="22" t="s">
        <v>89</v>
      </c>
      <c r="AH270" s="22" t="s">
        <v>2405</v>
      </c>
      <c r="AI270" s="26" t="str">
        <f>IFERROR(__xludf.DUMMYFUNCTION("IF(OR(W270="""",X270="""",AE270="""",AD270=""""),"""",
   TEXT(
     (
       (AE270+AD270 + IF(AE270+AD270 &lt; W270+X270,1,0)) - (W270+X270)
     )
     - IF(AND(AB270&lt;&gt;"""",AC270&lt;&gt;""""), 
          SUM(ARRAYFORMULA(SPLIT(AC270,"","") - SPLIT(AB270,"",""))"&amp;"), 
          0
       ),
     ""[hh]:mm""
   )
)
"),"03:56")</f>
        <v>03:56</v>
      </c>
      <c r="AJ270" s="55">
        <f t="shared" si="9"/>
        <v>0</v>
      </c>
      <c r="AK270" s="28" t="str">
        <f t="shared" si="10"/>
        <v>Pass</v>
      </c>
    </row>
    <row r="271">
      <c r="A271" s="18">
        <v>45896.0</v>
      </c>
      <c r="B271" s="20">
        <v>0.33819444444444446</v>
      </c>
      <c r="C271" s="18">
        <v>45896.0</v>
      </c>
      <c r="D271" s="20">
        <v>0.34305555555555556</v>
      </c>
      <c r="E271" s="22" t="s">
        <v>2406</v>
      </c>
      <c r="F271" s="22" t="s">
        <v>1903</v>
      </c>
      <c r="G271" s="22" t="s">
        <v>1904</v>
      </c>
      <c r="H271" s="22" t="s">
        <v>767</v>
      </c>
      <c r="I271" s="22" t="s">
        <v>991</v>
      </c>
      <c r="J271" s="22" t="s">
        <v>42</v>
      </c>
      <c r="K271" s="22" t="s">
        <v>61</v>
      </c>
      <c r="L271" s="22" t="s">
        <v>183</v>
      </c>
      <c r="M271" s="22" t="s">
        <v>1905</v>
      </c>
      <c r="N271" s="22" t="s">
        <v>2407</v>
      </c>
      <c r="O271" s="23" t="s">
        <v>2408</v>
      </c>
      <c r="P271" s="22" t="s">
        <v>48</v>
      </c>
      <c r="Q271" s="50" t="s">
        <v>65</v>
      </c>
      <c r="R271" s="22" t="s">
        <v>2409</v>
      </c>
      <c r="S271" s="22" t="s">
        <v>51</v>
      </c>
      <c r="T271" s="22" t="s">
        <v>52</v>
      </c>
      <c r="U271" s="22" t="s">
        <v>52</v>
      </c>
      <c r="V271" s="22" t="s">
        <v>52</v>
      </c>
      <c r="W271" s="18">
        <v>45896.0</v>
      </c>
      <c r="X271" s="20">
        <v>0.34305555555555556</v>
      </c>
      <c r="Y271" s="18">
        <v>45896.0</v>
      </c>
      <c r="Z271" s="75">
        <v>0.4597222222222222</v>
      </c>
      <c r="AA271" s="20">
        <v>0.4618055555555556</v>
      </c>
      <c r="AB271" s="54"/>
      <c r="AC271" s="54"/>
      <c r="AD271" s="51">
        <v>0.5173611111111112</v>
      </c>
      <c r="AE271" s="18">
        <v>45896.0</v>
      </c>
      <c r="AF271" s="22" t="s">
        <v>53</v>
      </c>
      <c r="AG271" s="22" t="s">
        <v>102</v>
      </c>
      <c r="AH271" s="22" t="s">
        <v>2410</v>
      </c>
      <c r="AI271" s="26" t="str">
        <f>IFERROR(__xludf.DUMMYFUNCTION("IF(OR(W271="""",X271="""",AE271="""",AD271=""""),"""",
   TEXT(
     (
       (AE271+AD271 + IF(AE271+AD271 &lt; W271+X271,1,0)) - (W271+X271)
     )
     - IF(AND(AB271&lt;&gt;"""",AC271&lt;&gt;""""), 
          SUM(ARRAYFORMULA(SPLIT(AC271,"","") - SPLIT(AB271,"",""))"&amp;"), 
          0
       ),
     ""[hh]:mm""
   )
)
"),"04:11")</f>
        <v>04:11</v>
      </c>
      <c r="AJ271" s="55">
        <f t="shared" si="9"/>
        <v>0</v>
      </c>
      <c r="AK271" s="28" t="str">
        <f t="shared" si="10"/>
        <v>Pass</v>
      </c>
    </row>
    <row r="272">
      <c r="A272" s="18">
        <v>45896.0</v>
      </c>
      <c r="B272" s="20">
        <v>0.38819444444444445</v>
      </c>
      <c r="C272" s="18">
        <v>45896.0</v>
      </c>
      <c r="D272" s="20">
        <v>0.3923611111111111</v>
      </c>
      <c r="E272" s="22" t="s">
        <v>2411</v>
      </c>
      <c r="F272" s="22" t="s">
        <v>1176</v>
      </c>
      <c r="G272" s="22" t="s">
        <v>1177</v>
      </c>
      <c r="H272" s="22" t="s">
        <v>566</v>
      </c>
      <c r="I272" s="22" t="s">
        <v>60</v>
      </c>
      <c r="J272" s="22" t="s">
        <v>42</v>
      </c>
      <c r="K272" s="22" t="s">
        <v>61</v>
      </c>
      <c r="L272" s="22" t="s">
        <v>183</v>
      </c>
      <c r="M272" s="22" t="s">
        <v>1187</v>
      </c>
      <c r="N272" s="22" t="s">
        <v>2412</v>
      </c>
      <c r="O272" s="23" t="s">
        <v>2413</v>
      </c>
      <c r="P272" s="22" t="s">
        <v>75</v>
      </c>
      <c r="Q272" s="50" t="s">
        <v>65</v>
      </c>
      <c r="R272" s="22" t="s">
        <v>2414</v>
      </c>
      <c r="S272" s="22" t="s">
        <v>51</v>
      </c>
      <c r="T272" s="22" t="s">
        <v>52</v>
      </c>
      <c r="U272" s="22" t="s">
        <v>52</v>
      </c>
      <c r="V272" s="22" t="s">
        <v>52</v>
      </c>
      <c r="W272" s="18">
        <v>45896.0</v>
      </c>
      <c r="X272" s="20">
        <v>0.3923611111111111</v>
      </c>
      <c r="Y272" s="18">
        <v>45896.0</v>
      </c>
      <c r="Z272" s="20">
        <v>0.5520833333333334</v>
      </c>
      <c r="AA272" s="20">
        <v>0.5555555555555556</v>
      </c>
      <c r="AB272" s="51">
        <v>0.5694444444444444</v>
      </c>
      <c r="AC272" s="51">
        <v>0.5902777777777778</v>
      </c>
      <c r="AD272" s="51">
        <v>0.5972222222222222</v>
      </c>
      <c r="AE272" s="18">
        <v>45896.0</v>
      </c>
      <c r="AF272" s="22" t="s">
        <v>53</v>
      </c>
      <c r="AG272" s="22" t="s">
        <v>54</v>
      </c>
      <c r="AH272" s="22" t="s">
        <v>2415</v>
      </c>
      <c r="AI272" s="26" t="str">
        <f>IFERROR(__xludf.DUMMYFUNCTION("IF(OR(W272="""",X272="""",AE272="""",AD272=""""),"""",
   TEXT(
     (
       (AE272+AD272 + IF(AE272+AD272 &lt; W272+X272,1,0)) - (W272+X272)
     )
     - IF(AND(AB272&lt;&gt;"""",AC272&lt;&gt;""""), 
          SUM(ARRAYFORMULA(SPLIT(AC272,"","") - SPLIT(AB272,"",""))"&amp;"), 
          0
       ),
     ""[hh]:mm""
   )
)
"),"04:25")</f>
        <v>04:25</v>
      </c>
      <c r="AJ272" s="55">
        <f t="shared" si="9"/>
        <v>0</v>
      </c>
      <c r="AK272" s="28" t="str">
        <f t="shared" si="10"/>
        <v>Pass</v>
      </c>
    </row>
    <row r="273">
      <c r="A273" s="45">
        <v>45896.0</v>
      </c>
      <c r="B273" s="49">
        <v>0.3819444444444444</v>
      </c>
      <c r="C273" s="45">
        <v>45896.0</v>
      </c>
      <c r="D273" s="49">
        <v>0.3972222222222222</v>
      </c>
      <c r="E273" s="21" t="s">
        <v>2416</v>
      </c>
      <c r="F273" s="21" t="s">
        <v>1903</v>
      </c>
      <c r="G273" s="21" t="s">
        <v>1904</v>
      </c>
      <c r="H273" s="21" t="s">
        <v>2352</v>
      </c>
      <c r="I273" s="21" t="s">
        <v>928</v>
      </c>
      <c r="J273" s="21" t="s">
        <v>928</v>
      </c>
      <c r="K273" s="47"/>
      <c r="L273" s="47"/>
      <c r="M273" s="47"/>
      <c r="N273" s="21" t="s">
        <v>2417</v>
      </c>
      <c r="O273" s="48" t="s">
        <v>2418</v>
      </c>
      <c r="P273" s="21" t="s">
        <v>75</v>
      </c>
      <c r="Q273" s="24" t="s">
        <v>449</v>
      </c>
      <c r="R273" s="21" t="s">
        <v>2419</v>
      </c>
      <c r="S273" s="21" t="s">
        <v>51</v>
      </c>
      <c r="T273" s="21" t="s">
        <v>52</v>
      </c>
      <c r="U273" s="21" t="s">
        <v>52</v>
      </c>
      <c r="V273" s="21" t="s">
        <v>52</v>
      </c>
      <c r="W273" s="45">
        <v>45896.0</v>
      </c>
      <c r="X273" s="49">
        <v>0.7173611111111111</v>
      </c>
      <c r="Y273" s="45">
        <v>45898.0</v>
      </c>
      <c r="Z273" s="49">
        <v>0.04791666666666667</v>
      </c>
      <c r="AA273" s="49">
        <v>0.09375</v>
      </c>
      <c r="AB273" s="29"/>
      <c r="AC273" s="29"/>
      <c r="AD273" s="25">
        <v>0.23958333333333334</v>
      </c>
      <c r="AE273" s="45">
        <v>45898.0</v>
      </c>
      <c r="AF273" s="21" t="s">
        <v>53</v>
      </c>
      <c r="AG273" s="21" t="s">
        <v>2420</v>
      </c>
      <c r="AH273" s="21" t="s">
        <v>2421</v>
      </c>
      <c r="AI273" s="62" t="str">
        <f>IFERROR(__xludf.DUMMYFUNCTION("IF(OR(W273="""",X273="""",AE273="""",AD273=""""),"""",
   TEXT(
     (
       (AE273+AD273 + IF(AE273+AD273 &lt; W273+X273,1,0)) - (W273+X273)
     )
     - IF(AND(AB273&lt;&gt;"""",AC273&lt;&gt;""""), 
          SUM(ARRAYFORMULA(SPLIT(AC273,"","") - SPLIT(AB273,"",""))"&amp;"), 
          0
       ),
     ""[hh]:mm""
   )
)
"),"36:32")</f>
        <v>36:32</v>
      </c>
      <c r="AJ273" s="27">
        <f t="shared" si="9"/>
        <v>0</v>
      </c>
      <c r="AK273" s="63" t="str">
        <f t="shared" si="10"/>
        <v>Pass</v>
      </c>
    </row>
    <row r="274">
      <c r="A274" s="18">
        <v>45896.0</v>
      </c>
      <c r="B274" s="20">
        <v>0.45625</v>
      </c>
      <c r="C274" s="18">
        <v>45896.0</v>
      </c>
      <c r="D274" s="20">
        <v>0.46597222222222223</v>
      </c>
      <c r="E274" s="22" t="s">
        <v>2422</v>
      </c>
      <c r="F274" s="22" t="s">
        <v>2423</v>
      </c>
      <c r="G274" s="22" t="s">
        <v>2424</v>
      </c>
      <c r="H274" s="22" t="s">
        <v>746</v>
      </c>
      <c r="I274" s="22" t="s">
        <v>1135</v>
      </c>
      <c r="J274" s="22" t="s">
        <v>1136</v>
      </c>
      <c r="K274" s="22" t="s">
        <v>43</v>
      </c>
      <c r="L274" s="22" t="s">
        <v>1666</v>
      </c>
      <c r="M274" s="22">
        <v>2.01902220049E11</v>
      </c>
      <c r="N274" s="22" t="s">
        <v>2425</v>
      </c>
      <c r="O274" s="23" t="s">
        <v>2426</v>
      </c>
      <c r="P274" s="22" t="s">
        <v>75</v>
      </c>
      <c r="Q274" s="50" t="s">
        <v>65</v>
      </c>
      <c r="R274" s="22" t="s">
        <v>2427</v>
      </c>
      <c r="S274" s="22" t="s">
        <v>51</v>
      </c>
      <c r="T274" s="22" t="s">
        <v>52</v>
      </c>
      <c r="U274" s="22" t="s">
        <v>52</v>
      </c>
      <c r="V274" s="22" t="s">
        <v>52</v>
      </c>
      <c r="W274" s="18">
        <v>45896.0</v>
      </c>
      <c r="X274" s="20">
        <v>0.46597222222222223</v>
      </c>
      <c r="Y274" s="18">
        <v>45896.0</v>
      </c>
      <c r="Z274" s="20">
        <v>0.7118055555555556</v>
      </c>
      <c r="AA274" s="20">
        <v>0.7430555555555556</v>
      </c>
      <c r="AB274" s="51">
        <v>0.7222222222222222</v>
      </c>
      <c r="AC274" s="51">
        <v>0.7409722222222223</v>
      </c>
      <c r="AD274" s="51">
        <v>0.7430555555555556</v>
      </c>
      <c r="AE274" s="18">
        <v>45896.0</v>
      </c>
      <c r="AF274" s="22" t="s">
        <v>53</v>
      </c>
      <c r="AG274" s="22" t="s">
        <v>293</v>
      </c>
      <c r="AH274" s="22" t="s">
        <v>2428</v>
      </c>
      <c r="AI274" s="26" t="str">
        <f>IFERROR(__xludf.DUMMYFUNCTION("IF(OR(W274="""",X274="""",AE274="""",AD274=""""),"""",
   TEXT(
     (
       (AE274+AD274 + IF(AE274+AD274 &lt; W274+X274,1,0)) - (W274+X274)
     )
     - IF(AND(AB274&lt;&gt;"""",AC274&lt;&gt;""""), 
          SUM(ARRAYFORMULA(SPLIT(AC274,"","") - SPLIT(AB274,"",""))"&amp;"), 
          0
       ),
     ""[hh]:mm""
   )
)
"),"06:12")</f>
        <v>06:12</v>
      </c>
      <c r="AJ274" s="55">
        <f t="shared" si="9"/>
        <v>0</v>
      </c>
      <c r="AK274" s="28" t="str">
        <f t="shared" si="10"/>
        <v>Pass</v>
      </c>
    </row>
    <row r="275">
      <c r="A275" s="18">
        <v>45896.0</v>
      </c>
      <c r="B275" s="20">
        <v>0.7152777777777778</v>
      </c>
      <c r="C275" s="18">
        <v>45896.0</v>
      </c>
      <c r="D275" s="20">
        <v>0.7229166666666667</v>
      </c>
      <c r="E275" s="22" t="s">
        <v>2429</v>
      </c>
      <c r="F275" s="22" t="s">
        <v>2430</v>
      </c>
      <c r="G275" s="22" t="s">
        <v>2431</v>
      </c>
      <c r="H275" s="22" t="s">
        <v>2432</v>
      </c>
      <c r="I275" s="22" t="s">
        <v>107</v>
      </c>
      <c r="J275" s="22" t="s">
        <v>42</v>
      </c>
      <c r="K275" s="22" t="s">
        <v>43</v>
      </c>
      <c r="L275" s="22" t="s">
        <v>2433</v>
      </c>
      <c r="M275" s="22" t="s">
        <v>2434</v>
      </c>
      <c r="N275" s="22" t="s">
        <v>2435</v>
      </c>
      <c r="O275" s="23" t="s">
        <v>2436</v>
      </c>
      <c r="P275" s="22" t="s">
        <v>75</v>
      </c>
      <c r="Q275" s="50" t="s">
        <v>65</v>
      </c>
      <c r="R275" s="22" t="s">
        <v>2437</v>
      </c>
      <c r="S275" s="22" t="s">
        <v>51</v>
      </c>
      <c r="T275" s="22" t="s">
        <v>2438</v>
      </c>
      <c r="U275" s="22" t="s">
        <v>2439</v>
      </c>
      <c r="V275" s="22" t="s">
        <v>2440</v>
      </c>
      <c r="W275" s="18">
        <v>45896.0</v>
      </c>
      <c r="X275" s="20">
        <v>0.7229166666666667</v>
      </c>
      <c r="Y275" s="18">
        <v>45896.0</v>
      </c>
      <c r="Z275" s="20">
        <v>0.80625</v>
      </c>
      <c r="AA275" s="20">
        <v>0.8229166666666666</v>
      </c>
      <c r="AB275" s="51">
        <v>0.80625</v>
      </c>
      <c r="AC275" s="51">
        <v>0.8194444444444444</v>
      </c>
      <c r="AD275" s="51">
        <v>0.8541666666666666</v>
      </c>
      <c r="AE275" s="18">
        <v>45896.0</v>
      </c>
      <c r="AF275" s="22" t="s">
        <v>53</v>
      </c>
      <c r="AG275" s="22" t="s">
        <v>102</v>
      </c>
      <c r="AH275" s="22" t="s">
        <v>2441</v>
      </c>
      <c r="AI275" s="26" t="str">
        <f>IFERROR(__xludf.DUMMYFUNCTION("IF(OR(W275="""",X275="""",AE275="""",AD275=""""),"""",
   TEXT(
     (
       (AE275+AD275 + IF(AE275+AD275 &lt; W275+X275,1,0)) - (W275+X275)
     )
     - IF(AND(AB275&lt;&gt;"""",AC275&lt;&gt;""""), 
          SUM(ARRAYFORMULA(SPLIT(AC275,"","") - SPLIT(AB275,"",""))"&amp;"), 
          0
       ),
     ""[hh]:mm""
   )
)
"),"02:50")</f>
        <v>02:50</v>
      </c>
      <c r="AJ275" s="55">
        <f t="shared" si="9"/>
        <v>0</v>
      </c>
      <c r="AK275" s="28" t="str">
        <f t="shared" si="10"/>
        <v>Pass</v>
      </c>
    </row>
    <row r="276">
      <c r="A276" s="68">
        <v>45890.0</v>
      </c>
      <c r="B276" s="49">
        <v>0.7013888888888888</v>
      </c>
      <c r="C276" s="45">
        <v>45890.0</v>
      </c>
      <c r="D276" s="49">
        <v>0.7118055555555556</v>
      </c>
      <c r="E276" s="21" t="s">
        <v>2442</v>
      </c>
      <c r="F276" s="21" t="s">
        <v>969</v>
      </c>
      <c r="G276" s="21" t="s">
        <v>2323</v>
      </c>
      <c r="H276" s="21" t="s">
        <v>566</v>
      </c>
      <c r="I276" s="21" t="s">
        <v>644</v>
      </c>
      <c r="J276" s="21" t="s">
        <v>644</v>
      </c>
      <c r="K276" s="21" t="s">
        <v>333</v>
      </c>
      <c r="L276" s="21" t="s">
        <v>2443</v>
      </c>
      <c r="M276" s="21" t="s">
        <v>2444</v>
      </c>
      <c r="N276" s="21" t="s">
        <v>2445</v>
      </c>
      <c r="O276" s="48" t="s">
        <v>2446</v>
      </c>
      <c r="P276" s="21" t="s">
        <v>187</v>
      </c>
      <c r="Q276" s="24" t="s">
        <v>198</v>
      </c>
      <c r="R276" s="21" t="s">
        <v>2447</v>
      </c>
      <c r="S276" s="21" t="s">
        <v>51</v>
      </c>
      <c r="T276" s="21" t="s">
        <v>52</v>
      </c>
      <c r="U276" s="21" t="s">
        <v>52</v>
      </c>
      <c r="V276" s="21" t="s">
        <v>52</v>
      </c>
      <c r="W276" s="45">
        <v>45890.0</v>
      </c>
      <c r="X276" s="49">
        <v>0.7118055555555556</v>
      </c>
      <c r="Y276" s="45">
        <v>45897.0</v>
      </c>
      <c r="Z276" s="49">
        <v>0.4201388888888889</v>
      </c>
      <c r="AA276" s="49">
        <v>0.4583333333333333</v>
      </c>
      <c r="AB276" s="29"/>
      <c r="AC276" s="29"/>
      <c r="AD276" s="25">
        <v>0.6145833333333334</v>
      </c>
      <c r="AE276" s="45">
        <v>45897.0</v>
      </c>
      <c r="AF276" s="21" t="s">
        <v>53</v>
      </c>
      <c r="AG276" s="21" t="s">
        <v>102</v>
      </c>
      <c r="AH276" s="21" t="s">
        <v>2448</v>
      </c>
      <c r="AI276" s="62" t="str">
        <f>IFERROR(__xludf.DUMMYFUNCTION("IF(OR(W276="""",X276="""",AE276="""",AD276=""""),"""",
   TEXT(
     (
       (AE276+AD276 + IF(AE276+AD276 &lt; W276+X276,1,0)) - (W276+X276)
     )
     - IF(AND(AB276&lt;&gt;"""",AC276&lt;&gt;""""), 
          SUM(ARRAYFORMULA(SPLIT(AC276,"","") - SPLIT(AB276,"",""))"&amp;"), 
          0
       ),
     ""[hh]:mm""
   )
)
"),"165:40")</f>
        <v>165:40</v>
      </c>
      <c r="AJ276" s="27">
        <f t="shared" si="9"/>
        <v>5.902777778</v>
      </c>
      <c r="AK276" s="63" t="str">
        <f t="shared" si="10"/>
        <v>Fail</v>
      </c>
    </row>
    <row r="277">
      <c r="A277" s="45">
        <v>45894.0</v>
      </c>
      <c r="B277" s="49">
        <v>0.6833333333333333</v>
      </c>
      <c r="C277" s="45">
        <v>45894.0</v>
      </c>
      <c r="D277" s="49">
        <v>0.6868055555555556</v>
      </c>
      <c r="E277" s="21" t="s">
        <v>2449</v>
      </c>
      <c r="F277" s="21" t="s">
        <v>105</v>
      </c>
      <c r="G277" s="21" t="s">
        <v>106</v>
      </c>
      <c r="H277" s="21" t="s">
        <v>2450</v>
      </c>
      <c r="I277" s="21" t="s">
        <v>107</v>
      </c>
      <c r="J277" s="21" t="s">
        <v>42</v>
      </c>
      <c r="K277" s="47"/>
      <c r="L277" s="21" t="s">
        <v>2451</v>
      </c>
      <c r="M277" s="21" t="s">
        <v>2452</v>
      </c>
      <c r="N277" s="21" t="s">
        <v>2453</v>
      </c>
      <c r="O277" s="48" t="s">
        <v>2454</v>
      </c>
      <c r="P277" s="21" t="s">
        <v>75</v>
      </c>
      <c r="Q277" s="24" t="s">
        <v>198</v>
      </c>
      <c r="R277" s="21" t="s">
        <v>2455</v>
      </c>
      <c r="S277" s="21" t="s">
        <v>51</v>
      </c>
      <c r="T277" s="21" t="s">
        <v>52</v>
      </c>
      <c r="U277" s="21" t="s">
        <v>52</v>
      </c>
      <c r="V277" s="21" t="s">
        <v>52</v>
      </c>
      <c r="W277" s="45">
        <v>45895.0</v>
      </c>
      <c r="X277" s="49">
        <v>0.5</v>
      </c>
      <c r="Y277" s="45">
        <v>45897.0</v>
      </c>
      <c r="Z277" s="49">
        <v>0.4013888888888889</v>
      </c>
      <c r="AA277" s="49">
        <v>0.4201388888888889</v>
      </c>
      <c r="AB277" s="29"/>
      <c r="AC277" s="29"/>
      <c r="AD277" s="25">
        <v>0.4722222222222222</v>
      </c>
      <c r="AE277" s="45">
        <v>45897.0</v>
      </c>
      <c r="AF277" s="21" t="s">
        <v>53</v>
      </c>
      <c r="AG277" s="21" t="s">
        <v>113</v>
      </c>
      <c r="AH277" s="21" t="s">
        <v>2456</v>
      </c>
      <c r="AI277" s="62" t="str">
        <f>IFERROR(__xludf.DUMMYFUNCTION("IF(OR(W277="""",X277="""",AE277="""",AD277=""""),"""",
   TEXT(
     (
       (AE277+AD277 + IF(AE277+AD277 &lt; W277+X277,1,0)) - (W277+X277)
     )
     - IF(AND(AB277&lt;&gt;"""",AC277&lt;&gt;""""), 
          SUM(ARRAYFORMULA(SPLIT(AC277,"","") - SPLIT(AB277,"",""))"&amp;"), 
          0
       ),
     ""[hh]:mm""
   )
)
"),"47:20")</f>
        <v>47:20</v>
      </c>
      <c r="AJ277" s="27">
        <f t="shared" si="9"/>
        <v>0.9722222222</v>
      </c>
      <c r="AK277" s="63" t="str">
        <f t="shared" si="10"/>
        <v>Fail</v>
      </c>
    </row>
    <row r="278">
      <c r="A278" s="45">
        <v>45895.0</v>
      </c>
      <c r="B278" s="49">
        <v>0.4930555555555556</v>
      </c>
      <c r="C278" s="45">
        <v>45895.0</v>
      </c>
      <c r="D278" s="49">
        <v>0.4951388888888889</v>
      </c>
      <c r="E278" s="21" t="s">
        <v>2322</v>
      </c>
      <c r="F278" s="21" t="s">
        <v>969</v>
      </c>
      <c r="G278" s="21" t="s">
        <v>2323</v>
      </c>
      <c r="H278" s="21" t="s">
        <v>244</v>
      </c>
      <c r="I278" s="21" t="s">
        <v>836</v>
      </c>
      <c r="J278" s="21" t="s">
        <v>1056</v>
      </c>
      <c r="K278" s="21" t="s">
        <v>1263</v>
      </c>
      <c r="L278" s="21" t="s">
        <v>636</v>
      </c>
      <c r="M278" s="21" t="s">
        <v>2457</v>
      </c>
      <c r="N278" s="21" t="s">
        <v>2324</v>
      </c>
      <c r="O278" s="48" t="s">
        <v>2458</v>
      </c>
      <c r="P278" s="21" t="s">
        <v>48</v>
      </c>
      <c r="Q278" s="24" t="s">
        <v>65</v>
      </c>
      <c r="R278" s="21" t="s">
        <v>2459</v>
      </c>
      <c r="S278" s="21" t="s">
        <v>51</v>
      </c>
      <c r="T278" s="21" t="s">
        <v>52</v>
      </c>
      <c r="U278" s="21" t="s">
        <v>52</v>
      </c>
      <c r="V278" s="21" t="s">
        <v>52</v>
      </c>
      <c r="W278" s="45">
        <v>45895.0</v>
      </c>
      <c r="X278" s="49">
        <v>0.39652777777777776</v>
      </c>
      <c r="Y278" s="45">
        <v>45897.0</v>
      </c>
      <c r="Z278" s="49">
        <v>0.4201388888888889</v>
      </c>
      <c r="AA278" s="49">
        <v>0.4409722222222222</v>
      </c>
      <c r="AB278" s="29"/>
      <c r="AC278" s="29"/>
      <c r="AD278" s="25">
        <v>0.4548611111111111</v>
      </c>
      <c r="AE278" s="45">
        <v>45897.0</v>
      </c>
      <c r="AF278" s="21" t="s">
        <v>53</v>
      </c>
      <c r="AG278" s="21" t="s">
        <v>102</v>
      </c>
      <c r="AH278" s="21" t="s">
        <v>2448</v>
      </c>
      <c r="AI278" s="62" t="str">
        <f>IFERROR(__xludf.DUMMYFUNCTION("IF(OR(W278="""",X278="""",AE278="""",AD278=""""),"""",
   TEXT(
     (
       (AE278+AD278 + IF(AE278+AD278 &lt; W278+X278,1,0)) - (W278+X278)
     )
     - IF(AND(AB278&lt;&gt;"""",AC278&lt;&gt;""""), 
          SUM(ARRAYFORMULA(SPLIT(AC278,"","") - SPLIT(AB278,"",""))"&amp;"), 
          0
       ),
     ""[hh]:mm""
   )
)
"),"49:24")</f>
        <v>49:24</v>
      </c>
      <c r="AJ278" s="27">
        <f t="shared" si="9"/>
        <v>1.558333333</v>
      </c>
      <c r="AK278" s="63" t="str">
        <f t="shared" si="10"/>
        <v>Fail</v>
      </c>
    </row>
    <row r="279">
      <c r="A279" s="45">
        <v>45896.0</v>
      </c>
      <c r="B279" s="49">
        <v>0.9076388888888889</v>
      </c>
      <c r="C279" s="45">
        <v>45896.0</v>
      </c>
      <c r="D279" s="49">
        <v>0.9180555555555555</v>
      </c>
      <c r="E279" s="21" t="s">
        <v>2460</v>
      </c>
      <c r="F279" s="21" t="s">
        <v>882</v>
      </c>
      <c r="G279" s="21" t="s">
        <v>883</v>
      </c>
      <c r="H279" s="21" t="s">
        <v>2461</v>
      </c>
      <c r="I279" s="21" t="s">
        <v>1374</v>
      </c>
      <c r="J279" s="21" t="s">
        <v>1136</v>
      </c>
      <c r="K279" s="21" t="s">
        <v>1557</v>
      </c>
      <c r="L279" s="21" t="s">
        <v>2462</v>
      </c>
      <c r="M279" s="21" t="s">
        <v>2463</v>
      </c>
      <c r="N279" s="21" t="s">
        <v>2464</v>
      </c>
      <c r="O279" s="48" t="s">
        <v>2465</v>
      </c>
      <c r="P279" s="21" t="s">
        <v>75</v>
      </c>
      <c r="Q279" s="24" t="s">
        <v>65</v>
      </c>
      <c r="R279" s="21" t="s">
        <v>2466</v>
      </c>
      <c r="S279" s="21" t="s">
        <v>51</v>
      </c>
      <c r="T279" s="21" t="s">
        <v>52</v>
      </c>
      <c r="U279" s="21" t="s">
        <v>52</v>
      </c>
      <c r="V279" s="21" t="s">
        <v>52</v>
      </c>
      <c r="W279" s="45">
        <v>45897.0</v>
      </c>
      <c r="X279" s="49">
        <v>0.40625</v>
      </c>
      <c r="Y279" s="45">
        <v>45897.0</v>
      </c>
      <c r="Z279" s="49">
        <v>0.4166666666666667</v>
      </c>
      <c r="AA279" s="49">
        <v>0.4236111111111111</v>
      </c>
      <c r="AB279" s="29"/>
      <c r="AC279" s="29"/>
      <c r="AD279" s="25">
        <v>0.47152777777777777</v>
      </c>
      <c r="AE279" s="45">
        <v>45897.0</v>
      </c>
      <c r="AF279" s="21" t="s">
        <v>53</v>
      </c>
      <c r="AG279" s="21" t="s">
        <v>293</v>
      </c>
      <c r="AH279" s="21" t="s">
        <v>2467</v>
      </c>
      <c r="AI279" s="62" t="str">
        <f>IFERROR(__xludf.DUMMYFUNCTION("IF(OR(W279="""",X279="""",AE279="""",AD279=""""),"""",
   TEXT(
     (
       (AE279+AD279 + IF(AE279+AD279 &lt; W279+X279,1,0)) - (W279+X279)
     )
     - IF(AND(AB279&lt;&gt;"""",AC279&lt;&gt;""""), 
          SUM(ARRAYFORMULA(SPLIT(AC279,"","") - SPLIT(AB279,"",""))"&amp;"), 
          0
       ),
     ""[hh]:mm""
   )
)
"),"01:34")</f>
        <v>01:34</v>
      </c>
      <c r="AJ279" s="27">
        <f t="shared" si="9"/>
        <v>0</v>
      </c>
      <c r="AK279" s="63" t="str">
        <f t="shared" si="10"/>
        <v>Pass</v>
      </c>
    </row>
    <row r="280">
      <c r="A280" s="45">
        <v>45868.0</v>
      </c>
      <c r="B280" s="49">
        <v>0.8770833333333333</v>
      </c>
      <c r="C280" s="45">
        <v>45868.0</v>
      </c>
      <c r="D280" s="49">
        <v>0.925</v>
      </c>
      <c r="E280" s="21" t="s">
        <v>2468</v>
      </c>
      <c r="F280" s="21" t="s">
        <v>2469</v>
      </c>
      <c r="G280" s="21" t="s">
        <v>2470</v>
      </c>
      <c r="H280" s="21" t="s">
        <v>746</v>
      </c>
      <c r="I280" s="21" t="s">
        <v>1135</v>
      </c>
      <c r="J280" s="21" t="s">
        <v>1136</v>
      </c>
      <c r="K280" s="21" t="s">
        <v>43</v>
      </c>
      <c r="L280" s="21" t="s">
        <v>2471</v>
      </c>
      <c r="M280" s="21" t="s">
        <v>2472</v>
      </c>
      <c r="N280" s="21" t="s">
        <v>2473</v>
      </c>
      <c r="O280" s="48" t="s">
        <v>2474</v>
      </c>
      <c r="P280" s="21" t="s">
        <v>75</v>
      </c>
      <c r="Q280" s="24" t="s">
        <v>65</v>
      </c>
      <c r="R280" s="21" t="s">
        <v>2475</v>
      </c>
      <c r="S280" s="21" t="s">
        <v>51</v>
      </c>
      <c r="T280" s="21" t="s">
        <v>52</v>
      </c>
      <c r="U280" s="21" t="s">
        <v>52</v>
      </c>
      <c r="V280" s="21" t="s">
        <v>52</v>
      </c>
      <c r="W280" s="45">
        <v>45897.0</v>
      </c>
      <c r="X280" s="49">
        <v>0.3527777777777778</v>
      </c>
      <c r="Y280" s="45">
        <v>45897.0</v>
      </c>
      <c r="Z280" s="49">
        <v>0.5520833333333334</v>
      </c>
      <c r="AA280" s="49">
        <v>0.5625</v>
      </c>
      <c r="AB280" s="29"/>
      <c r="AC280" s="29"/>
      <c r="AD280" s="25">
        <v>0.6180555555555556</v>
      </c>
      <c r="AE280" s="45">
        <v>45897.0</v>
      </c>
      <c r="AF280" s="21" t="s">
        <v>53</v>
      </c>
      <c r="AG280" s="21" t="s">
        <v>293</v>
      </c>
      <c r="AH280" s="21" t="s">
        <v>2476</v>
      </c>
      <c r="AI280" s="62" t="str">
        <f>IFERROR(__xludf.DUMMYFUNCTION("IF(OR(W280="""",X280="""",AE280="""",AD280=""""),"""",
   TEXT(
     (
       (AE280+AD280 + IF(AE280+AD280 &lt; W280+X280,1,0)) - (W280+X280)
     )
     - IF(AND(AB280&lt;&gt;"""",AC280&lt;&gt;""""), 
          SUM(ARRAYFORMULA(SPLIT(AC280,"","") - SPLIT(AB280,"",""))"&amp;"), 
          0
       ),
     ""[hh]:mm""
   )
)
"),"06:22")</f>
        <v>06:22</v>
      </c>
      <c r="AJ280" s="27">
        <f t="shared" si="9"/>
        <v>0</v>
      </c>
      <c r="AK280" s="63" t="str">
        <f t="shared" si="10"/>
        <v>Pass</v>
      </c>
    </row>
    <row r="281">
      <c r="A281" s="18">
        <v>45897.0</v>
      </c>
      <c r="B281" s="20">
        <v>0.40555555555555556</v>
      </c>
      <c r="C281" s="18">
        <v>45897.0</v>
      </c>
      <c r="D281" s="20">
        <v>0.41388888888888886</v>
      </c>
      <c r="E281" s="22" t="s">
        <v>2477</v>
      </c>
      <c r="F281" s="21" t="s">
        <v>259</v>
      </c>
      <c r="G281" s="21" t="s">
        <v>260</v>
      </c>
      <c r="H281" s="22" t="s">
        <v>566</v>
      </c>
      <c r="I281" s="22" t="s">
        <v>95</v>
      </c>
      <c r="J281" s="22" t="s">
        <v>95</v>
      </c>
      <c r="K281" s="22" t="s">
        <v>386</v>
      </c>
      <c r="L281" s="22" t="s">
        <v>2478</v>
      </c>
      <c r="M281" s="22" t="s">
        <v>2479</v>
      </c>
      <c r="N281" s="22" t="s">
        <v>2480</v>
      </c>
      <c r="O281" s="23" t="s">
        <v>2481</v>
      </c>
      <c r="P281" s="22" t="s">
        <v>48</v>
      </c>
      <c r="Q281" s="24" t="s">
        <v>49</v>
      </c>
      <c r="R281" s="22" t="s">
        <v>2482</v>
      </c>
      <c r="S281" s="22" t="s">
        <v>51</v>
      </c>
      <c r="T281" s="21" t="s">
        <v>52</v>
      </c>
      <c r="U281" s="21" t="s">
        <v>52</v>
      </c>
      <c r="V281" s="21" t="s">
        <v>52</v>
      </c>
      <c r="W281" s="18">
        <v>45897.0</v>
      </c>
      <c r="X281" s="20">
        <v>0.41388888888888886</v>
      </c>
      <c r="Y281" s="45">
        <v>45897.0</v>
      </c>
      <c r="Z281" s="20">
        <v>0.49236111111111114</v>
      </c>
      <c r="AA281" s="20">
        <v>0.49375</v>
      </c>
      <c r="AB281" s="29"/>
      <c r="AC281" s="29"/>
      <c r="AD281" s="25">
        <v>0.5277777777777778</v>
      </c>
      <c r="AE281" s="45">
        <v>45897.0</v>
      </c>
      <c r="AF281" s="21" t="s">
        <v>53</v>
      </c>
      <c r="AG281" s="22" t="s">
        <v>313</v>
      </c>
      <c r="AH281" s="22" t="s">
        <v>2483</v>
      </c>
      <c r="AI281" s="62" t="str">
        <f>IFERROR(__xludf.DUMMYFUNCTION("IF(OR(W281="""",X281="""",AE281="""",AD281=""""),"""",
   TEXT(
     (
       (AE281+AD281 + IF(AE281+AD281 &lt; W281+X281,1,0)) - (W281+X281)
     )
     - IF(AND(AB281&lt;&gt;"""",AC281&lt;&gt;""""), 
          SUM(ARRAYFORMULA(SPLIT(AC281,"","") - SPLIT(AB281,"",""))"&amp;"), 
          0
       ),
     ""[hh]:mm""
   )
)
"),"02:44")</f>
        <v>02:44</v>
      </c>
      <c r="AJ281" s="27">
        <f t="shared" si="9"/>
        <v>0</v>
      </c>
      <c r="AK281" s="63" t="str">
        <f t="shared" si="10"/>
        <v>Pass</v>
      </c>
    </row>
    <row r="282">
      <c r="A282" s="45">
        <v>45897.0</v>
      </c>
      <c r="B282" s="49">
        <v>0.5076388888888889</v>
      </c>
      <c r="C282" s="45">
        <v>45897.0</v>
      </c>
      <c r="D282" s="49">
        <v>0.5180555555555556</v>
      </c>
      <c r="E282" s="21" t="s">
        <v>2484</v>
      </c>
      <c r="F282" s="21" t="s">
        <v>1996</v>
      </c>
      <c r="G282" s="21" t="s">
        <v>1997</v>
      </c>
      <c r="H282" s="21" t="s">
        <v>1468</v>
      </c>
      <c r="I282" s="21" t="s">
        <v>815</v>
      </c>
      <c r="J282" s="21" t="s">
        <v>1084</v>
      </c>
      <c r="K282" s="21" t="s">
        <v>2485</v>
      </c>
      <c r="L282" s="21" t="s">
        <v>2486</v>
      </c>
      <c r="M282" s="21">
        <v>8.67719050019709E14</v>
      </c>
      <c r="N282" s="21" t="s">
        <v>2487</v>
      </c>
      <c r="O282" s="48" t="s">
        <v>2488</v>
      </c>
      <c r="P282" s="21" t="s">
        <v>48</v>
      </c>
      <c r="Q282" s="24" t="s">
        <v>65</v>
      </c>
      <c r="R282" s="21" t="s">
        <v>2489</v>
      </c>
      <c r="S282" s="21" t="s">
        <v>51</v>
      </c>
      <c r="T282" s="21" t="s">
        <v>52</v>
      </c>
      <c r="U282" s="21" t="s">
        <v>52</v>
      </c>
      <c r="V282" s="21" t="s">
        <v>52</v>
      </c>
      <c r="W282" s="45">
        <v>45897.0</v>
      </c>
      <c r="X282" s="49">
        <v>0.5180555555555556</v>
      </c>
      <c r="Y282" s="45">
        <v>45897.0</v>
      </c>
      <c r="Z282" s="49">
        <v>0.375</v>
      </c>
      <c r="AA282" s="49">
        <v>0.6222222222222222</v>
      </c>
      <c r="AB282" s="29"/>
      <c r="AC282" s="29"/>
      <c r="AD282" s="25">
        <v>0.6305555555555555</v>
      </c>
      <c r="AE282" s="45">
        <v>45897.0</v>
      </c>
      <c r="AF282" s="21" t="s">
        <v>53</v>
      </c>
      <c r="AG282" s="21" t="s">
        <v>1032</v>
      </c>
      <c r="AH282" s="21" t="s">
        <v>2490</v>
      </c>
      <c r="AI282" s="62" t="str">
        <f>IFERROR(__xludf.DUMMYFUNCTION("IF(OR(W282="""",X282="""",AE282="""",AD282=""""),"""",
   TEXT(
     (
       (AE282+AD282 + IF(AE282+AD282 &lt; W282+X282,1,0)) - (W282+X282)
     )
     - IF(AND(AB282&lt;&gt;"""",AC282&lt;&gt;""""), 
          SUM(ARRAYFORMULA(SPLIT(AC282,"","") - SPLIT(AB282,"",""))"&amp;"), 
          0
       ),
     ""[hh]:mm""
   )
)
"),"02:42")</f>
        <v>02:42</v>
      </c>
      <c r="AJ282" s="27">
        <f t="shared" si="9"/>
        <v>0</v>
      </c>
      <c r="AK282" s="63" t="str">
        <f t="shared" si="10"/>
        <v>Pass</v>
      </c>
    </row>
    <row r="283">
      <c r="A283" s="45">
        <v>45897.0</v>
      </c>
      <c r="B283" s="49">
        <v>0.6763888888888889</v>
      </c>
      <c r="C283" s="45">
        <v>45897.0</v>
      </c>
      <c r="D283" s="49">
        <v>0.6805555555555556</v>
      </c>
      <c r="E283" s="21" t="s">
        <v>2491</v>
      </c>
      <c r="F283" s="21" t="s">
        <v>2492</v>
      </c>
      <c r="G283" s="21" t="s">
        <v>2493</v>
      </c>
      <c r="H283" s="21" t="s">
        <v>130</v>
      </c>
      <c r="I283" s="21" t="s">
        <v>476</v>
      </c>
      <c r="J283" s="21" t="s">
        <v>195</v>
      </c>
      <c r="K283" s="21" t="s">
        <v>2494</v>
      </c>
      <c r="L283" s="21" t="s">
        <v>2495</v>
      </c>
      <c r="M283" s="21" t="s">
        <v>2496</v>
      </c>
      <c r="N283" s="21" t="s">
        <v>2497</v>
      </c>
      <c r="O283" s="48" t="s">
        <v>2498</v>
      </c>
      <c r="P283" s="21" t="s">
        <v>75</v>
      </c>
      <c r="Q283" s="24" t="s">
        <v>65</v>
      </c>
      <c r="R283" s="21" t="s">
        <v>2499</v>
      </c>
      <c r="S283" s="21" t="s">
        <v>51</v>
      </c>
      <c r="T283" s="21" t="s">
        <v>52</v>
      </c>
      <c r="U283" s="21" t="s">
        <v>52</v>
      </c>
      <c r="V283" s="21" t="s">
        <v>52</v>
      </c>
      <c r="W283" s="45">
        <v>45897.0</v>
      </c>
      <c r="X283" s="49">
        <v>0.6805555555555556</v>
      </c>
      <c r="Y283" s="45">
        <v>45897.0</v>
      </c>
      <c r="Z283" s="49">
        <v>0.90625</v>
      </c>
      <c r="AA283" s="49">
        <v>0.9166666666666666</v>
      </c>
      <c r="AB283" s="29"/>
      <c r="AC283" s="29"/>
      <c r="AD283" s="25">
        <v>0.9583333333333334</v>
      </c>
      <c r="AE283" s="45">
        <v>45897.0</v>
      </c>
      <c r="AF283" s="21" t="s">
        <v>53</v>
      </c>
      <c r="AG283" s="21" t="s">
        <v>78</v>
      </c>
      <c r="AH283" s="21" t="s">
        <v>2500</v>
      </c>
      <c r="AI283" s="62">
        <f t="shared" ref="AI283:AI284" si="13">IF(OR(D283="", AD283=""), "",
   (AD283 - D283)
   - IF(AND(AB283&lt;&gt;"", AC283&lt;&gt;""), (AC283 - AB283), 0)
)</f>
        <v>0.2777777778</v>
      </c>
      <c r="AJ283" s="27">
        <f t="shared" si="9"/>
        <v>0</v>
      </c>
      <c r="AK283" s="63" t="str">
        <f t="shared" si="10"/>
        <v>Pass</v>
      </c>
    </row>
    <row r="284">
      <c r="A284" s="45">
        <v>45897.0</v>
      </c>
      <c r="B284" s="49">
        <v>0.7451388888888889</v>
      </c>
      <c r="C284" s="45">
        <v>45897.0</v>
      </c>
      <c r="D284" s="49">
        <v>0.7486111111111111</v>
      </c>
      <c r="E284" s="21" t="s">
        <v>2501</v>
      </c>
      <c r="F284" s="21" t="s">
        <v>2502</v>
      </c>
      <c r="G284" s="21" t="s">
        <v>2503</v>
      </c>
      <c r="H284" s="21" t="s">
        <v>746</v>
      </c>
      <c r="I284" s="21" t="s">
        <v>1162</v>
      </c>
      <c r="J284" s="21" t="s">
        <v>1136</v>
      </c>
      <c r="K284" s="21" t="s">
        <v>43</v>
      </c>
      <c r="L284" s="21" t="s">
        <v>44</v>
      </c>
      <c r="M284" s="21" t="s">
        <v>2504</v>
      </c>
      <c r="N284" s="21" t="s">
        <v>2505</v>
      </c>
      <c r="O284" s="48" t="s">
        <v>2506</v>
      </c>
      <c r="P284" s="21" t="s">
        <v>75</v>
      </c>
      <c r="Q284" s="24" t="s">
        <v>65</v>
      </c>
      <c r="R284" s="21" t="s">
        <v>2507</v>
      </c>
      <c r="S284" s="21" t="s">
        <v>51</v>
      </c>
      <c r="T284" s="21" t="s">
        <v>52</v>
      </c>
      <c r="U284" s="21" t="s">
        <v>52</v>
      </c>
      <c r="V284" s="21" t="s">
        <v>52</v>
      </c>
      <c r="W284" s="45">
        <v>45897.0</v>
      </c>
      <c r="X284" s="49">
        <v>0.7486111111111111</v>
      </c>
      <c r="Y284" s="45">
        <v>45897.0</v>
      </c>
      <c r="Z284" s="49">
        <v>0.9041666666666667</v>
      </c>
      <c r="AA284" s="49">
        <v>0.9055555555555556</v>
      </c>
      <c r="AB284" s="29"/>
      <c r="AC284" s="29"/>
      <c r="AD284" s="25">
        <v>0.9375</v>
      </c>
      <c r="AE284" s="45">
        <v>45897.0</v>
      </c>
      <c r="AF284" s="21" t="s">
        <v>53</v>
      </c>
      <c r="AG284" s="21" t="s">
        <v>162</v>
      </c>
      <c r="AH284" s="21" t="s">
        <v>2508</v>
      </c>
      <c r="AI284" s="62">
        <f t="shared" si="13"/>
        <v>0.1888888889</v>
      </c>
      <c r="AJ284" s="27">
        <f t="shared" si="9"/>
        <v>0</v>
      </c>
      <c r="AK284" s="63" t="str">
        <f t="shared" si="10"/>
        <v>Pass</v>
      </c>
    </row>
    <row r="285">
      <c r="A285" s="18">
        <v>45896.0</v>
      </c>
      <c r="B285" s="20">
        <v>0.58125</v>
      </c>
      <c r="C285" s="18">
        <v>45896.0</v>
      </c>
      <c r="D285" s="79">
        <v>0.48333333333333334</v>
      </c>
      <c r="E285" s="22" t="s">
        <v>2509</v>
      </c>
      <c r="F285" s="22" t="s">
        <v>1574</v>
      </c>
      <c r="G285" s="22" t="s">
        <v>1575</v>
      </c>
      <c r="H285" s="22" t="s">
        <v>2352</v>
      </c>
      <c r="I285" s="22" t="s">
        <v>928</v>
      </c>
      <c r="J285" s="22" t="s">
        <v>928</v>
      </c>
      <c r="K285" s="22" t="s">
        <v>52</v>
      </c>
      <c r="L285" s="22" t="s">
        <v>52</v>
      </c>
      <c r="M285" s="22" t="s">
        <v>52</v>
      </c>
      <c r="N285" s="22" t="s">
        <v>2510</v>
      </c>
      <c r="O285" s="23" t="s">
        <v>2511</v>
      </c>
      <c r="P285" s="22" t="s">
        <v>48</v>
      </c>
      <c r="Q285" s="50" t="s">
        <v>449</v>
      </c>
      <c r="R285" s="22" t="s">
        <v>2512</v>
      </c>
      <c r="S285" s="22" t="s">
        <v>51</v>
      </c>
      <c r="T285" s="21" t="s">
        <v>52</v>
      </c>
      <c r="U285" s="21" t="s">
        <v>52</v>
      </c>
      <c r="V285" s="21" t="s">
        <v>52</v>
      </c>
      <c r="W285" s="52"/>
      <c r="X285" s="19"/>
      <c r="Y285" s="45">
        <v>45897.0</v>
      </c>
      <c r="Z285" s="20">
        <v>0.9555555555555556</v>
      </c>
      <c r="AA285" s="20">
        <v>0.9555555555555556</v>
      </c>
      <c r="AB285" s="54"/>
      <c r="AC285" s="54"/>
      <c r="AD285" s="54"/>
      <c r="AE285" s="18">
        <v>45897.0</v>
      </c>
      <c r="AF285" s="22" t="s">
        <v>53</v>
      </c>
      <c r="AG285" s="21" t="s">
        <v>2513</v>
      </c>
      <c r="AH285" s="31"/>
      <c r="AI285" s="81" t="str">
        <f>IFERROR(__xludf.DUMMYFUNCTION("IF(OR(W285="""",X285="""",AE285="""",AD285=""""),"""",
   TEXT(
     (
       (AE285+AD285 + IF(AE285+AD285 &lt; W285+X285,1,0)) - (W285+X285)
     )
     - IF(AND(AB285&lt;&gt;"""",AC285&lt;&gt;""""), 
          SUM(ARRAYFORMULA(SPLIT(AC285,"","") - SPLIT(AB285,"",""))"&amp;"), 
          0
       ),
     ""[hh]:mm""
   )
)
"),"")</f>
        <v/>
      </c>
      <c r="AJ285" s="82" t="str">
        <f t="shared" si="9"/>
        <v/>
      </c>
      <c r="AK285" s="83" t="str">
        <f t="shared" si="10"/>
        <v/>
      </c>
    </row>
    <row r="286">
      <c r="A286" s="45">
        <v>45898.0</v>
      </c>
      <c r="B286" s="49">
        <v>0.37569444444444444</v>
      </c>
      <c r="C286" s="45">
        <v>45898.0</v>
      </c>
      <c r="D286" s="80">
        <v>0.33611111111111114</v>
      </c>
      <c r="E286" s="21" t="s">
        <v>2514</v>
      </c>
      <c r="F286" s="21" t="s">
        <v>1439</v>
      </c>
      <c r="G286" s="21" t="s">
        <v>1440</v>
      </c>
      <c r="H286" s="21" t="s">
        <v>566</v>
      </c>
      <c r="I286" s="21" t="s">
        <v>2515</v>
      </c>
      <c r="J286" s="21" t="s">
        <v>2516</v>
      </c>
      <c r="K286" s="21" t="s">
        <v>1170</v>
      </c>
      <c r="L286" s="21" t="s">
        <v>2517</v>
      </c>
      <c r="M286" s="21" t="s">
        <v>2518</v>
      </c>
      <c r="N286" s="21" t="s">
        <v>2519</v>
      </c>
      <c r="O286" s="48" t="s">
        <v>2520</v>
      </c>
      <c r="P286" s="21" t="s">
        <v>48</v>
      </c>
      <c r="Q286" s="24" t="s">
        <v>65</v>
      </c>
      <c r="R286" s="21" t="s">
        <v>2521</v>
      </c>
      <c r="S286" s="21" t="s">
        <v>51</v>
      </c>
      <c r="T286" s="21" t="s">
        <v>52</v>
      </c>
      <c r="U286" s="21" t="s">
        <v>52</v>
      </c>
      <c r="V286" s="21" t="s">
        <v>52</v>
      </c>
      <c r="W286" s="45">
        <v>45898.0</v>
      </c>
      <c r="X286" s="49">
        <v>0.34305555555555556</v>
      </c>
      <c r="Y286" s="45">
        <v>45898.0</v>
      </c>
      <c r="Z286" s="49">
        <v>0.4701388888888889</v>
      </c>
      <c r="AA286" s="49">
        <v>0.4722222222222222</v>
      </c>
      <c r="AB286" s="29"/>
      <c r="AC286" s="29"/>
      <c r="AD286" s="25">
        <v>0.5472222222222223</v>
      </c>
      <c r="AE286" s="45">
        <v>45898.0</v>
      </c>
      <c r="AF286" s="21" t="s">
        <v>53</v>
      </c>
      <c r="AG286" s="21" t="s">
        <v>89</v>
      </c>
      <c r="AH286" s="21" t="s">
        <v>2522</v>
      </c>
      <c r="AI286" s="62">
        <f t="shared" ref="AI286:AI289" si="14">IF(OR(D286="", AD286=""), "",
   (AD286 - D286)
   - IF(AND(AB286&lt;&gt;"", AC286&lt;&gt;""), (AC286 - AB286), 0)
)</f>
        <v>0.2111111111</v>
      </c>
      <c r="AJ286" s="27">
        <f t="shared" si="9"/>
        <v>0</v>
      </c>
      <c r="AK286" s="63" t="str">
        <f t="shared" si="10"/>
        <v>Pass</v>
      </c>
    </row>
    <row r="287">
      <c r="A287" s="45">
        <v>45898.0</v>
      </c>
      <c r="B287" s="49">
        <v>0.3902777777777778</v>
      </c>
      <c r="C287" s="45">
        <v>45898.0</v>
      </c>
      <c r="D287" s="49">
        <v>0.3923611111111111</v>
      </c>
      <c r="E287" s="21" t="s">
        <v>2523</v>
      </c>
      <c r="F287" s="21" t="s">
        <v>180</v>
      </c>
      <c r="G287" s="21" t="s">
        <v>181</v>
      </c>
      <c r="H287" s="21" t="s">
        <v>182</v>
      </c>
      <c r="I287" s="21" t="s">
        <v>60</v>
      </c>
      <c r="J287" s="21" t="s">
        <v>42</v>
      </c>
      <c r="K287" s="21" t="s">
        <v>61</v>
      </c>
      <c r="L287" s="21" t="s">
        <v>183</v>
      </c>
      <c r="M287" s="21" t="s">
        <v>2524</v>
      </c>
      <c r="N287" s="21" t="s">
        <v>2525</v>
      </c>
      <c r="O287" s="48" t="s">
        <v>2526</v>
      </c>
      <c r="P287" s="21" t="s">
        <v>75</v>
      </c>
      <c r="Q287" s="24" t="s">
        <v>65</v>
      </c>
      <c r="R287" s="21" t="s">
        <v>2527</v>
      </c>
      <c r="S287" s="21" t="s">
        <v>51</v>
      </c>
      <c r="T287" s="21" t="s">
        <v>52</v>
      </c>
      <c r="U287" s="21" t="s">
        <v>52</v>
      </c>
      <c r="V287" s="21" t="s">
        <v>52</v>
      </c>
      <c r="W287" s="45">
        <v>45898.0</v>
      </c>
      <c r="X287" s="49">
        <v>0.3923611111111111</v>
      </c>
      <c r="Y287" s="45">
        <v>45898.0</v>
      </c>
      <c r="Z287" s="49">
        <v>0.4465277777777778</v>
      </c>
      <c r="AA287" s="49">
        <v>0.4513888888888889</v>
      </c>
      <c r="AB287" s="29"/>
      <c r="AC287" s="29"/>
      <c r="AD287" s="25">
        <v>0.15763888888888888</v>
      </c>
      <c r="AE287" s="45">
        <v>45898.0</v>
      </c>
      <c r="AF287" s="21" t="s">
        <v>53</v>
      </c>
      <c r="AG287" s="21" t="s">
        <v>293</v>
      </c>
      <c r="AH287" s="21" t="s">
        <v>2528</v>
      </c>
      <c r="AI287" s="62">
        <f t="shared" si="14"/>
        <v>-0.2347222222</v>
      </c>
      <c r="AJ287" s="27">
        <f t="shared" si="9"/>
        <v>0</v>
      </c>
      <c r="AK287" s="63" t="str">
        <f t="shared" si="10"/>
        <v>Pass</v>
      </c>
    </row>
    <row r="288">
      <c r="A288" s="45">
        <v>45898.0</v>
      </c>
      <c r="B288" s="49">
        <v>0.625</v>
      </c>
      <c r="C288" s="45">
        <v>45898.0</v>
      </c>
      <c r="D288" s="49">
        <v>0.6284722222222222</v>
      </c>
      <c r="E288" s="21" t="s">
        <v>2529</v>
      </c>
      <c r="F288" s="21" t="s">
        <v>2530</v>
      </c>
      <c r="G288" s="21" t="s">
        <v>2531</v>
      </c>
      <c r="H288" s="21" t="s">
        <v>1468</v>
      </c>
      <c r="I288" s="21" t="s">
        <v>856</v>
      </c>
      <c r="J288" s="21" t="s">
        <v>1084</v>
      </c>
      <c r="K288" s="21" t="s">
        <v>1998</v>
      </c>
      <c r="L288" s="47"/>
      <c r="M288" s="47"/>
      <c r="N288" s="21" t="s">
        <v>2532</v>
      </c>
      <c r="O288" s="48" t="s">
        <v>2533</v>
      </c>
      <c r="P288" s="21" t="s">
        <v>48</v>
      </c>
      <c r="Q288" s="24" t="s">
        <v>65</v>
      </c>
      <c r="R288" s="21" t="s">
        <v>2534</v>
      </c>
      <c r="S288" s="21" t="s">
        <v>51</v>
      </c>
      <c r="T288" s="21" t="s">
        <v>52</v>
      </c>
      <c r="U288" s="21" t="s">
        <v>52</v>
      </c>
      <c r="V288" s="21" t="s">
        <v>52</v>
      </c>
      <c r="W288" s="45">
        <v>45898.0</v>
      </c>
      <c r="X288" s="49">
        <v>0.6284722222222222</v>
      </c>
      <c r="Y288" s="45">
        <v>45899.0</v>
      </c>
      <c r="Z288" s="49">
        <v>0.36041666666666666</v>
      </c>
      <c r="AA288" s="49">
        <v>0.3611111111111111</v>
      </c>
      <c r="AB288" s="29"/>
      <c r="AC288" s="29"/>
      <c r="AD288" s="25">
        <v>0.38125</v>
      </c>
      <c r="AE288" s="45">
        <v>45899.0</v>
      </c>
      <c r="AF288" s="21" t="s">
        <v>53</v>
      </c>
      <c r="AG288" s="21" t="s">
        <v>2535</v>
      </c>
      <c r="AH288" s="21" t="s">
        <v>2536</v>
      </c>
      <c r="AI288" s="62">
        <f t="shared" si="14"/>
        <v>-0.2472222222</v>
      </c>
      <c r="AJ288" s="27">
        <f t="shared" si="9"/>
        <v>0</v>
      </c>
      <c r="AK288" s="63" t="str">
        <f t="shared" si="10"/>
        <v>Pass</v>
      </c>
    </row>
    <row r="289">
      <c r="A289" s="45">
        <v>45898.0</v>
      </c>
      <c r="B289" s="49">
        <v>0.7097222222222223</v>
      </c>
      <c r="C289" s="45">
        <v>45898.0</v>
      </c>
      <c r="D289" s="49">
        <v>0.725</v>
      </c>
      <c r="E289" s="21" t="s">
        <v>2537</v>
      </c>
      <c r="F289" s="21" t="s">
        <v>2538</v>
      </c>
      <c r="G289" s="21" t="s">
        <v>2539</v>
      </c>
      <c r="H289" s="21" t="s">
        <v>130</v>
      </c>
      <c r="I289" s="21" t="s">
        <v>131</v>
      </c>
      <c r="J289" s="21" t="s">
        <v>132</v>
      </c>
      <c r="K289" s="21" t="s">
        <v>1170</v>
      </c>
      <c r="L289" s="21" t="s">
        <v>1794</v>
      </c>
      <c r="M289" s="21" t="s">
        <v>2540</v>
      </c>
      <c r="N289" s="21" t="s">
        <v>509</v>
      </c>
      <c r="O289" s="48" t="s">
        <v>2541</v>
      </c>
      <c r="P289" s="21" t="s">
        <v>75</v>
      </c>
      <c r="Q289" s="24" t="s">
        <v>65</v>
      </c>
      <c r="R289" s="21" t="s">
        <v>2542</v>
      </c>
      <c r="S289" s="21" t="s">
        <v>51</v>
      </c>
      <c r="T289" s="21" t="s">
        <v>52</v>
      </c>
      <c r="U289" s="21" t="s">
        <v>52</v>
      </c>
      <c r="V289" s="21" t="s">
        <v>52</v>
      </c>
      <c r="W289" s="45">
        <v>45898.0</v>
      </c>
      <c r="X289" s="49">
        <v>0.725</v>
      </c>
      <c r="Y289" s="45">
        <v>45898.0</v>
      </c>
      <c r="Z289" s="49">
        <v>0.8388888888888889</v>
      </c>
      <c r="AA289" s="49">
        <v>0.8402777777777778</v>
      </c>
      <c r="AB289" s="29"/>
      <c r="AC289" s="29"/>
      <c r="AD289" s="25">
        <v>0.875</v>
      </c>
      <c r="AE289" s="45">
        <v>45898.0</v>
      </c>
      <c r="AF289" s="21" t="s">
        <v>53</v>
      </c>
      <c r="AG289" s="21" t="s">
        <v>162</v>
      </c>
      <c r="AH289" s="21" t="s">
        <v>2543</v>
      </c>
      <c r="AI289" s="62">
        <f t="shared" si="14"/>
        <v>0.15</v>
      </c>
      <c r="AJ289" s="27">
        <f t="shared" si="9"/>
        <v>0</v>
      </c>
      <c r="AK289" s="63" t="str">
        <f t="shared" si="10"/>
        <v>Pass</v>
      </c>
    </row>
    <row r="290">
      <c r="A290" s="18">
        <v>45895.0</v>
      </c>
      <c r="B290" s="20">
        <v>0.8451388888888889</v>
      </c>
      <c r="C290" s="18">
        <v>45895.0</v>
      </c>
      <c r="D290" s="20">
        <v>0.8597222222222223</v>
      </c>
      <c r="E290" s="22" t="s">
        <v>2385</v>
      </c>
      <c r="F290" s="22" t="s">
        <v>1514</v>
      </c>
      <c r="G290" s="22" t="s">
        <v>1515</v>
      </c>
      <c r="H290" s="22" t="s">
        <v>253</v>
      </c>
      <c r="I290" s="22" t="s">
        <v>928</v>
      </c>
      <c r="J290" s="22" t="s">
        <v>928</v>
      </c>
      <c r="K290" s="22" t="s">
        <v>52</v>
      </c>
      <c r="L290" s="22" t="s">
        <v>52</v>
      </c>
      <c r="M290" s="22" t="s">
        <v>52</v>
      </c>
      <c r="N290" s="22" t="s">
        <v>2386</v>
      </c>
      <c r="O290" s="23" t="s">
        <v>2544</v>
      </c>
      <c r="P290" s="22" t="s">
        <v>48</v>
      </c>
      <c r="Q290" s="50" t="s">
        <v>198</v>
      </c>
      <c r="R290" s="22" t="s">
        <v>2545</v>
      </c>
      <c r="S290" s="22" t="s">
        <v>51</v>
      </c>
      <c r="T290" s="21" t="s">
        <v>52</v>
      </c>
      <c r="U290" s="21" t="s">
        <v>52</v>
      </c>
      <c r="V290" s="21" t="s">
        <v>52</v>
      </c>
      <c r="W290" s="18">
        <v>45895.0</v>
      </c>
      <c r="X290" s="20">
        <v>0.8597222222222223</v>
      </c>
      <c r="Y290" s="45">
        <v>45898.0</v>
      </c>
      <c r="Z290" s="20">
        <v>0.8541666666666666</v>
      </c>
      <c r="AA290" s="20">
        <v>0.9</v>
      </c>
      <c r="AB290" s="54"/>
      <c r="AC290" s="54"/>
      <c r="AD290" s="51">
        <v>0.16666666666666666</v>
      </c>
      <c r="AE290" s="45">
        <v>45899.0</v>
      </c>
      <c r="AF290" s="21" t="s">
        <v>53</v>
      </c>
      <c r="AG290" s="22" t="s">
        <v>284</v>
      </c>
      <c r="AH290" s="31"/>
      <c r="AI290" s="62" t="str">
        <f>IFERROR(__xludf.DUMMYFUNCTION("IF(OR(W290="""",X290="""",AE290="""",AD290=""""),"""",
   TEXT(
     (
       (AE290+AD290 + IF(AE290+AD290 &lt; W290+X290,1,0)) - (W290+X290)
     )
     - IF(AND(AB290&lt;&gt;"""",AC290&lt;&gt;""""), 
          SUM(ARRAYFORMULA(SPLIT(AC290,"","") - SPLIT(AB290,"",""))"&amp;"), 
          0
       ),
     ""[hh]:mm""
   )
)
"),"79:22")</f>
        <v>79:22</v>
      </c>
      <c r="AJ290" s="27">
        <f t="shared" si="9"/>
        <v>2.306944444</v>
      </c>
      <c r="AK290" s="63" t="str">
        <f t="shared" si="10"/>
        <v>Fail</v>
      </c>
    </row>
    <row r="291">
      <c r="A291" s="45">
        <v>45898.0</v>
      </c>
      <c r="B291" s="49">
        <v>0.9194444444444444</v>
      </c>
      <c r="C291" s="45">
        <v>45898.0</v>
      </c>
      <c r="D291" s="49">
        <v>0.9361111111111111</v>
      </c>
      <c r="E291" s="21" t="s">
        <v>2546</v>
      </c>
      <c r="F291" s="21" t="s">
        <v>2547</v>
      </c>
      <c r="G291" s="21" t="s">
        <v>2548</v>
      </c>
      <c r="H291" s="21" t="s">
        <v>2549</v>
      </c>
      <c r="I291" s="21" t="s">
        <v>2185</v>
      </c>
      <c r="J291" s="21" t="s">
        <v>644</v>
      </c>
      <c r="K291" s="47"/>
      <c r="L291" s="21" t="s">
        <v>2550</v>
      </c>
      <c r="M291" s="21" t="s">
        <v>2551</v>
      </c>
      <c r="N291" s="21" t="s">
        <v>2552</v>
      </c>
      <c r="O291" s="48" t="s">
        <v>2553</v>
      </c>
      <c r="P291" s="21" t="s">
        <v>75</v>
      </c>
      <c r="Q291" s="24" t="s">
        <v>65</v>
      </c>
      <c r="R291" s="21" t="s">
        <v>2554</v>
      </c>
      <c r="S291" s="21" t="s">
        <v>51</v>
      </c>
      <c r="T291" s="21" t="s">
        <v>2185</v>
      </c>
      <c r="U291" s="21" t="s">
        <v>2555</v>
      </c>
      <c r="V291" s="21" t="s">
        <v>2551</v>
      </c>
      <c r="W291" s="45">
        <v>45898.0</v>
      </c>
      <c r="X291" s="49">
        <v>0.9361111111111111</v>
      </c>
      <c r="Y291" s="45">
        <v>45900.0</v>
      </c>
      <c r="Z291" s="49">
        <v>0.6180555555555556</v>
      </c>
      <c r="AA291" s="49">
        <v>0.625</v>
      </c>
      <c r="AB291" s="29"/>
      <c r="AC291" s="29"/>
      <c r="AD291" s="25">
        <v>0.6458333333333334</v>
      </c>
      <c r="AE291" s="45">
        <v>45900.0</v>
      </c>
      <c r="AF291" s="21" t="s">
        <v>53</v>
      </c>
      <c r="AG291" s="21" t="s">
        <v>382</v>
      </c>
      <c r="AH291" s="21" t="s">
        <v>2556</v>
      </c>
      <c r="AI291" s="62" t="str">
        <f>IFERROR(__xludf.DUMMYFUNCTION("IF(OR(W291="""",X291="""",AE291="""",AD291=""""),"""",
   TEXT(
     (
       (AE291+AD291 + IF(AE291+AD291 &lt; W291+X291,1,0)) - (W291+X291)
     )
     - IF(AND(AB291&lt;&gt;"""",AC291&lt;&gt;""""), 
          SUM(ARRAYFORMULA(SPLIT(AC291,"","") - SPLIT(AB291,"",""))"&amp;"), 
          0
       ),
     ""[hh]:mm""
   )
)
"),"41:02")</f>
        <v>41:02</v>
      </c>
      <c r="AJ291" s="27">
        <f t="shared" si="9"/>
        <v>1.209722222</v>
      </c>
      <c r="AK291" s="63" t="str">
        <f t="shared" si="10"/>
        <v>Fail</v>
      </c>
    </row>
    <row r="292">
      <c r="A292" s="18">
        <v>45899.0</v>
      </c>
      <c r="B292" s="20">
        <v>0.48055555555555557</v>
      </c>
      <c r="C292" s="18">
        <v>45899.0</v>
      </c>
      <c r="D292" s="20">
        <v>0.48819444444444443</v>
      </c>
      <c r="E292" s="22" t="s">
        <v>2557</v>
      </c>
      <c r="F292" s="22" t="s">
        <v>2558</v>
      </c>
      <c r="G292" s="22" t="s">
        <v>2559</v>
      </c>
      <c r="H292" s="22" t="s">
        <v>130</v>
      </c>
      <c r="I292" s="22" t="s">
        <v>60</v>
      </c>
      <c r="J292" s="22" t="s">
        <v>42</v>
      </c>
      <c r="K292" s="22" t="s">
        <v>61</v>
      </c>
      <c r="L292" s="22" t="s">
        <v>2560</v>
      </c>
      <c r="M292" s="22" t="s">
        <v>2561</v>
      </c>
      <c r="N292" s="22" t="s">
        <v>2562</v>
      </c>
      <c r="O292" s="23" t="s">
        <v>2563</v>
      </c>
      <c r="P292" s="22" t="s">
        <v>75</v>
      </c>
      <c r="Q292" s="50" t="s">
        <v>65</v>
      </c>
      <c r="R292" s="22" t="s">
        <v>2564</v>
      </c>
      <c r="S292" s="22" t="s">
        <v>51</v>
      </c>
      <c r="T292" s="21" t="s">
        <v>52</v>
      </c>
      <c r="U292" s="22" t="s">
        <v>52</v>
      </c>
      <c r="V292" s="22" t="s">
        <v>52</v>
      </c>
      <c r="W292" s="18">
        <v>45899.0</v>
      </c>
      <c r="X292" s="20">
        <v>0.48819444444444443</v>
      </c>
      <c r="Y292" s="18">
        <v>45899.0</v>
      </c>
      <c r="Z292" s="20">
        <v>0.7006944444444444</v>
      </c>
      <c r="AA292" s="20">
        <v>0.7222222222222222</v>
      </c>
      <c r="AB292" s="54"/>
      <c r="AC292" s="54"/>
      <c r="AD292" s="51">
        <v>0.75</v>
      </c>
      <c r="AE292" s="18">
        <v>45899.0</v>
      </c>
      <c r="AF292" s="22" t="s">
        <v>53</v>
      </c>
      <c r="AG292" s="22" t="s">
        <v>2565</v>
      </c>
      <c r="AH292" s="22" t="s">
        <v>2566</v>
      </c>
      <c r="AI292" s="26" t="str">
        <f>IFERROR(__xludf.DUMMYFUNCTION("IF(OR(W292="""",X292="""",AE292="""",AD292=""""),"""",
   TEXT(
     (
       (AE292+AD292 + IF(AE292+AD292 &lt; W292+X292,1,0)) - (W292+X292)
     )
     - IF(AND(AB292&lt;&gt;"""",AC292&lt;&gt;""""), 
          SUM(ARRAYFORMULA(SPLIT(AC292,"","") - SPLIT(AB292,"",""))"&amp;"), 
          0
       ),
     ""[hh]:mm""
   )
)
"),"06:17")</f>
        <v>06:17</v>
      </c>
      <c r="AJ292" s="55">
        <f t="shared" si="9"/>
        <v>0</v>
      </c>
      <c r="AK292" s="28" t="str">
        <f t="shared" si="10"/>
        <v>Pass</v>
      </c>
    </row>
    <row r="293">
      <c r="A293" s="18">
        <v>45899.0</v>
      </c>
      <c r="B293" s="20">
        <v>0.7569444444444444</v>
      </c>
      <c r="C293" s="18">
        <v>45899.0</v>
      </c>
      <c r="D293" s="20">
        <v>0.7611111111111111</v>
      </c>
      <c r="E293" s="22" t="s">
        <v>2567</v>
      </c>
      <c r="F293" s="22" t="s">
        <v>2568</v>
      </c>
      <c r="G293" s="22" t="s">
        <v>2569</v>
      </c>
      <c r="H293" s="22" t="s">
        <v>130</v>
      </c>
      <c r="I293" s="22" t="s">
        <v>234</v>
      </c>
      <c r="J293" s="22" t="s">
        <v>42</v>
      </c>
      <c r="K293" s="22" t="s">
        <v>61</v>
      </c>
      <c r="L293" s="22" t="s">
        <v>183</v>
      </c>
      <c r="M293" s="22" t="s">
        <v>2570</v>
      </c>
      <c r="N293" s="22" t="s">
        <v>2571</v>
      </c>
      <c r="O293" s="23" t="s">
        <v>2572</v>
      </c>
      <c r="P293" s="22" t="s">
        <v>75</v>
      </c>
      <c r="Q293" s="50" t="s">
        <v>65</v>
      </c>
      <c r="R293" s="22" t="s">
        <v>2573</v>
      </c>
      <c r="S293" s="22" t="s">
        <v>51</v>
      </c>
      <c r="T293" s="21" t="s">
        <v>52</v>
      </c>
      <c r="U293" s="21" t="s">
        <v>52</v>
      </c>
      <c r="V293" s="21" t="s">
        <v>52</v>
      </c>
      <c r="W293" s="18">
        <v>45899.0</v>
      </c>
      <c r="X293" s="20">
        <v>0.7611111111111111</v>
      </c>
      <c r="Y293" s="18">
        <v>45900.0</v>
      </c>
      <c r="Z293" s="20">
        <v>0.46944444444444444</v>
      </c>
      <c r="AA293" s="20">
        <v>0.4701388888888889</v>
      </c>
      <c r="AB293" s="54"/>
      <c r="AC293" s="54"/>
      <c r="AD293" s="51">
        <v>0.47847222222222224</v>
      </c>
      <c r="AE293" s="18">
        <v>45900.0</v>
      </c>
      <c r="AF293" s="22" t="s">
        <v>53</v>
      </c>
      <c r="AG293" s="22" t="s">
        <v>239</v>
      </c>
      <c r="AH293" s="22" t="s">
        <v>2574</v>
      </c>
      <c r="AI293" s="26" t="str">
        <f>IFERROR(__xludf.DUMMYFUNCTION("IF(OR(W293="""",X293="""",AE293="""",AD293=""""),"""",
   TEXT(
     (
       (AE293+AD293 + IF(AE293+AD293 &lt; W293+X293,1,0)) - (W293+X293)
     )
     - IF(AND(AB293&lt;&gt;"""",AC293&lt;&gt;""""), 
          SUM(ARRAYFORMULA(SPLIT(AC293,"","") - SPLIT(AB293,"",""))"&amp;"), 
          0
       ),
     ""[hh]:mm""
   )
)
"),"17:13")</f>
        <v>17:13</v>
      </c>
      <c r="AJ293" s="55">
        <f t="shared" si="9"/>
        <v>0.2173611111</v>
      </c>
      <c r="AK293" s="28" t="str">
        <f t="shared" si="10"/>
        <v>Fail</v>
      </c>
    </row>
    <row r="294">
      <c r="A294" s="18">
        <v>45899.0</v>
      </c>
      <c r="B294" s="20">
        <v>0.4201388888888889</v>
      </c>
      <c r="C294" s="18">
        <v>45899.0</v>
      </c>
      <c r="D294" s="20">
        <v>0.4201388888888889</v>
      </c>
      <c r="E294" s="22" t="s">
        <v>2575</v>
      </c>
      <c r="F294" s="22" t="s">
        <v>1514</v>
      </c>
      <c r="G294" s="22" t="s">
        <v>1515</v>
      </c>
      <c r="H294" s="22" t="s">
        <v>566</v>
      </c>
      <c r="I294" s="22" t="s">
        <v>41</v>
      </c>
      <c r="J294" s="22" t="s">
        <v>42</v>
      </c>
      <c r="K294" s="22" t="s">
        <v>61</v>
      </c>
      <c r="L294" s="22" t="s">
        <v>183</v>
      </c>
      <c r="M294" s="22" t="s">
        <v>2576</v>
      </c>
      <c r="N294" s="22" t="s">
        <v>2577</v>
      </c>
      <c r="O294" s="23" t="s">
        <v>2578</v>
      </c>
      <c r="P294" s="22" t="s">
        <v>75</v>
      </c>
      <c r="Q294" s="50" t="s">
        <v>49</v>
      </c>
      <c r="R294" s="22" t="s">
        <v>2579</v>
      </c>
      <c r="S294" s="22" t="s">
        <v>51</v>
      </c>
      <c r="T294" s="22" t="s">
        <v>2580</v>
      </c>
      <c r="U294" s="22" t="s">
        <v>52</v>
      </c>
      <c r="V294" s="22" t="s">
        <v>52</v>
      </c>
      <c r="W294" s="18">
        <v>45899.0</v>
      </c>
      <c r="X294" s="20">
        <v>0.4201388888888889</v>
      </c>
      <c r="Y294" s="18">
        <v>45900.0</v>
      </c>
      <c r="Z294" s="20">
        <v>0.2902777777777778</v>
      </c>
      <c r="AA294" s="20">
        <v>0.2916666666666667</v>
      </c>
      <c r="AB294" s="54"/>
      <c r="AC294" s="54"/>
      <c r="AD294" s="51">
        <v>0.4375</v>
      </c>
      <c r="AE294" s="18">
        <v>45900.0</v>
      </c>
      <c r="AF294" s="22" t="s">
        <v>53</v>
      </c>
      <c r="AG294" s="22" t="s">
        <v>284</v>
      </c>
      <c r="AH294" s="22" t="s">
        <v>1520</v>
      </c>
      <c r="AI294" s="26" t="str">
        <f>IFERROR(__xludf.DUMMYFUNCTION("IF(OR(W294="""",X294="""",AE294="""",AD294=""""),"""",
   TEXT(
     (
       (AE294+AD294 + IF(AE294+AD294 &lt; W294+X294,1,0)) - (W294+X294)
     )
     - IF(AND(AB294&lt;&gt;"""",AC294&lt;&gt;""""), 
          SUM(ARRAYFORMULA(SPLIT(AC294,"","") - SPLIT(AB294,"",""))"&amp;"), 
          0
       ),
     ""[hh]:mm""
   )
)
"),"24:25")</f>
        <v>24:25</v>
      </c>
      <c r="AJ294" s="55">
        <f t="shared" si="9"/>
        <v>0.8506944444</v>
      </c>
      <c r="AK294" s="28" t="str">
        <f t="shared" si="10"/>
        <v>Fail</v>
      </c>
    </row>
    <row r="295">
      <c r="A295" s="45">
        <v>45895.0</v>
      </c>
      <c r="B295" s="49">
        <v>0.45625</v>
      </c>
      <c r="C295" s="45">
        <v>45895.0</v>
      </c>
      <c r="D295" s="49">
        <v>0.4583333333333333</v>
      </c>
      <c r="E295" s="21" t="s">
        <v>2581</v>
      </c>
      <c r="F295" s="21" t="s">
        <v>1315</v>
      </c>
      <c r="G295" s="21" t="s">
        <v>1316</v>
      </c>
      <c r="H295" s="21" t="s">
        <v>1450</v>
      </c>
      <c r="I295" s="21" t="s">
        <v>1178</v>
      </c>
      <c r="J295" s="21" t="s">
        <v>1136</v>
      </c>
      <c r="K295" s="47"/>
      <c r="L295" s="47"/>
      <c r="M295" s="47"/>
      <c r="N295" s="21" t="s">
        <v>2156</v>
      </c>
      <c r="O295" s="48" t="s">
        <v>2582</v>
      </c>
      <c r="P295" s="21" t="s">
        <v>75</v>
      </c>
      <c r="Q295" s="24" t="s">
        <v>65</v>
      </c>
      <c r="R295" s="21" t="s">
        <v>2583</v>
      </c>
      <c r="S295" s="21" t="s">
        <v>51</v>
      </c>
      <c r="T295" s="21" t="s">
        <v>679</v>
      </c>
      <c r="U295" s="21">
        <v>2.02407290302E11</v>
      </c>
      <c r="V295" s="21">
        <v>2.01902220006E11</v>
      </c>
      <c r="W295" s="45">
        <v>45895.0</v>
      </c>
      <c r="X295" s="49">
        <v>0.4583333333333333</v>
      </c>
      <c r="Y295" s="18">
        <v>45900.0</v>
      </c>
      <c r="Z295" s="49">
        <v>0.8222222222222222</v>
      </c>
      <c r="AA295" s="49">
        <v>0.8277777777777777</v>
      </c>
      <c r="AB295" s="29"/>
      <c r="AC295" s="29"/>
      <c r="AD295" s="25">
        <v>0.8784722222222222</v>
      </c>
      <c r="AE295" s="18">
        <v>45900.0</v>
      </c>
      <c r="AF295" s="22" t="s">
        <v>53</v>
      </c>
      <c r="AG295" s="21" t="s">
        <v>162</v>
      </c>
      <c r="AH295" s="21" t="s">
        <v>1322</v>
      </c>
      <c r="AI295" s="62" t="str">
        <f>IFERROR(__xludf.DUMMYFUNCTION("IF(OR(W295="""",X295="""",AE295="""",AD295=""""),"""",
   TEXT(
     (
       (AE295+AD295 + IF(AE295+AD295 &lt; W295+X295,1,0)) - (W295+X295)
     )
     - IF(AND(AB295&lt;&gt;"""",AC295&lt;&gt;""""), 
          SUM(ARRAYFORMULA(SPLIT(AC295,"","") - SPLIT(AB295,"",""))"&amp;"), 
          0
       ),
     ""[hh]:mm""
   )
)
"),"130:05")</f>
        <v>130:05</v>
      </c>
      <c r="AJ295" s="27">
        <f t="shared" si="9"/>
        <v>4.920138889</v>
      </c>
      <c r="AK295" s="63" t="str">
        <f t="shared" si="10"/>
        <v>Fail</v>
      </c>
    </row>
    <row r="296">
      <c r="A296" s="45">
        <v>45901.0</v>
      </c>
      <c r="B296" s="49">
        <v>0.5965277777777778</v>
      </c>
      <c r="C296" s="45">
        <v>45901.0</v>
      </c>
      <c r="D296" s="49">
        <v>0.6013888888888889</v>
      </c>
      <c r="E296" s="21" t="s">
        <v>2584</v>
      </c>
      <c r="F296" s="21" t="s">
        <v>1192</v>
      </c>
      <c r="G296" s="21" t="s">
        <v>1193</v>
      </c>
      <c r="H296" s="21" t="s">
        <v>40</v>
      </c>
      <c r="I296" s="21" t="s">
        <v>60</v>
      </c>
      <c r="J296" s="21" t="s">
        <v>42</v>
      </c>
      <c r="K296" s="21" t="s">
        <v>61</v>
      </c>
      <c r="L296" s="21" t="s">
        <v>2585</v>
      </c>
      <c r="M296" s="21" t="s">
        <v>1685</v>
      </c>
      <c r="N296" s="21" t="s">
        <v>2586</v>
      </c>
      <c r="O296" s="48" t="s">
        <v>2587</v>
      </c>
      <c r="P296" s="21" t="s">
        <v>48</v>
      </c>
      <c r="Q296" s="24" t="s">
        <v>65</v>
      </c>
      <c r="R296" s="21" t="s">
        <v>2588</v>
      </c>
      <c r="S296" s="21" t="s">
        <v>51</v>
      </c>
      <c r="T296" s="21" t="s">
        <v>52</v>
      </c>
      <c r="U296" s="21" t="s">
        <v>52</v>
      </c>
      <c r="V296" s="21" t="s">
        <v>52</v>
      </c>
      <c r="W296" s="45">
        <v>45901.0</v>
      </c>
      <c r="X296" s="49">
        <v>0.6013888888888889</v>
      </c>
      <c r="Y296" s="45">
        <v>45901.0</v>
      </c>
      <c r="Z296" s="49">
        <v>0.625</v>
      </c>
      <c r="AA296" s="49">
        <v>0.6319444444444444</v>
      </c>
      <c r="AB296" s="29"/>
      <c r="AC296" s="29"/>
      <c r="AD296" s="25">
        <v>0.75</v>
      </c>
      <c r="AE296" s="45">
        <v>45901.0</v>
      </c>
      <c r="AF296" s="21" t="s">
        <v>53</v>
      </c>
      <c r="AG296" s="21" t="s">
        <v>1368</v>
      </c>
      <c r="AH296" s="21" t="s">
        <v>2589</v>
      </c>
      <c r="AI296" s="62" t="str">
        <f>IFERROR(__xludf.DUMMYFUNCTION("IF(OR(W296="""",X296="""",AE296="""",AD296=""""),"""",
   TEXT(
     (
       (AE296+AD296 + IF(AE296+AD296 &lt; W296+X296,1,0)) - (W296+X296)
     )
     - IF(AND(AB296&lt;&gt;"""",AC296&lt;&gt;""""), 
          SUM(ARRAYFORMULA(SPLIT(AC296,"","") - SPLIT(AB296,"",""))"&amp;"), 
          0
       ),
     ""[hh]:mm""
   )
)
"),"03:34")</f>
        <v>03:34</v>
      </c>
      <c r="AJ296" s="27">
        <f t="shared" si="9"/>
        <v>0</v>
      </c>
      <c r="AK296" s="63" t="str">
        <f t="shared" si="10"/>
        <v>Pass</v>
      </c>
    </row>
    <row r="297">
      <c r="A297" s="45">
        <v>45901.0</v>
      </c>
      <c r="B297" s="20">
        <v>0.6472222222222223</v>
      </c>
      <c r="C297" s="45">
        <v>45901.0</v>
      </c>
      <c r="D297" s="20">
        <v>0.6597222222222222</v>
      </c>
      <c r="E297" s="22" t="s">
        <v>2590</v>
      </c>
      <c r="F297" s="21" t="s">
        <v>2591</v>
      </c>
      <c r="G297" s="21" t="s">
        <v>2592</v>
      </c>
      <c r="H297" s="22" t="s">
        <v>2593</v>
      </c>
      <c r="I297" s="22" t="s">
        <v>234</v>
      </c>
      <c r="J297" s="22" t="s">
        <v>42</v>
      </c>
      <c r="K297" s="21" t="s">
        <v>61</v>
      </c>
      <c r="L297" s="22" t="s">
        <v>2594</v>
      </c>
      <c r="M297" s="22" t="s">
        <v>2595</v>
      </c>
      <c r="N297" s="22" t="s">
        <v>2596</v>
      </c>
      <c r="O297" s="23" t="s">
        <v>2597</v>
      </c>
      <c r="P297" s="21" t="s">
        <v>75</v>
      </c>
      <c r="Q297" s="24" t="s">
        <v>65</v>
      </c>
      <c r="R297" s="21" t="s">
        <v>2598</v>
      </c>
      <c r="S297" s="22" t="s">
        <v>51</v>
      </c>
      <c r="T297" s="22" t="s">
        <v>324</v>
      </c>
      <c r="U297" s="22" t="s">
        <v>2599</v>
      </c>
      <c r="V297" s="22" t="s">
        <v>2600</v>
      </c>
      <c r="W297" s="45">
        <v>45901.0</v>
      </c>
      <c r="X297" s="20">
        <v>0.6597222222222222</v>
      </c>
      <c r="Y297" s="45">
        <v>45901.0</v>
      </c>
      <c r="Z297" s="20">
        <v>0.7291666666666666</v>
      </c>
      <c r="AA297" s="20">
        <v>0.7881944444444444</v>
      </c>
      <c r="AB297" s="25">
        <v>0.7291666666666666</v>
      </c>
      <c r="AC297" s="25">
        <v>0.7916666666666666</v>
      </c>
      <c r="AD297" s="25">
        <v>0.8541666666666666</v>
      </c>
      <c r="AE297" s="45">
        <v>45901.0</v>
      </c>
      <c r="AF297" s="21" t="s">
        <v>53</v>
      </c>
      <c r="AG297" s="22" t="s">
        <v>78</v>
      </c>
      <c r="AH297" s="22" t="s">
        <v>2601</v>
      </c>
      <c r="AI297" s="62" t="str">
        <f>IFERROR(__xludf.DUMMYFUNCTION("IF(OR(W297="""",X297="""",AE297="""",AD297=""""),"""",
   TEXT(
     (
       (AE297+AD297 + IF(AE297+AD297 &lt; W297+X297,1,0)) - (W297+X297)
     )
     - IF(AND(AB297&lt;&gt;"""",AC297&lt;&gt;""""), 
          SUM(ARRAYFORMULA(SPLIT(AC297,"","") - SPLIT(AB297,"",""))"&amp;"), 
          0
       ),
     ""[hh]:mm""
   )
)
"),"03:10")</f>
        <v>03:10</v>
      </c>
      <c r="AJ297" s="27">
        <f t="shared" si="9"/>
        <v>0</v>
      </c>
      <c r="AK297" s="63" t="str">
        <f t="shared" si="10"/>
        <v>Pass</v>
      </c>
    </row>
    <row r="298">
      <c r="A298" s="45">
        <v>45901.0</v>
      </c>
      <c r="B298" s="20">
        <v>0.6472222222222223</v>
      </c>
      <c r="C298" s="45">
        <v>45901.0</v>
      </c>
      <c r="D298" s="20">
        <v>0.6597222222222222</v>
      </c>
      <c r="E298" s="22" t="s">
        <v>2602</v>
      </c>
      <c r="F298" s="21" t="s">
        <v>2591</v>
      </c>
      <c r="G298" s="21" t="s">
        <v>2592</v>
      </c>
      <c r="H298" s="22" t="s">
        <v>2603</v>
      </c>
      <c r="I298" s="22" t="s">
        <v>1162</v>
      </c>
      <c r="J298" s="22" t="s">
        <v>1136</v>
      </c>
      <c r="K298" s="22" t="s">
        <v>1557</v>
      </c>
      <c r="L298" s="22" t="s">
        <v>1179</v>
      </c>
      <c r="M298" s="22" t="s">
        <v>2604</v>
      </c>
      <c r="N298" s="22" t="s">
        <v>2605</v>
      </c>
      <c r="O298" s="23" t="s">
        <v>2606</v>
      </c>
      <c r="P298" s="21" t="s">
        <v>75</v>
      </c>
      <c r="Q298" s="24" t="s">
        <v>65</v>
      </c>
      <c r="R298" s="21" t="s">
        <v>2607</v>
      </c>
      <c r="S298" s="22" t="s">
        <v>51</v>
      </c>
      <c r="T298" s="22" t="s">
        <v>679</v>
      </c>
      <c r="U298" s="22" t="s">
        <v>2608</v>
      </c>
      <c r="V298" s="22" t="s">
        <v>2604</v>
      </c>
      <c r="W298" s="45">
        <v>45901.0</v>
      </c>
      <c r="X298" s="20">
        <v>0.6597222222222222</v>
      </c>
      <c r="Y298" s="45">
        <v>45901.0</v>
      </c>
      <c r="Z298" s="20">
        <v>0.7291666666666666</v>
      </c>
      <c r="AA298" s="20">
        <v>0.7881944444444444</v>
      </c>
      <c r="AB298" s="25">
        <v>0.7291666666666666</v>
      </c>
      <c r="AC298" s="25">
        <v>0.7916666666666666</v>
      </c>
      <c r="AD298" s="25">
        <v>0.8541666666666666</v>
      </c>
      <c r="AE298" s="45">
        <v>45901.0</v>
      </c>
      <c r="AF298" s="21" t="s">
        <v>53</v>
      </c>
      <c r="AG298" s="22" t="s">
        <v>78</v>
      </c>
      <c r="AH298" s="22" t="s">
        <v>2601</v>
      </c>
      <c r="AI298" s="26">
        <f t="shared" ref="AI298:AI306" si="15">IF(OR(D298="", AD298=""), "",
   (AD298 - D298)
   - IF(AND(AB298&lt;&gt;"", AC298&lt;&gt;""), (AC298 - AB298), 0)
)</f>
        <v>0.1319444444</v>
      </c>
      <c r="AJ298" s="27">
        <f t="shared" si="9"/>
        <v>0</v>
      </c>
      <c r="AK298" s="28" t="str">
        <f t="shared" si="10"/>
        <v>Pass</v>
      </c>
    </row>
    <row r="299">
      <c r="A299" s="18">
        <v>45898.0</v>
      </c>
      <c r="B299" s="20">
        <v>0.45902777777777776</v>
      </c>
      <c r="C299" s="18">
        <v>45898.0</v>
      </c>
      <c r="D299" s="20">
        <v>0.48055555555555557</v>
      </c>
      <c r="E299" s="22" t="s">
        <v>2609</v>
      </c>
      <c r="F299" s="22" t="s">
        <v>1127</v>
      </c>
      <c r="G299" s="22" t="s">
        <v>2610</v>
      </c>
      <c r="H299" s="22" t="s">
        <v>2611</v>
      </c>
      <c r="I299" s="22" t="s">
        <v>928</v>
      </c>
      <c r="J299" s="22" t="s">
        <v>2352</v>
      </c>
      <c r="K299" s="22" t="s">
        <v>52</v>
      </c>
      <c r="L299" s="22" t="s">
        <v>52</v>
      </c>
      <c r="M299" s="22" t="s">
        <v>52</v>
      </c>
      <c r="N299" s="22" t="s">
        <v>2612</v>
      </c>
      <c r="O299" s="23" t="s">
        <v>2613</v>
      </c>
      <c r="P299" s="22" t="s">
        <v>75</v>
      </c>
      <c r="Q299" s="50" t="s">
        <v>449</v>
      </c>
      <c r="R299" s="22" t="s">
        <v>2614</v>
      </c>
      <c r="S299" s="22" t="s">
        <v>51</v>
      </c>
      <c r="T299" s="22" t="s">
        <v>52</v>
      </c>
      <c r="U299" s="22" t="s">
        <v>52</v>
      </c>
      <c r="V299" s="22" t="s">
        <v>52</v>
      </c>
      <c r="W299" s="18">
        <v>45901.0</v>
      </c>
      <c r="X299" s="20">
        <v>0.9375</v>
      </c>
      <c r="Y299" s="18">
        <v>45901.0</v>
      </c>
      <c r="Z299" s="20">
        <v>0.9361111111111111</v>
      </c>
      <c r="AA299" s="20">
        <v>0.5</v>
      </c>
      <c r="AB299" s="54"/>
      <c r="AC299" s="54"/>
      <c r="AD299" s="51">
        <v>0.6</v>
      </c>
      <c r="AE299" s="18">
        <v>45901.0</v>
      </c>
      <c r="AF299" s="22" t="s">
        <v>53</v>
      </c>
      <c r="AG299" s="22" t="s">
        <v>284</v>
      </c>
      <c r="AH299" s="22" t="s">
        <v>2615</v>
      </c>
      <c r="AI299" s="26">
        <f t="shared" si="15"/>
        <v>0.1194444444</v>
      </c>
      <c r="AJ299" s="55">
        <f t="shared" si="9"/>
        <v>0</v>
      </c>
      <c r="AK299" s="28" t="str">
        <f t="shared" si="10"/>
        <v>Pass</v>
      </c>
    </row>
    <row r="300">
      <c r="A300" s="45">
        <v>45902.0</v>
      </c>
      <c r="B300" s="49">
        <v>0.35347222222222224</v>
      </c>
      <c r="C300" s="45">
        <v>45902.0</v>
      </c>
      <c r="D300" s="49">
        <v>0.35625</v>
      </c>
      <c r="E300" s="21" t="s">
        <v>2616</v>
      </c>
      <c r="F300" s="21" t="s">
        <v>2617</v>
      </c>
      <c r="G300" s="21" t="s">
        <v>2618</v>
      </c>
      <c r="H300" s="21" t="s">
        <v>2337</v>
      </c>
      <c r="I300" s="21" t="s">
        <v>118</v>
      </c>
      <c r="J300" s="21" t="s">
        <v>119</v>
      </c>
      <c r="K300" s="21" t="s">
        <v>72</v>
      </c>
      <c r="L300" s="21" t="s">
        <v>1815</v>
      </c>
      <c r="M300" s="21" t="s">
        <v>2619</v>
      </c>
      <c r="N300" s="21" t="s">
        <v>2620</v>
      </c>
      <c r="O300" s="48" t="s">
        <v>2621</v>
      </c>
      <c r="P300" s="21" t="s">
        <v>75</v>
      </c>
      <c r="Q300" s="24" t="s">
        <v>65</v>
      </c>
      <c r="R300" s="21" t="s">
        <v>2622</v>
      </c>
      <c r="S300" s="21" t="s">
        <v>51</v>
      </c>
      <c r="T300" s="21" t="s">
        <v>77</v>
      </c>
      <c r="U300" s="21" t="s">
        <v>2623</v>
      </c>
      <c r="V300" s="21" t="s">
        <v>2619</v>
      </c>
      <c r="W300" s="45">
        <v>45902.0</v>
      </c>
      <c r="X300" s="49">
        <v>0.35625</v>
      </c>
      <c r="Y300" s="45">
        <v>45902.0</v>
      </c>
      <c r="Z300" s="49">
        <v>0.44027777777777777</v>
      </c>
      <c r="AA300" s="49">
        <v>0.44930555555555557</v>
      </c>
      <c r="AB300" s="25">
        <v>0.4513888888888889</v>
      </c>
      <c r="AC300" s="25">
        <v>0.5479166666666667</v>
      </c>
      <c r="AD300" s="25">
        <v>0.5951388888888889</v>
      </c>
      <c r="AE300" s="45">
        <v>45902.0</v>
      </c>
      <c r="AF300" s="21" t="s">
        <v>53</v>
      </c>
      <c r="AG300" s="21" t="s">
        <v>293</v>
      </c>
      <c r="AH300" s="21" t="s">
        <v>2624</v>
      </c>
      <c r="AI300" s="62">
        <f t="shared" si="15"/>
        <v>0.1423611111</v>
      </c>
      <c r="AJ300" s="27">
        <f t="shared" si="9"/>
        <v>0</v>
      </c>
      <c r="AK300" s="63" t="str">
        <f t="shared" si="10"/>
        <v>Pass</v>
      </c>
    </row>
    <row r="301">
      <c r="A301" s="45">
        <v>45902.0</v>
      </c>
      <c r="B301" s="49">
        <v>0.4236111111111111</v>
      </c>
      <c r="C301" s="45">
        <v>45902.0</v>
      </c>
      <c r="D301" s="49">
        <v>0.425</v>
      </c>
      <c r="E301" s="21" t="s">
        <v>2625</v>
      </c>
      <c r="F301" s="21" t="s">
        <v>1996</v>
      </c>
      <c r="G301" s="21" t="s">
        <v>1997</v>
      </c>
      <c r="H301" s="21" t="s">
        <v>566</v>
      </c>
      <c r="I301" s="21" t="s">
        <v>867</v>
      </c>
      <c r="J301" s="21" t="s">
        <v>2626</v>
      </c>
      <c r="K301" s="21" t="s">
        <v>635</v>
      </c>
      <c r="L301" s="21" t="s">
        <v>579</v>
      </c>
      <c r="M301" s="21" t="s">
        <v>579</v>
      </c>
      <c r="N301" s="21" t="s">
        <v>2627</v>
      </c>
      <c r="O301" s="48" t="s">
        <v>2628</v>
      </c>
      <c r="P301" s="21" t="s">
        <v>48</v>
      </c>
      <c r="Q301" s="24" t="s">
        <v>65</v>
      </c>
      <c r="R301" s="21" t="s">
        <v>2629</v>
      </c>
      <c r="S301" s="21" t="s">
        <v>51</v>
      </c>
      <c r="T301" s="21" t="s">
        <v>52</v>
      </c>
      <c r="U301" s="21" t="s">
        <v>52</v>
      </c>
      <c r="V301" s="21" t="s">
        <v>52</v>
      </c>
      <c r="W301" s="45">
        <v>45902.0</v>
      </c>
      <c r="X301" s="49">
        <v>0.425</v>
      </c>
      <c r="Y301" s="45">
        <v>45902.0</v>
      </c>
      <c r="Z301" s="49">
        <v>0.46875</v>
      </c>
      <c r="AA301" s="49">
        <v>0.4722222222222222</v>
      </c>
      <c r="AB301" s="25">
        <v>0.5</v>
      </c>
      <c r="AC301" s="25">
        <v>0.5208333333333334</v>
      </c>
      <c r="AD301" s="25">
        <v>0.5243055555555556</v>
      </c>
      <c r="AE301" s="45">
        <v>45902.0</v>
      </c>
      <c r="AF301" s="21" t="s">
        <v>53</v>
      </c>
      <c r="AG301" s="21" t="s">
        <v>54</v>
      </c>
      <c r="AH301" s="21" t="s">
        <v>2630</v>
      </c>
      <c r="AI301" s="62">
        <f t="shared" si="15"/>
        <v>0.07847222222</v>
      </c>
      <c r="AJ301" s="27">
        <f t="shared" si="9"/>
        <v>0</v>
      </c>
      <c r="AK301" s="63" t="str">
        <f t="shared" si="10"/>
        <v>Pass</v>
      </c>
    </row>
    <row r="302">
      <c r="A302" s="18">
        <v>45902.0</v>
      </c>
      <c r="B302" s="20">
        <v>0.45555555555555555</v>
      </c>
      <c r="C302" s="18">
        <v>45902.0</v>
      </c>
      <c r="D302" s="20">
        <v>0.4576388888888889</v>
      </c>
      <c r="E302" s="22" t="s">
        <v>2631</v>
      </c>
      <c r="F302" s="22" t="s">
        <v>493</v>
      </c>
      <c r="G302" s="22" t="s">
        <v>2632</v>
      </c>
      <c r="H302" s="22" t="s">
        <v>746</v>
      </c>
      <c r="I302" s="22" t="s">
        <v>1162</v>
      </c>
      <c r="J302" s="22" t="s">
        <v>1136</v>
      </c>
      <c r="K302" s="22" t="s">
        <v>61</v>
      </c>
      <c r="L302" s="22" t="s">
        <v>757</v>
      </c>
      <c r="M302" s="22" t="s">
        <v>2633</v>
      </c>
      <c r="N302" s="22" t="s">
        <v>2634</v>
      </c>
      <c r="O302" s="23" t="s">
        <v>2635</v>
      </c>
      <c r="P302" s="22" t="s">
        <v>75</v>
      </c>
      <c r="Q302" s="50" t="s">
        <v>65</v>
      </c>
      <c r="R302" s="22" t="s">
        <v>2636</v>
      </c>
      <c r="S302" s="22" t="s">
        <v>51</v>
      </c>
      <c r="T302" s="22" t="s">
        <v>2637</v>
      </c>
      <c r="U302" s="22" t="s">
        <v>2638</v>
      </c>
      <c r="V302" s="22" t="s">
        <v>2639</v>
      </c>
      <c r="W302" s="18">
        <v>45902.0</v>
      </c>
      <c r="X302" s="20">
        <v>0.4576388888888889</v>
      </c>
      <c r="Y302" s="18">
        <v>45902.0</v>
      </c>
      <c r="Z302" s="20">
        <v>0.5326388888888889</v>
      </c>
      <c r="AA302" s="20">
        <v>0.5347222222222222</v>
      </c>
      <c r="AB302" s="51">
        <v>0.5590277777777778</v>
      </c>
      <c r="AC302" s="51">
        <v>0.6729166666666667</v>
      </c>
      <c r="AD302" s="51">
        <v>0.6840277777777778</v>
      </c>
      <c r="AE302" s="45">
        <v>45902.0</v>
      </c>
      <c r="AF302" s="21" t="s">
        <v>53</v>
      </c>
      <c r="AG302" s="22" t="s">
        <v>102</v>
      </c>
      <c r="AH302" s="22" t="s">
        <v>2640</v>
      </c>
      <c r="AI302" s="26">
        <f t="shared" si="15"/>
        <v>0.1125</v>
      </c>
      <c r="AJ302" s="55">
        <f t="shared" si="9"/>
        <v>0</v>
      </c>
      <c r="AK302" s="28" t="str">
        <f t="shared" si="10"/>
        <v>Pass</v>
      </c>
    </row>
    <row r="303">
      <c r="A303" s="18">
        <v>45902.0</v>
      </c>
      <c r="B303" s="20">
        <v>0.5</v>
      </c>
      <c r="C303" s="18">
        <v>45902.0</v>
      </c>
      <c r="D303" s="20">
        <v>0.5013888888888889</v>
      </c>
      <c r="E303" s="22" t="s">
        <v>2641</v>
      </c>
      <c r="F303" s="22" t="s">
        <v>2642</v>
      </c>
      <c r="G303" s="22" t="s">
        <v>2643</v>
      </c>
      <c r="H303" s="22" t="s">
        <v>566</v>
      </c>
      <c r="I303" s="22" t="s">
        <v>567</v>
      </c>
      <c r="J303" s="22" t="s">
        <v>567</v>
      </c>
      <c r="K303" s="22" t="s">
        <v>568</v>
      </c>
      <c r="L303" s="22" t="s">
        <v>2644</v>
      </c>
      <c r="M303" s="22" t="s">
        <v>2645</v>
      </c>
      <c r="N303" s="22" t="s">
        <v>2646</v>
      </c>
      <c r="O303" s="23" t="s">
        <v>2647</v>
      </c>
      <c r="P303" s="22" t="s">
        <v>48</v>
      </c>
      <c r="Q303" s="50" t="s">
        <v>65</v>
      </c>
      <c r="R303" s="22" t="s">
        <v>2648</v>
      </c>
      <c r="S303" s="22" t="s">
        <v>51</v>
      </c>
      <c r="T303" s="22" t="s">
        <v>52</v>
      </c>
      <c r="U303" s="22" t="s">
        <v>52</v>
      </c>
      <c r="V303" s="22" t="s">
        <v>52</v>
      </c>
      <c r="W303" s="18">
        <v>45902.0</v>
      </c>
      <c r="X303" s="20">
        <v>0.5013888888888889</v>
      </c>
      <c r="Y303" s="18">
        <v>45902.0</v>
      </c>
      <c r="Z303" s="20">
        <v>0.6041666666666666</v>
      </c>
      <c r="AA303" s="20">
        <v>0.6076388888888888</v>
      </c>
      <c r="AB303" s="51">
        <v>0.6180555555555556</v>
      </c>
      <c r="AC303" s="51">
        <v>0.6319444444444444</v>
      </c>
      <c r="AD303" s="51">
        <v>0.6493055555555556</v>
      </c>
      <c r="AE303" s="18">
        <v>45902.0</v>
      </c>
      <c r="AF303" s="22" t="s">
        <v>53</v>
      </c>
      <c r="AG303" s="22" t="s">
        <v>54</v>
      </c>
      <c r="AH303" s="22" t="s">
        <v>2649</v>
      </c>
      <c r="AI303" s="26">
        <f t="shared" si="15"/>
        <v>0.1340277778</v>
      </c>
      <c r="AJ303" s="55">
        <f t="shared" si="9"/>
        <v>0</v>
      </c>
      <c r="AK303" s="28" t="str">
        <f t="shared" si="10"/>
        <v>Pass</v>
      </c>
    </row>
    <row r="304">
      <c r="A304" s="18">
        <v>45902.0</v>
      </c>
      <c r="B304" s="20">
        <v>0.5319444444444444</v>
      </c>
      <c r="C304" s="18">
        <v>45902.0</v>
      </c>
      <c r="D304" s="20">
        <v>0.5347222222222222</v>
      </c>
      <c r="E304" s="22" t="s">
        <v>2650</v>
      </c>
      <c r="F304" s="22" t="s">
        <v>473</v>
      </c>
      <c r="G304" s="22" t="s">
        <v>474</v>
      </c>
      <c r="H304" s="22" t="s">
        <v>746</v>
      </c>
      <c r="I304" s="22" t="s">
        <v>2651</v>
      </c>
      <c r="J304" s="22" t="s">
        <v>1136</v>
      </c>
      <c r="K304" s="22" t="s">
        <v>43</v>
      </c>
      <c r="L304" s="22" t="s">
        <v>1666</v>
      </c>
      <c r="M304" s="22">
        <v>2.01910180457E11</v>
      </c>
      <c r="N304" s="22" t="s">
        <v>2652</v>
      </c>
      <c r="O304" s="23" t="s">
        <v>2653</v>
      </c>
      <c r="P304" s="22" t="s">
        <v>75</v>
      </c>
      <c r="Q304" s="50" t="s">
        <v>49</v>
      </c>
      <c r="R304" s="22" t="s">
        <v>2654</v>
      </c>
      <c r="S304" s="22" t="s">
        <v>51</v>
      </c>
      <c r="T304" s="22" t="s">
        <v>2655</v>
      </c>
      <c r="U304" s="22">
        <v>2.02407290333E11</v>
      </c>
      <c r="V304" s="22">
        <v>2.01910180457E11</v>
      </c>
      <c r="W304" s="18">
        <v>45902.0</v>
      </c>
      <c r="X304" s="20">
        <v>0.5347222222222222</v>
      </c>
      <c r="Y304" s="18">
        <v>45902.0</v>
      </c>
      <c r="Z304" s="20">
        <v>0.6256944444444444</v>
      </c>
      <c r="AA304" s="20">
        <v>0.7222222222222222</v>
      </c>
      <c r="AB304" s="51">
        <v>0.6256944444444444</v>
      </c>
      <c r="AC304" s="51">
        <v>0.7083333333333334</v>
      </c>
      <c r="AD304" s="51">
        <v>0.7583333333333333</v>
      </c>
      <c r="AE304" s="18">
        <v>45902.0</v>
      </c>
      <c r="AF304" s="22" t="s">
        <v>53</v>
      </c>
      <c r="AG304" s="22" t="s">
        <v>89</v>
      </c>
      <c r="AH304" s="22" t="s">
        <v>2656</v>
      </c>
      <c r="AI304" s="26">
        <f t="shared" si="15"/>
        <v>0.1409722222</v>
      </c>
      <c r="AJ304" s="55">
        <f t="shared" si="9"/>
        <v>0</v>
      </c>
      <c r="AK304" s="28" t="str">
        <f t="shared" si="10"/>
        <v>Pass</v>
      </c>
    </row>
    <row r="305">
      <c r="A305" s="18">
        <v>45902.0</v>
      </c>
      <c r="B305" s="20">
        <v>0.5756944444444444</v>
      </c>
      <c r="C305" s="18">
        <v>45902.0</v>
      </c>
      <c r="D305" s="20">
        <v>0.5770833333333333</v>
      </c>
      <c r="E305" s="22" t="s">
        <v>2657</v>
      </c>
      <c r="F305" s="22" t="s">
        <v>259</v>
      </c>
      <c r="G305" s="22" t="s">
        <v>260</v>
      </c>
      <c r="H305" s="22" t="s">
        <v>244</v>
      </c>
      <c r="I305" s="22" t="s">
        <v>991</v>
      </c>
      <c r="J305" s="22" t="s">
        <v>42</v>
      </c>
      <c r="K305" s="22" t="s">
        <v>386</v>
      </c>
      <c r="L305" s="22">
        <v>1.011373199E9</v>
      </c>
      <c r="M305" s="22" t="s">
        <v>2658</v>
      </c>
      <c r="N305" s="22" t="s">
        <v>2659</v>
      </c>
      <c r="O305" s="23" t="s">
        <v>2660</v>
      </c>
      <c r="P305" s="22" t="s">
        <v>48</v>
      </c>
      <c r="Q305" s="50" t="s">
        <v>49</v>
      </c>
      <c r="R305" s="22" t="s">
        <v>2661</v>
      </c>
      <c r="S305" s="22" t="s">
        <v>51</v>
      </c>
      <c r="T305" s="22" t="s">
        <v>52</v>
      </c>
      <c r="U305" s="22" t="s">
        <v>52</v>
      </c>
      <c r="V305" s="22" t="s">
        <v>52</v>
      </c>
      <c r="W305" s="18">
        <v>45902.0</v>
      </c>
      <c r="X305" s="20">
        <v>0.5770833333333333</v>
      </c>
      <c r="Y305" s="18">
        <v>45902.0</v>
      </c>
      <c r="Z305" s="20">
        <v>0.625</v>
      </c>
      <c r="AA305" s="20">
        <v>0.6458333333333334</v>
      </c>
      <c r="AB305" s="54"/>
      <c r="AC305" s="54"/>
      <c r="AD305" s="51">
        <v>0.7083333333333334</v>
      </c>
      <c r="AE305" s="18">
        <v>45902.0</v>
      </c>
      <c r="AF305" s="22" t="s">
        <v>53</v>
      </c>
      <c r="AG305" s="22" t="s">
        <v>78</v>
      </c>
      <c r="AH305" s="22" t="s">
        <v>2662</v>
      </c>
      <c r="AI305" s="26">
        <f t="shared" si="15"/>
        <v>0.13125</v>
      </c>
      <c r="AJ305" s="55">
        <f t="shared" si="9"/>
        <v>0</v>
      </c>
      <c r="AK305" s="28" t="str">
        <f t="shared" si="10"/>
        <v>Pass</v>
      </c>
    </row>
    <row r="306">
      <c r="A306" s="18">
        <v>45902.0</v>
      </c>
      <c r="B306" s="20">
        <v>0.6277777777777778</v>
      </c>
      <c r="C306" s="18">
        <v>45902.0</v>
      </c>
      <c r="D306" s="20">
        <v>0.6333333333333333</v>
      </c>
      <c r="E306" s="22" t="s">
        <v>1522</v>
      </c>
      <c r="F306" s="22" t="s">
        <v>842</v>
      </c>
      <c r="G306" s="22" t="s">
        <v>843</v>
      </c>
      <c r="H306" s="22" t="s">
        <v>156</v>
      </c>
      <c r="I306" s="22" t="s">
        <v>131</v>
      </c>
      <c r="J306" s="22" t="s">
        <v>132</v>
      </c>
      <c r="K306" s="22" t="s">
        <v>43</v>
      </c>
      <c r="L306" s="22" t="s">
        <v>2663</v>
      </c>
      <c r="M306" s="22" t="s">
        <v>1121</v>
      </c>
      <c r="N306" s="22" t="s">
        <v>2664</v>
      </c>
      <c r="O306" s="23" t="s">
        <v>2665</v>
      </c>
      <c r="P306" s="22" t="s">
        <v>75</v>
      </c>
      <c r="Q306" s="50" t="s">
        <v>65</v>
      </c>
      <c r="R306" s="22" t="s">
        <v>2666</v>
      </c>
      <c r="S306" s="22" t="s">
        <v>51</v>
      </c>
      <c r="T306" s="22" t="s">
        <v>52</v>
      </c>
      <c r="U306" s="22" t="s">
        <v>52</v>
      </c>
      <c r="V306" s="22" t="s">
        <v>52</v>
      </c>
      <c r="W306" s="18">
        <v>45902.0</v>
      </c>
      <c r="X306" s="20">
        <v>0.6333333333333333</v>
      </c>
      <c r="Y306" s="18">
        <v>45902.0</v>
      </c>
      <c r="Z306" s="20">
        <v>0.7090277777777778</v>
      </c>
      <c r="AA306" s="20">
        <v>0.7118055555555556</v>
      </c>
      <c r="AB306" s="54"/>
      <c r="AC306" s="54"/>
      <c r="AD306" s="51">
        <v>0.7291666666666666</v>
      </c>
      <c r="AE306" s="18">
        <v>45902.0</v>
      </c>
      <c r="AF306" s="22" t="s">
        <v>53</v>
      </c>
      <c r="AG306" s="22" t="s">
        <v>848</v>
      </c>
      <c r="AH306" s="22" t="s">
        <v>2667</v>
      </c>
      <c r="AI306" s="26">
        <f t="shared" si="15"/>
        <v>0.09583333333</v>
      </c>
      <c r="AJ306" s="55">
        <f t="shared" si="9"/>
        <v>0</v>
      </c>
      <c r="AK306" s="28" t="str">
        <f t="shared" si="10"/>
        <v>Pass</v>
      </c>
    </row>
    <row r="307">
      <c r="A307" s="18">
        <v>45899.0</v>
      </c>
      <c r="B307" s="20">
        <v>0.48055555555555557</v>
      </c>
      <c r="C307" s="18">
        <v>45899.0</v>
      </c>
      <c r="D307" s="20">
        <v>0.48819444444444443</v>
      </c>
      <c r="E307" s="22" t="s">
        <v>2557</v>
      </c>
      <c r="F307" s="22" t="s">
        <v>2558</v>
      </c>
      <c r="G307" s="22" t="s">
        <v>2559</v>
      </c>
      <c r="H307" s="22" t="s">
        <v>130</v>
      </c>
      <c r="I307" s="22" t="s">
        <v>60</v>
      </c>
      <c r="J307" s="22" t="s">
        <v>42</v>
      </c>
      <c r="K307" s="22" t="s">
        <v>61</v>
      </c>
      <c r="L307" s="22" t="s">
        <v>2560</v>
      </c>
      <c r="M307" s="22" t="s">
        <v>2561</v>
      </c>
      <c r="N307" s="22" t="s">
        <v>2562</v>
      </c>
      <c r="O307" s="23" t="s">
        <v>2668</v>
      </c>
      <c r="P307" s="22" t="s">
        <v>75</v>
      </c>
      <c r="Q307" s="50" t="s">
        <v>65</v>
      </c>
      <c r="R307" s="22" t="s">
        <v>2669</v>
      </c>
      <c r="S307" s="22" t="s">
        <v>51</v>
      </c>
      <c r="T307" s="22" t="s">
        <v>2670</v>
      </c>
      <c r="U307" s="22" t="s">
        <v>52</v>
      </c>
      <c r="V307" s="22" t="s">
        <v>52</v>
      </c>
      <c r="W307" s="18">
        <v>45902.0</v>
      </c>
      <c r="X307" s="20">
        <v>0.375</v>
      </c>
      <c r="Y307" s="18">
        <v>45902.0</v>
      </c>
      <c r="Z307" s="20">
        <v>0.49444444444444446</v>
      </c>
      <c r="AA307" s="20">
        <v>0.4965277777777778</v>
      </c>
      <c r="AB307" s="54"/>
      <c r="AC307" s="54"/>
      <c r="AD307" s="51">
        <v>0.5770833333333333</v>
      </c>
      <c r="AE307" s="18">
        <v>45902.0</v>
      </c>
      <c r="AF307" s="22" t="s">
        <v>53</v>
      </c>
      <c r="AG307" s="22" t="s">
        <v>2565</v>
      </c>
      <c r="AH307" s="22" t="s">
        <v>2671</v>
      </c>
      <c r="AI307" s="26" t="str">
        <f>IFERROR(__xludf.DUMMYFUNCTION("IF(OR(W307="""",X307="""",AE307="""",AD307=""""),"""",
   TEXT(
     (
       (AE307+AD307 + IF(AE307+AD307 &lt; W307+X307,1,0)) - (W307+X307)
     )
     - IF(AND(AB307&lt;&gt;"""",AC307&lt;&gt;""""), 
          SUM(ARRAYFORMULA(SPLIT(AC307,"","") - SPLIT(AB307,"",""))"&amp;"), 
          0
       ),
     ""[hh]:mm""
   )
)
"),"04:51")</f>
        <v>04:51</v>
      </c>
      <c r="AJ307" s="55">
        <f t="shared" si="9"/>
        <v>0</v>
      </c>
      <c r="AK307" s="28" t="str">
        <f t="shared" si="10"/>
        <v>Pass</v>
      </c>
    </row>
    <row r="308">
      <c r="A308" s="18">
        <v>45898.0</v>
      </c>
      <c r="B308" s="20">
        <v>0.6451388888888889</v>
      </c>
      <c r="C308" s="18">
        <v>45898.0</v>
      </c>
      <c r="D308" s="20">
        <v>0.6631944444444444</v>
      </c>
      <c r="E308" s="22" t="s">
        <v>2672</v>
      </c>
      <c r="F308" s="22" t="s">
        <v>1391</v>
      </c>
      <c r="G308" s="22" t="s">
        <v>2673</v>
      </c>
      <c r="H308" s="22" t="s">
        <v>566</v>
      </c>
      <c r="I308" s="22" t="s">
        <v>95</v>
      </c>
      <c r="J308" s="22" t="s">
        <v>95</v>
      </c>
      <c r="K308" s="22" t="s">
        <v>333</v>
      </c>
      <c r="L308" s="22" t="s">
        <v>2674</v>
      </c>
      <c r="M308" s="22" t="s">
        <v>2675</v>
      </c>
      <c r="N308" s="22" t="s">
        <v>2676</v>
      </c>
      <c r="O308" s="23" t="s">
        <v>2677</v>
      </c>
      <c r="P308" s="22" t="s">
        <v>48</v>
      </c>
      <c r="Q308" s="50" t="s">
        <v>49</v>
      </c>
      <c r="R308" s="22" t="s">
        <v>2678</v>
      </c>
      <c r="S308" s="22" t="s">
        <v>51</v>
      </c>
      <c r="T308" s="22" t="s">
        <v>52</v>
      </c>
      <c r="U308" s="22" t="s">
        <v>52</v>
      </c>
      <c r="V308" s="22" t="s">
        <v>52</v>
      </c>
      <c r="W308" s="18">
        <v>45902.0</v>
      </c>
      <c r="X308" s="20">
        <v>0.9583333333333334</v>
      </c>
      <c r="Y308" s="18">
        <v>45902.0</v>
      </c>
      <c r="Z308" s="20">
        <v>0.9375</v>
      </c>
      <c r="AA308" s="20">
        <v>0.9791666666666666</v>
      </c>
      <c r="AB308" s="77">
        <v>0.9375</v>
      </c>
      <c r="AC308" s="51">
        <v>0.9791666666666666</v>
      </c>
      <c r="AD308" s="51">
        <v>0.0625</v>
      </c>
      <c r="AE308" s="18">
        <v>45902.0</v>
      </c>
      <c r="AF308" s="22" t="s">
        <v>53</v>
      </c>
      <c r="AG308" s="22" t="s">
        <v>2679</v>
      </c>
      <c r="AH308" s="22" t="s">
        <v>2680</v>
      </c>
      <c r="AI308" s="62" t="str">
        <f>IFERROR(__xludf.DUMMYFUNCTION("IF(OR(W308="""",X308="""",AE308="""",AD308=""""),"""",
   TEXT(
     (
       (AE308+AD308 + IF(AE308+AD308 &lt; W308+X308,1,0)) - (W308+X308)
     )
     - IF(AND(AB308&lt;&gt;"""",AC308&lt;&gt;""""), 
          SUM(ARRAYFORMULA(SPLIT(AC308,"","") - SPLIT(AB308,"",""))"&amp;"), 
          0
       ),
     ""[hh]:mm""
   )
)
"),"01:30")</f>
        <v>01:30</v>
      </c>
      <c r="AJ308" s="27">
        <f t="shared" si="9"/>
        <v>0</v>
      </c>
      <c r="AK308" s="63" t="str">
        <f t="shared" si="10"/>
        <v>Pass</v>
      </c>
    </row>
    <row r="309">
      <c r="A309" s="45">
        <v>45903.0</v>
      </c>
      <c r="B309" s="49">
        <v>0.45902777777777776</v>
      </c>
      <c r="C309" s="45">
        <v>45903.0</v>
      </c>
      <c r="D309" s="49">
        <v>0.4618055555555556</v>
      </c>
      <c r="E309" s="21" t="s">
        <v>2681</v>
      </c>
      <c r="F309" s="21" t="s">
        <v>1996</v>
      </c>
      <c r="G309" s="21" t="s">
        <v>1997</v>
      </c>
      <c r="H309" s="21" t="s">
        <v>566</v>
      </c>
      <c r="I309" s="21" t="s">
        <v>856</v>
      </c>
      <c r="J309" s="21" t="s">
        <v>1084</v>
      </c>
      <c r="K309" s="21" t="s">
        <v>2682</v>
      </c>
      <c r="L309" s="21" t="s">
        <v>2486</v>
      </c>
      <c r="M309" s="21">
        <v>8.67719050019709E14</v>
      </c>
      <c r="N309" s="21" t="s">
        <v>2683</v>
      </c>
      <c r="O309" s="48" t="s">
        <v>2684</v>
      </c>
      <c r="P309" s="21" t="s">
        <v>75</v>
      </c>
      <c r="Q309" s="24" t="s">
        <v>65</v>
      </c>
      <c r="R309" s="21" t="s">
        <v>2685</v>
      </c>
      <c r="S309" s="21" t="s">
        <v>51</v>
      </c>
      <c r="T309" s="21" t="s">
        <v>52</v>
      </c>
      <c r="U309" s="21" t="s">
        <v>52</v>
      </c>
      <c r="V309" s="21" t="s">
        <v>52</v>
      </c>
      <c r="W309" s="45">
        <v>45903.0</v>
      </c>
      <c r="X309" s="49">
        <v>0.4618055555555556</v>
      </c>
      <c r="Y309" s="45">
        <v>45903.0</v>
      </c>
      <c r="Z309" s="49">
        <v>0.04027777777777778</v>
      </c>
      <c r="AA309" s="49">
        <v>0.5590277777777778</v>
      </c>
      <c r="AB309" s="29"/>
      <c r="AC309" s="29"/>
      <c r="AD309" s="25">
        <v>0.6666666666666666</v>
      </c>
      <c r="AE309" s="45">
        <v>45903.0</v>
      </c>
      <c r="AF309" s="21" t="s">
        <v>53</v>
      </c>
      <c r="AG309" s="21" t="s">
        <v>151</v>
      </c>
      <c r="AH309" s="21" t="s">
        <v>2686</v>
      </c>
      <c r="AI309" s="62" t="str">
        <f>IFERROR(__xludf.DUMMYFUNCTION("IF(OR(W309="""",X309="""",AE309="""",AD309=""""),"""",
   TEXT(
     (
       (AE309+AD309 + IF(AE309+AD309 &lt; W309+X309,1,0)) - (W309+X309)
     )
     - IF(AND(AB309&lt;&gt;"""",AC309&lt;&gt;""""), 
          SUM(ARRAYFORMULA(SPLIT(AC309,"","") - SPLIT(AB309,"",""))"&amp;"), 
          0
       ),
     ""[hh]:mm""
   )
)
"),"04:55")</f>
        <v>04:55</v>
      </c>
      <c r="AJ309" s="27">
        <f t="shared" si="9"/>
        <v>0</v>
      </c>
      <c r="AK309" s="63" t="str">
        <f t="shared" si="10"/>
        <v>Pass</v>
      </c>
    </row>
    <row r="310">
      <c r="A310" s="18">
        <v>45902.0</v>
      </c>
      <c r="B310" s="20">
        <v>0.9583333333333334</v>
      </c>
      <c r="C310" s="18">
        <v>45902.0</v>
      </c>
      <c r="D310" s="20">
        <v>0.9583333333333334</v>
      </c>
      <c r="E310" s="22" t="s">
        <v>2687</v>
      </c>
      <c r="F310" s="22" t="s">
        <v>1127</v>
      </c>
      <c r="G310" s="22" t="s">
        <v>2610</v>
      </c>
      <c r="H310" s="22" t="s">
        <v>419</v>
      </c>
      <c r="I310" s="22" t="s">
        <v>2112</v>
      </c>
      <c r="J310" s="22" t="s">
        <v>1084</v>
      </c>
      <c r="K310" s="22" t="s">
        <v>2688</v>
      </c>
      <c r="L310" s="22" t="s">
        <v>2689</v>
      </c>
      <c r="M310" s="22" t="s">
        <v>2690</v>
      </c>
      <c r="N310" s="22" t="s">
        <v>2691</v>
      </c>
      <c r="O310" s="23" t="s">
        <v>2692</v>
      </c>
      <c r="P310" s="22" t="s">
        <v>48</v>
      </c>
      <c r="Q310" s="50" t="s">
        <v>49</v>
      </c>
      <c r="R310" s="22" t="s">
        <v>2693</v>
      </c>
      <c r="S310" s="22" t="s">
        <v>51</v>
      </c>
      <c r="T310" s="22" t="s">
        <v>52</v>
      </c>
      <c r="U310" s="22" t="s">
        <v>52</v>
      </c>
      <c r="V310" s="22" t="s">
        <v>52</v>
      </c>
      <c r="W310" s="18">
        <v>45903.0</v>
      </c>
      <c r="X310" s="20">
        <v>0.5</v>
      </c>
      <c r="Y310" s="18">
        <v>45903.0</v>
      </c>
      <c r="Z310" s="75">
        <v>0.475</v>
      </c>
      <c r="AA310" s="20">
        <v>0.5</v>
      </c>
      <c r="AB310" s="51">
        <v>0.4756944444444444</v>
      </c>
      <c r="AC310" s="51">
        <v>0.5</v>
      </c>
      <c r="AD310" s="51">
        <v>0.5486111111111112</v>
      </c>
      <c r="AE310" s="18">
        <v>45903.0</v>
      </c>
      <c r="AF310" s="22" t="s">
        <v>53</v>
      </c>
      <c r="AG310" s="22" t="s">
        <v>284</v>
      </c>
      <c r="AH310" s="22" t="s">
        <v>2694</v>
      </c>
      <c r="AI310" s="26" t="str">
        <f>IFERROR(__xludf.DUMMYFUNCTION("IF(OR(W310="""",X310="""",AE310="""",AD310=""""),"""",
   TEXT(
     (
       (AE310+AD310 + IF(AE310+AD310 &lt; W310+X310,1,0)) - (W310+X310)
     )
     - IF(AND(AB310&lt;&gt;"""",AC310&lt;&gt;""""), 
          SUM(ARRAYFORMULA(SPLIT(AC310,"","") - SPLIT(AB310,"",""))"&amp;"), 
          0
       ),
     ""[hh]:mm""
   )
)
"),"00:35")</f>
        <v>00:35</v>
      </c>
      <c r="AJ310" s="55">
        <f t="shared" si="9"/>
        <v>0</v>
      </c>
      <c r="AK310" s="28" t="str">
        <f t="shared" si="10"/>
        <v>Pass</v>
      </c>
    </row>
    <row r="311">
      <c r="A311" s="45">
        <v>45903.0</v>
      </c>
      <c r="B311" s="49">
        <v>0.6104166666666667</v>
      </c>
      <c r="C311" s="45">
        <v>45903.0</v>
      </c>
      <c r="D311" s="49">
        <v>0.6131944444444445</v>
      </c>
      <c r="E311" s="21" t="s">
        <v>2695</v>
      </c>
      <c r="F311" s="21" t="s">
        <v>259</v>
      </c>
      <c r="G311" s="21" t="s">
        <v>260</v>
      </c>
      <c r="H311" s="21" t="s">
        <v>566</v>
      </c>
      <c r="I311" s="21" t="s">
        <v>95</v>
      </c>
      <c r="J311" s="21" t="s">
        <v>2626</v>
      </c>
      <c r="K311" s="21" t="s">
        <v>52</v>
      </c>
      <c r="L311" s="21" t="s">
        <v>52</v>
      </c>
      <c r="M311" s="21" t="s">
        <v>52</v>
      </c>
      <c r="N311" s="21" t="s">
        <v>2696</v>
      </c>
      <c r="O311" s="48" t="s">
        <v>2697</v>
      </c>
      <c r="P311" s="21" t="s">
        <v>48</v>
      </c>
      <c r="Q311" s="24" t="s">
        <v>65</v>
      </c>
      <c r="R311" s="21" t="s">
        <v>2698</v>
      </c>
      <c r="S311" s="21" t="s">
        <v>51</v>
      </c>
      <c r="T311" s="21" t="s">
        <v>52</v>
      </c>
      <c r="U311" s="21" t="s">
        <v>52</v>
      </c>
      <c r="V311" s="21" t="s">
        <v>52</v>
      </c>
      <c r="W311" s="45">
        <v>45904.0</v>
      </c>
      <c r="X311" s="49">
        <v>0.2916666666666667</v>
      </c>
      <c r="Y311" s="45">
        <v>45904.0</v>
      </c>
      <c r="Z311" s="49">
        <v>0.35625</v>
      </c>
      <c r="AA311" s="49">
        <v>0.35625</v>
      </c>
      <c r="AB311" s="29"/>
      <c r="AC311" s="29"/>
      <c r="AD311" s="25">
        <v>0.7118055555555556</v>
      </c>
      <c r="AE311" s="45">
        <v>45904.0</v>
      </c>
      <c r="AF311" s="21" t="s">
        <v>53</v>
      </c>
      <c r="AG311" s="21" t="s">
        <v>2699</v>
      </c>
      <c r="AH311" s="21" t="s">
        <v>2700</v>
      </c>
      <c r="AI311" s="62" t="str">
        <f>IFERROR(__xludf.DUMMYFUNCTION("IF(OR(W311="""",X311="""",AE311="""",AD311=""""),"""",
   TEXT(
     (
       (AE311+AD311 + IF(AE311+AD311 &lt; W311+X311,1,0)) - (W311+X311)
     )
     - IF(AND(AB311&lt;&gt;"""",AC311&lt;&gt;""""), 
          SUM(ARRAYFORMULA(SPLIT(AC311,"","") - SPLIT(AB311,"",""))"&amp;"), 
          0
       ),
     ""[hh]:mm""
   )
)
"),"10:05")</f>
        <v>10:05</v>
      </c>
      <c r="AJ311" s="27">
        <f t="shared" si="9"/>
        <v>0</v>
      </c>
      <c r="AK311" s="63" t="str">
        <f t="shared" si="10"/>
        <v>Pass</v>
      </c>
    </row>
    <row r="312">
      <c r="A312" s="45">
        <v>45903.0</v>
      </c>
      <c r="B312" s="49">
        <v>0.9784722222222222</v>
      </c>
      <c r="C312" s="45">
        <v>45904.0</v>
      </c>
      <c r="D312" s="80">
        <v>0.30069444444444443</v>
      </c>
      <c r="E312" s="21" t="s">
        <v>2701</v>
      </c>
      <c r="F312" s="21" t="s">
        <v>2702</v>
      </c>
      <c r="G312" s="21" t="s">
        <v>2703</v>
      </c>
      <c r="H312" s="21" t="s">
        <v>318</v>
      </c>
      <c r="I312" s="21" t="s">
        <v>234</v>
      </c>
      <c r="J312" s="21" t="s">
        <v>42</v>
      </c>
      <c r="K312" s="21" t="s">
        <v>1557</v>
      </c>
      <c r="L312" s="21" t="s">
        <v>2704</v>
      </c>
      <c r="M312" s="21" t="s">
        <v>2705</v>
      </c>
      <c r="N312" s="21" t="s">
        <v>2706</v>
      </c>
      <c r="O312" s="48" t="s">
        <v>2707</v>
      </c>
      <c r="P312" s="21" t="s">
        <v>75</v>
      </c>
      <c r="Q312" s="24" t="s">
        <v>65</v>
      </c>
      <c r="R312" s="21" t="s">
        <v>2708</v>
      </c>
      <c r="S312" s="21" t="s">
        <v>51</v>
      </c>
      <c r="T312" s="21" t="s">
        <v>52</v>
      </c>
      <c r="U312" s="21" t="s">
        <v>52</v>
      </c>
      <c r="V312" s="21" t="s">
        <v>52</v>
      </c>
      <c r="W312" s="45">
        <v>45904.0</v>
      </c>
      <c r="X312" s="49">
        <v>0.30069444444444443</v>
      </c>
      <c r="Y312" s="45">
        <v>45904.0</v>
      </c>
      <c r="Z312" s="49">
        <v>0.4375</v>
      </c>
      <c r="AA312" s="49">
        <v>0.4409722222222222</v>
      </c>
      <c r="AB312" s="24" t="s">
        <v>2709</v>
      </c>
      <c r="AC312" s="24" t="s">
        <v>2710</v>
      </c>
      <c r="AD312" s="25">
        <v>0.7708333333333334</v>
      </c>
      <c r="AE312" s="45">
        <v>45904.0</v>
      </c>
      <c r="AF312" s="21" t="s">
        <v>2711</v>
      </c>
      <c r="AG312" s="21" t="s">
        <v>293</v>
      </c>
      <c r="AH312" s="21" t="s">
        <v>2712</v>
      </c>
      <c r="AI312" s="62" t="str">
        <f>IFERROR(__xludf.DUMMYFUNCTION("IF(OR(W312="""",X312="""",AE312="""",AD312=""""),"""",
   TEXT(
     (
       (AE312+AD312 + IF(AE312+AD312 &lt; W312+X312,1,0)) - (W312+X312)
     )
     - IF(AND(AB312&lt;&gt;"""",AC312&lt;&gt;""""), 
          SUM(ARRAYFORMULA(SPLIT(AC312,"","") - SPLIT(AB312,"",""))"&amp;"), 
          0
       ),
     ""[hh]:mm""
   )
)
"),"07:17")</f>
        <v>07:17</v>
      </c>
      <c r="AJ312" s="27">
        <f t="shared" si="9"/>
        <v>0</v>
      </c>
      <c r="AK312" s="63" t="str">
        <f t="shared" si="10"/>
        <v>Pass</v>
      </c>
    </row>
    <row r="313">
      <c r="A313" s="45">
        <v>45903.0</v>
      </c>
      <c r="B313" s="49">
        <v>0.36875</v>
      </c>
      <c r="C313" s="45">
        <v>45903.0</v>
      </c>
      <c r="D313" s="49">
        <v>0.3798611111111111</v>
      </c>
      <c r="E313" s="21" t="s">
        <v>2713</v>
      </c>
      <c r="F313" s="21" t="s">
        <v>259</v>
      </c>
      <c r="G313" s="21" t="s">
        <v>260</v>
      </c>
      <c r="H313" s="21" t="s">
        <v>156</v>
      </c>
      <c r="I313" s="21" t="s">
        <v>616</v>
      </c>
      <c r="J313" s="21" t="s">
        <v>132</v>
      </c>
      <c r="K313" s="21" t="s">
        <v>43</v>
      </c>
      <c r="L313" s="21" t="s">
        <v>2714</v>
      </c>
      <c r="M313" s="21" t="s">
        <v>2715</v>
      </c>
      <c r="N313" s="21" t="s">
        <v>2716</v>
      </c>
      <c r="O313" s="48" t="s">
        <v>2717</v>
      </c>
      <c r="P313" s="21" t="s">
        <v>75</v>
      </c>
      <c r="Q313" s="24" t="s">
        <v>65</v>
      </c>
      <c r="R313" s="21" t="s">
        <v>2718</v>
      </c>
      <c r="S313" s="21" t="s">
        <v>51</v>
      </c>
      <c r="T313" s="21" t="s">
        <v>52</v>
      </c>
      <c r="U313" s="21" t="s">
        <v>52</v>
      </c>
      <c r="V313" s="21" t="s">
        <v>52</v>
      </c>
      <c r="W313" s="45">
        <v>45904.0</v>
      </c>
      <c r="X313" s="49">
        <v>0.3486111111111111</v>
      </c>
      <c r="Y313" s="45">
        <v>45904.0</v>
      </c>
      <c r="Z313" s="49">
        <v>0.35625</v>
      </c>
      <c r="AA313" s="49">
        <v>0.35625</v>
      </c>
      <c r="AB313" s="29"/>
      <c r="AC313" s="29"/>
      <c r="AD313" s="25">
        <v>0.36180555555555555</v>
      </c>
      <c r="AE313" s="45">
        <v>45904.0</v>
      </c>
      <c r="AF313" s="21" t="s">
        <v>2719</v>
      </c>
      <c r="AG313" s="21" t="s">
        <v>2699</v>
      </c>
      <c r="AH313" s="21" t="s">
        <v>2700</v>
      </c>
      <c r="AI313" s="62" t="str">
        <f>IFERROR(__xludf.DUMMYFUNCTION("IF(OR(W313="""",X313="""",AE313="""",AD313=""""),"""",
   TEXT(
     (
       (AE313+AD313 + IF(AE313+AD313 &lt; W313+X313,1,0)) - (W313+X313)
     )
     - IF(AND(AB313&lt;&gt;"""",AC313&lt;&gt;""""), 
          SUM(ARRAYFORMULA(SPLIT(AC313,"","") - SPLIT(AB313,"",""))"&amp;"), 
          0
       ),
     ""[hh]:mm""
   )
)
"),"00:19")</f>
        <v>00:19</v>
      </c>
      <c r="AJ313" s="27">
        <f t="shared" si="9"/>
        <v>0</v>
      </c>
      <c r="AK313" s="63" t="str">
        <f t="shared" si="10"/>
        <v>Pass</v>
      </c>
    </row>
    <row r="314">
      <c r="A314" s="45">
        <v>45904.0</v>
      </c>
      <c r="B314" s="49">
        <v>0.41597222222222224</v>
      </c>
      <c r="C314" s="45">
        <v>45904.0</v>
      </c>
      <c r="D314" s="49">
        <v>0.4173611111111111</v>
      </c>
      <c r="E314" s="21" t="s">
        <v>2720</v>
      </c>
      <c r="F314" s="21" t="s">
        <v>710</v>
      </c>
      <c r="G314" s="21" t="s">
        <v>711</v>
      </c>
      <c r="H314" s="21" t="s">
        <v>566</v>
      </c>
      <c r="I314" s="21" t="s">
        <v>1326</v>
      </c>
      <c r="J314" s="21" t="s">
        <v>768</v>
      </c>
      <c r="K314" s="21" t="s">
        <v>2058</v>
      </c>
      <c r="L314" s="21" t="s">
        <v>768</v>
      </c>
      <c r="M314" s="21" t="s">
        <v>2721</v>
      </c>
      <c r="N314" s="21" t="s">
        <v>2722</v>
      </c>
      <c r="O314" s="48" t="s">
        <v>2723</v>
      </c>
      <c r="P314" s="21" t="s">
        <v>48</v>
      </c>
      <c r="Q314" s="24" t="s">
        <v>65</v>
      </c>
      <c r="R314" s="21" t="s">
        <v>2724</v>
      </c>
      <c r="S314" s="21" t="s">
        <v>51</v>
      </c>
      <c r="T314" s="21" t="s">
        <v>52</v>
      </c>
      <c r="U314" s="21" t="s">
        <v>52</v>
      </c>
      <c r="V314" s="21" t="s">
        <v>52</v>
      </c>
      <c r="W314" s="45">
        <v>45904.0</v>
      </c>
      <c r="X314" s="49">
        <v>0.4173611111111111</v>
      </c>
      <c r="Y314" s="45">
        <v>45904.0</v>
      </c>
      <c r="Z314" s="49">
        <v>0.5833333333333334</v>
      </c>
      <c r="AA314" s="49">
        <v>0.5902777777777778</v>
      </c>
      <c r="AB314" s="29"/>
      <c r="AC314" s="29"/>
      <c r="AD314" s="25">
        <v>0.6111111111111112</v>
      </c>
      <c r="AE314" s="45">
        <v>45904.0</v>
      </c>
      <c r="AF314" s="21" t="s">
        <v>2719</v>
      </c>
      <c r="AG314" s="21" t="s">
        <v>54</v>
      </c>
      <c r="AH314" s="21" t="s">
        <v>2725</v>
      </c>
      <c r="AI314" s="62" t="str">
        <f>IFERROR(__xludf.DUMMYFUNCTION("IF(OR(W314="""",X314="""",AE314="""",AD314=""""),"""",
   TEXT(
     (
       (AE314+AD314 + IF(AE314+AD314 &lt; W314+X314,1,0)) - (W314+X314)
     )
     - IF(AND(AB314&lt;&gt;"""",AC314&lt;&gt;""""), 
          SUM(ARRAYFORMULA(SPLIT(AC314,"","") - SPLIT(AB314,"",""))"&amp;"), 
          0
       ),
     ""[hh]:mm""
   )
)
"),"04:39")</f>
        <v>04:39</v>
      </c>
      <c r="AJ314" s="27">
        <f t="shared" si="9"/>
        <v>0</v>
      </c>
      <c r="AK314" s="63" t="str">
        <f t="shared" si="10"/>
        <v>Pass</v>
      </c>
    </row>
    <row r="315">
      <c r="A315" s="45">
        <v>45904.0</v>
      </c>
      <c r="B315" s="49">
        <v>0.5555555555555556</v>
      </c>
      <c r="C315" s="45">
        <v>45904.0</v>
      </c>
      <c r="D315" s="49">
        <v>0.5569444444444445</v>
      </c>
      <c r="E315" s="21" t="s">
        <v>2726</v>
      </c>
      <c r="F315" s="21" t="s">
        <v>2011</v>
      </c>
      <c r="G315" s="21" t="s">
        <v>2012</v>
      </c>
      <c r="H315" s="21" t="s">
        <v>1468</v>
      </c>
      <c r="I315" s="21" t="s">
        <v>856</v>
      </c>
      <c r="J315" s="21" t="s">
        <v>1084</v>
      </c>
      <c r="K315" s="21" t="s">
        <v>1998</v>
      </c>
      <c r="L315" s="47"/>
      <c r="M315" s="47"/>
      <c r="N315" s="21" t="s">
        <v>2727</v>
      </c>
      <c r="O315" s="48" t="s">
        <v>2728</v>
      </c>
      <c r="P315" s="21" t="s">
        <v>48</v>
      </c>
      <c r="Q315" s="24" t="s">
        <v>65</v>
      </c>
      <c r="R315" s="21" t="s">
        <v>2729</v>
      </c>
      <c r="S315" s="21" t="s">
        <v>51</v>
      </c>
      <c r="T315" s="21" t="s">
        <v>52</v>
      </c>
      <c r="U315" s="21" t="s">
        <v>52</v>
      </c>
      <c r="V315" s="21" t="s">
        <v>52</v>
      </c>
      <c r="W315" s="45">
        <v>45905.0</v>
      </c>
      <c r="X315" s="49">
        <v>0.2916666666666667</v>
      </c>
      <c r="Y315" s="45">
        <v>45905.0</v>
      </c>
      <c r="Z315" s="49">
        <v>0.2881944444444444</v>
      </c>
      <c r="AA315" s="49">
        <v>0.28958333333333336</v>
      </c>
      <c r="AB315" s="25">
        <v>0.28958333333333336</v>
      </c>
      <c r="AC315" s="25">
        <v>0.4326388888888889</v>
      </c>
      <c r="AD315" s="25">
        <v>0.44513888888888886</v>
      </c>
      <c r="AE315" s="45">
        <v>45905.0</v>
      </c>
      <c r="AF315" s="21" t="s">
        <v>2730</v>
      </c>
      <c r="AG315" s="21" t="s">
        <v>2731</v>
      </c>
      <c r="AH315" s="21" t="s">
        <v>2732</v>
      </c>
      <c r="AI315" s="62" t="str">
        <f>IFERROR(__xludf.DUMMYFUNCTION("IF(OR(W315="""",X315="""",AE315="""",AD315=""""),"""",
   TEXT(
     (
       (AE315+AD315 + IF(AE315+AD315 &lt; W315+X315,1,0)) - (W315+X315)
     )
     - IF(AND(AB315&lt;&gt;"""",AC315&lt;&gt;""""), 
          SUM(ARRAYFORMULA(SPLIT(AC315,"","") - SPLIT(AB315,"",""))"&amp;"), 
          0
       ),
     ""[hh]:mm""
   )
)
"),"00:15")</f>
        <v>00:15</v>
      </c>
      <c r="AJ315" s="27">
        <f t="shared" si="9"/>
        <v>0</v>
      </c>
      <c r="AK315" s="63" t="str">
        <f t="shared" si="10"/>
        <v>Pass</v>
      </c>
    </row>
    <row r="316">
      <c r="A316" s="45">
        <v>45905.0</v>
      </c>
      <c r="B316" s="49">
        <v>0.42986111111111114</v>
      </c>
      <c r="C316" s="45">
        <v>45905.0</v>
      </c>
      <c r="D316" s="49">
        <v>0.43333333333333335</v>
      </c>
      <c r="E316" s="21" t="s">
        <v>2733</v>
      </c>
      <c r="F316" s="21" t="s">
        <v>1903</v>
      </c>
      <c r="G316" s="21" t="s">
        <v>1904</v>
      </c>
      <c r="H316" s="21" t="s">
        <v>156</v>
      </c>
      <c r="I316" s="21" t="s">
        <v>616</v>
      </c>
      <c r="J316" s="21" t="s">
        <v>132</v>
      </c>
      <c r="K316" s="21" t="s">
        <v>43</v>
      </c>
      <c r="L316" s="21" t="s">
        <v>805</v>
      </c>
      <c r="M316" s="21" t="s">
        <v>2734</v>
      </c>
      <c r="N316" s="21" t="s">
        <v>2735</v>
      </c>
      <c r="O316" s="48" t="s">
        <v>2736</v>
      </c>
      <c r="P316" s="21" t="s">
        <v>75</v>
      </c>
      <c r="Q316" s="24" t="s">
        <v>65</v>
      </c>
      <c r="R316" s="21" t="s">
        <v>2737</v>
      </c>
      <c r="S316" s="21" t="s">
        <v>51</v>
      </c>
      <c r="T316" s="21" t="s">
        <v>52</v>
      </c>
      <c r="U316" s="21" t="s">
        <v>52</v>
      </c>
      <c r="V316" s="21" t="s">
        <v>52</v>
      </c>
      <c r="W316" s="45">
        <v>45905.0</v>
      </c>
      <c r="X316" s="49">
        <v>0.43333333333333335</v>
      </c>
      <c r="Y316" s="45">
        <v>45905.0</v>
      </c>
      <c r="Z316" s="49">
        <v>0.5868055555555556</v>
      </c>
      <c r="AA316" s="49">
        <v>0.5888888888888889</v>
      </c>
      <c r="AB316" s="29"/>
      <c r="AC316" s="29"/>
      <c r="AD316" s="25">
        <v>0.6875</v>
      </c>
      <c r="AE316" s="45">
        <v>45905.0</v>
      </c>
      <c r="AF316" s="21" t="s">
        <v>2738</v>
      </c>
      <c r="AG316" s="21" t="s">
        <v>1482</v>
      </c>
      <c r="AH316" s="21" t="s">
        <v>2739</v>
      </c>
      <c r="AI316" s="62" t="str">
        <f>IFERROR(__xludf.DUMMYFUNCTION("IF(OR(W316="""",X316="""",AE316="""",AD316=""""),"""",
   TEXT(
     (
       (AE316+AD316 + IF(AE316+AD316 &lt; W316+X316,1,0)) - (W316+X316)
     )
     - IF(AND(AB316&lt;&gt;"""",AC316&lt;&gt;""""), 
          SUM(ARRAYFORMULA(SPLIT(AC316,"","") - SPLIT(AB316,"",""))"&amp;"), 
          0
       ),
     ""[hh]:mm""
   )
)
"),"06:06")</f>
        <v>06:06</v>
      </c>
      <c r="AJ316" s="27">
        <f t="shared" si="9"/>
        <v>0</v>
      </c>
      <c r="AK316" s="63" t="str">
        <f t="shared" si="10"/>
        <v>Pass</v>
      </c>
    </row>
    <row r="317">
      <c r="A317" s="45">
        <v>45905.0</v>
      </c>
      <c r="B317" s="49">
        <v>0.47847222222222224</v>
      </c>
      <c r="C317" s="45">
        <v>45905.0</v>
      </c>
      <c r="D317" s="49">
        <v>0.48194444444444445</v>
      </c>
      <c r="E317" s="21" t="s">
        <v>2740</v>
      </c>
      <c r="F317" s="21" t="s">
        <v>2399</v>
      </c>
      <c r="G317" s="21" t="s">
        <v>2400</v>
      </c>
      <c r="H317" s="21" t="s">
        <v>377</v>
      </c>
      <c r="I317" s="21" t="s">
        <v>95</v>
      </c>
      <c r="J317" s="21" t="s">
        <v>95</v>
      </c>
      <c r="K317" s="21" t="s">
        <v>333</v>
      </c>
      <c r="L317" s="21" t="s">
        <v>95</v>
      </c>
      <c r="M317" s="21" t="s">
        <v>2401</v>
      </c>
      <c r="N317" s="21" t="s">
        <v>2741</v>
      </c>
      <c r="O317" s="48" t="s">
        <v>2742</v>
      </c>
      <c r="P317" s="21" t="s">
        <v>75</v>
      </c>
      <c r="Q317" s="24" t="s">
        <v>65</v>
      </c>
      <c r="R317" s="21" t="s">
        <v>2743</v>
      </c>
      <c r="S317" s="21" t="s">
        <v>51</v>
      </c>
      <c r="T317" s="21" t="s">
        <v>52</v>
      </c>
      <c r="U317" s="21" t="s">
        <v>52</v>
      </c>
      <c r="V317" s="21" t="s">
        <v>52</v>
      </c>
      <c r="W317" s="45">
        <v>45905.0</v>
      </c>
      <c r="X317" s="49">
        <v>0.48194444444444445</v>
      </c>
      <c r="Y317" s="45">
        <v>45905.0</v>
      </c>
      <c r="Z317" s="49">
        <v>0.5763888888888888</v>
      </c>
      <c r="AA317" s="49">
        <v>0.6041666666666666</v>
      </c>
      <c r="AB317" s="25">
        <v>0.5763888888888888</v>
      </c>
      <c r="AC317" s="25">
        <v>0.6041666666666666</v>
      </c>
      <c r="AD317" s="25">
        <v>0.6875</v>
      </c>
      <c r="AE317" s="45">
        <v>45905.0</v>
      </c>
      <c r="AF317" s="21" t="s">
        <v>2744</v>
      </c>
      <c r="AG317" s="21" t="s">
        <v>2320</v>
      </c>
      <c r="AH317" s="21" t="s">
        <v>2745</v>
      </c>
      <c r="AI317" s="62" t="str">
        <f>IFERROR(__xludf.DUMMYFUNCTION("IF(OR(W317="""",X317="""",AE317="""",AD317=""""),"""",
   TEXT(
     (
       (AE317+AD317 + IF(AE317+AD317 &lt; W317+X317,1,0)) - (W317+X317)
     )
     - IF(AND(AB317&lt;&gt;"""",AC317&lt;&gt;""""), 
          SUM(ARRAYFORMULA(SPLIT(AC317,"","") - SPLIT(AB317,"",""))"&amp;"), 
          0
       ),
     ""[hh]:mm""
   )
)
"),"04:16")</f>
        <v>04:16</v>
      </c>
      <c r="AJ317" s="27">
        <f t="shared" si="9"/>
        <v>0</v>
      </c>
      <c r="AK317" s="63" t="str">
        <f t="shared" si="10"/>
        <v>Pass</v>
      </c>
    </row>
    <row r="318">
      <c r="A318" s="45">
        <v>45905.0</v>
      </c>
      <c r="B318" s="49">
        <v>0.5243055555555556</v>
      </c>
      <c r="C318" s="45">
        <v>45905.0</v>
      </c>
      <c r="D318" s="49">
        <v>0.5256944444444445</v>
      </c>
      <c r="E318" s="21" t="s">
        <v>2746</v>
      </c>
      <c r="F318" s="21" t="s">
        <v>2747</v>
      </c>
      <c r="G318" s="21" t="s">
        <v>2748</v>
      </c>
      <c r="H318" s="21" t="s">
        <v>566</v>
      </c>
      <c r="I318" s="21" t="s">
        <v>928</v>
      </c>
      <c r="J318" s="21" t="s">
        <v>928</v>
      </c>
      <c r="K318" s="21" t="s">
        <v>2749</v>
      </c>
      <c r="L318" s="21" t="s">
        <v>2750</v>
      </c>
      <c r="M318" s="21" t="s">
        <v>2751</v>
      </c>
      <c r="N318" s="21" t="s">
        <v>2752</v>
      </c>
      <c r="O318" s="48" t="s">
        <v>2753</v>
      </c>
      <c r="P318" s="21" t="s">
        <v>48</v>
      </c>
      <c r="Q318" s="24" t="s">
        <v>198</v>
      </c>
      <c r="R318" s="21" t="s">
        <v>2754</v>
      </c>
      <c r="S318" s="21" t="s">
        <v>51</v>
      </c>
      <c r="T318" s="21" t="s">
        <v>52</v>
      </c>
      <c r="U318" s="21" t="s">
        <v>52</v>
      </c>
      <c r="V318" s="21" t="s">
        <v>52</v>
      </c>
      <c r="W318" s="45">
        <v>45905.0</v>
      </c>
      <c r="X318" s="49">
        <v>0.5256944444444445</v>
      </c>
      <c r="Y318" s="45">
        <v>45905.0</v>
      </c>
      <c r="Z318" s="49">
        <v>0.5833333333333334</v>
      </c>
      <c r="AA318" s="49">
        <v>0.5902777777777778</v>
      </c>
      <c r="AB318" s="29"/>
      <c r="AC318" s="29"/>
      <c r="AD318" s="25">
        <v>0.7180555555555556</v>
      </c>
      <c r="AE318" s="45">
        <v>45905.0</v>
      </c>
      <c r="AF318" s="21" t="s">
        <v>53</v>
      </c>
      <c r="AG318" s="21" t="s">
        <v>293</v>
      </c>
      <c r="AH318" s="21" t="s">
        <v>2755</v>
      </c>
      <c r="AI318" s="62" t="str">
        <f>IFERROR(__xludf.DUMMYFUNCTION("IF(OR(W318="""",X318="""",AE318="""",AD318=""""),"""",
   TEXT(
     (
       (AE318+AD318 + IF(AE318+AD318 &lt; W318+X318,1,0)) - (W318+X318)
     )
     - IF(AND(AB318&lt;&gt;"""",AC318&lt;&gt;""""), 
          SUM(ARRAYFORMULA(SPLIT(AC318,"","") - SPLIT(AB318,"",""))"&amp;"), 
          0
       ),
     ""[hh]:mm""
   )
)
"),"04:37")</f>
        <v>04:37</v>
      </c>
      <c r="AJ318" s="27">
        <f t="shared" si="9"/>
        <v>0</v>
      </c>
      <c r="AK318" s="63" t="str">
        <f t="shared" si="10"/>
        <v>Pass</v>
      </c>
    </row>
    <row r="319">
      <c r="A319" s="45">
        <v>45905.0</v>
      </c>
      <c r="B319" s="49">
        <v>0.6180555555555556</v>
      </c>
      <c r="C319" s="45">
        <v>45905.0</v>
      </c>
      <c r="D319" s="49">
        <v>0.6479166666666667</v>
      </c>
      <c r="E319" s="21" t="s">
        <v>2756</v>
      </c>
      <c r="F319" s="21" t="s">
        <v>1241</v>
      </c>
      <c r="G319" s="21" t="s">
        <v>1242</v>
      </c>
      <c r="H319" s="21" t="s">
        <v>566</v>
      </c>
      <c r="I319" s="21" t="s">
        <v>299</v>
      </c>
      <c r="J319" s="21" t="s">
        <v>299</v>
      </c>
      <c r="K319" s="21" t="s">
        <v>2757</v>
      </c>
      <c r="L319" s="21" t="s">
        <v>2758</v>
      </c>
      <c r="M319" s="21" t="s">
        <v>2759</v>
      </c>
      <c r="N319" s="21" t="s">
        <v>2760</v>
      </c>
      <c r="O319" s="48" t="s">
        <v>2761</v>
      </c>
      <c r="P319" s="21" t="s">
        <v>48</v>
      </c>
      <c r="Q319" s="24" t="s">
        <v>49</v>
      </c>
      <c r="R319" s="21" t="s">
        <v>2762</v>
      </c>
      <c r="S319" s="21" t="s">
        <v>51</v>
      </c>
      <c r="T319" s="21" t="s">
        <v>52</v>
      </c>
      <c r="U319" s="21" t="s">
        <v>52</v>
      </c>
      <c r="V319" s="21" t="s">
        <v>52</v>
      </c>
      <c r="W319" s="45">
        <v>45905.0</v>
      </c>
      <c r="X319" s="49">
        <v>0.6479166666666667</v>
      </c>
      <c r="Y319" s="45">
        <v>45905.0</v>
      </c>
      <c r="Z319" s="49">
        <v>0.5666666666666667</v>
      </c>
      <c r="AA319" s="49">
        <v>0.6875</v>
      </c>
      <c r="AB319" s="29"/>
      <c r="AC319" s="29"/>
      <c r="AD319" s="25">
        <v>0.7847222222222222</v>
      </c>
      <c r="AE319" s="45">
        <v>45905.0</v>
      </c>
      <c r="AF319" s="21" t="s">
        <v>2719</v>
      </c>
      <c r="AG319" s="21" t="s">
        <v>583</v>
      </c>
      <c r="AH319" s="21" t="s">
        <v>2763</v>
      </c>
      <c r="AI319" s="62" t="str">
        <f>IFERROR(__xludf.DUMMYFUNCTION("IF(OR(W319="""",X319="""",AE319="""",AD319=""""),"""",
   TEXT(
     (
       (AE319+AD319 + IF(AE319+AD319 &lt; W319+X319,1,0)) - (W319+X319)
     )
     - IF(AND(AB319&lt;&gt;"""",AC319&lt;&gt;""""), 
          SUM(ARRAYFORMULA(SPLIT(AC319,"","") - SPLIT(AB319,"",""))"&amp;"), 
          0
       ),
     ""[hh]:mm""
   )
)
"),"03:17")</f>
        <v>03:17</v>
      </c>
      <c r="AJ319" s="27">
        <f t="shared" si="9"/>
        <v>0</v>
      </c>
      <c r="AK319" s="63" t="str">
        <f t="shared" si="10"/>
        <v>Pass</v>
      </c>
    </row>
    <row r="320">
      <c r="A320" s="45">
        <v>45905.0</v>
      </c>
      <c r="B320" s="49">
        <v>0.6173611111111111</v>
      </c>
      <c r="C320" s="45">
        <v>45905.0</v>
      </c>
      <c r="D320" s="49">
        <v>0.6479166666666667</v>
      </c>
      <c r="E320" s="21" t="s">
        <v>2764</v>
      </c>
      <c r="F320" s="21" t="s">
        <v>1241</v>
      </c>
      <c r="G320" s="21" t="s">
        <v>1242</v>
      </c>
      <c r="H320" s="21" t="s">
        <v>566</v>
      </c>
      <c r="I320" s="21" t="s">
        <v>1153</v>
      </c>
      <c r="J320" s="21" t="s">
        <v>1056</v>
      </c>
      <c r="K320" s="21" t="s">
        <v>1263</v>
      </c>
      <c r="L320" s="21" t="s">
        <v>636</v>
      </c>
      <c r="M320" s="21" t="s">
        <v>2765</v>
      </c>
      <c r="N320" s="21" t="s">
        <v>2766</v>
      </c>
      <c r="O320" s="48" t="s">
        <v>2767</v>
      </c>
      <c r="P320" s="21" t="s">
        <v>48</v>
      </c>
      <c r="Q320" s="24" t="s">
        <v>49</v>
      </c>
      <c r="R320" s="21" t="s">
        <v>2768</v>
      </c>
      <c r="S320" s="21" t="s">
        <v>51</v>
      </c>
      <c r="T320" s="21" t="s">
        <v>52</v>
      </c>
      <c r="U320" s="21" t="s">
        <v>52</v>
      </c>
      <c r="V320" s="21" t="s">
        <v>52</v>
      </c>
      <c r="W320" s="45">
        <v>45905.0</v>
      </c>
      <c r="X320" s="49">
        <v>0.6479166666666667</v>
      </c>
      <c r="Y320" s="45">
        <v>45905.0</v>
      </c>
      <c r="Z320" s="49">
        <v>0.5666666666666667</v>
      </c>
      <c r="AA320" s="49">
        <v>0.5972222222222222</v>
      </c>
      <c r="AB320" s="29"/>
      <c r="AC320" s="29"/>
      <c r="AD320" s="25">
        <v>0.6597222222222222</v>
      </c>
      <c r="AE320" s="45">
        <v>45905.0</v>
      </c>
      <c r="AF320" s="21" t="s">
        <v>2719</v>
      </c>
      <c r="AG320" s="21" t="s">
        <v>583</v>
      </c>
      <c r="AH320" s="21" t="s">
        <v>2763</v>
      </c>
      <c r="AI320" s="62" t="str">
        <f>IFERROR(__xludf.DUMMYFUNCTION("IF(OR(W320="""",X320="""",AE320="""",AD320=""""),"""",
   TEXT(
     (
       (AE320+AD320 + IF(AE320+AD320 &lt; W320+X320,1,0)) - (W320+X320)
     )
     - IF(AND(AB320&lt;&gt;"""",AC320&lt;&gt;""""), 
          SUM(ARRAYFORMULA(SPLIT(AC320,"","") - SPLIT(AB320,"",""))"&amp;"), 
          0
       ),
     ""[hh]:mm""
   )
)
"),"00:17")</f>
        <v>00:17</v>
      </c>
      <c r="AJ320" s="27">
        <f t="shared" si="9"/>
        <v>0</v>
      </c>
      <c r="AK320" s="63" t="str">
        <f t="shared" si="10"/>
        <v>Pass</v>
      </c>
    </row>
    <row r="321">
      <c r="A321" s="45">
        <v>45905.0</v>
      </c>
      <c r="B321" s="49">
        <v>0.61875</v>
      </c>
      <c r="C321" s="45">
        <v>45905.0</v>
      </c>
      <c r="D321" s="49">
        <v>0.6479166666666667</v>
      </c>
      <c r="E321" s="21" t="s">
        <v>2769</v>
      </c>
      <c r="F321" s="21" t="s">
        <v>1241</v>
      </c>
      <c r="G321" s="21" t="s">
        <v>1242</v>
      </c>
      <c r="H321" s="21" t="s">
        <v>566</v>
      </c>
      <c r="I321" s="21" t="s">
        <v>234</v>
      </c>
      <c r="J321" s="21" t="s">
        <v>42</v>
      </c>
      <c r="K321" s="21" t="s">
        <v>2757</v>
      </c>
      <c r="L321" s="21" t="s">
        <v>44</v>
      </c>
      <c r="M321" s="21" t="s">
        <v>2770</v>
      </c>
      <c r="N321" s="21" t="s">
        <v>2771</v>
      </c>
      <c r="O321" s="48" t="s">
        <v>2772</v>
      </c>
      <c r="P321" s="21" t="s">
        <v>48</v>
      </c>
      <c r="Q321" s="24" t="s">
        <v>49</v>
      </c>
      <c r="R321" s="21" t="s">
        <v>2773</v>
      </c>
      <c r="S321" s="21" t="s">
        <v>51</v>
      </c>
      <c r="T321" s="21" t="s">
        <v>52</v>
      </c>
      <c r="U321" s="21" t="s">
        <v>52</v>
      </c>
      <c r="V321" s="21" t="s">
        <v>52</v>
      </c>
      <c r="W321" s="45">
        <v>45905.0</v>
      </c>
      <c r="X321" s="49">
        <v>0.6479166666666667</v>
      </c>
      <c r="Y321" s="45">
        <v>45905.0</v>
      </c>
      <c r="Z321" s="49">
        <v>0.5666666666666667</v>
      </c>
      <c r="AA321" s="49">
        <v>0.5972222222222222</v>
      </c>
      <c r="AB321" s="29"/>
      <c r="AC321" s="29"/>
      <c r="AD321" s="25">
        <v>0.6597222222222222</v>
      </c>
      <c r="AE321" s="45">
        <v>45905.0</v>
      </c>
      <c r="AF321" s="21" t="s">
        <v>2719</v>
      </c>
      <c r="AG321" s="21" t="s">
        <v>583</v>
      </c>
      <c r="AH321" s="21" t="s">
        <v>2763</v>
      </c>
      <c r="AI321" s="62" t="str">
        <f>IFERROR(__xludf.DUMMYFUNCTION("IF(OR(W321="""",X321="""",AE321="""",AD321=""""),"""",
   TEXT(
     (
       (AE321+AD321 + IF(AE321+AD321 &lt; W321+X321,1,0)) - (W321+X321)
     )
     - IF(AND(AB321&lt;&gt;"""",AC321&lt;&gt;""""), 
          SUM(ARRAYFORMULA(SPLIT(AC321,"","") - SPLIT(AB321,"",""))"&amp;"), 
          0
       ),
     ""[hh]:mm""
   )
)
"),"00:17")</f>
        <v>00:17</v>
      </c>
      <c r="AJ321" s="27">
        <f t="shared" si="9"/>
        <v>0</v>
      </c>
      <c r="AK321" s="63" t="str">
        <f t="shared" si="10"/>
        <v>Pass</v>
      </c>
    </row>
    <row r="322">
      <c r="A322" s="45">
        <v>45905.0</v>
      </c>
      <c r="B322" s="49">
        <v>0.6402777777777777</v>
      </c>
      <c r="C322" s="45">
        <v>45905.0</v>
      </c>
      <c r="D322" s="49">
        <v>0.6479166666666667</v>
      </c>
      <c r="E322" s="21" t="s">
        <v>2774</v>
      </c>
      <c r="F322" s="21" t="s">
        <v>1241</v>
      </c>
      <c r="G322" s="21" t="s">
        <v>1242</v>
      </c>
      <c r="H322" s="21" t="s">
        <v>244</v>
      </c>
      <c r="I322" s="21" t="s">
        <v>836</v>
      </c>
      <c r="J322" s="21" t="s">
        <v>1056</v>
      </c>
      <c r="K322" s="21" t="s">
        <v>1263</v>
      </c>
      <c r="L322" s="21" t="s">
        <v>2775</v>
      </c>
      <c r="M322" s="21" t="s">
        <v>2776</v>
      </c>
      <c r="N322" s="21" t="s">
        <v>2777</v>
      </c>
      <c r="O322" s="48" t="s">
        <v>2778</v>
      </c>
      <c r="P322" s="21" t="s">
        <v>48</v>
      </c>
      <c r="Q322" s="24" t="s">
        <v>49</v>
      </c>
      <c r="R322" s="21" t="s">
        <v>2779</v>
      </c>
      <c r="S322" s="21" t="s">
        <v>51</v>
      </c>
      <c r="T322" s="21" t="s">
        <v>52</v>
      </c>
      <c r="U322" s="21" t="s">
        <v>52</v>
      </c>
      <c r="V322" s="21" t="s">
        <v>52</v>
      </c>
      <c r="W322" s="45">
        <v>45905.0</v>
      </c>
      <c r="X322" s="49">
        <v>0.5666666666666667</v>
      </c>
      <c r="Y322" s="45">
        <v>45905.0</v>
      </c>
      <c r="Z322" s="49">
        <v>0.5666666666666667</v>
      </c>
      <c r="AA322" s="49">
        <v>0.5729166666666666</v>
      </c>
      <c r="AB322" s="29"/>
      <c r="AC322" s="29"/>
      <c r="AD322" s="25">
        <v>0.5902777777777778</v>
      </c>
      <c r="AE322" s="45">
        <v>45905.0</v>
      </c>
      <c r="AF322" s="21" t="s">
        <v>2719</v>
      </c>
      <c r="AG322" s="21" t="s">
        <v>583</v>
      </c>
      <c r="AH322" s="21" t="s">
        <v>2763</v>
      </c>
      <c r="AI322" s="62" t="str">
        <f>IFERROR(__xludf.DUMMYFUNCTION("IF(OR(W322="""",X322="""",AE322="""",AD322=""""),"""",
   TEXT(
     (
       (AE322+AD322 + IF(AE322+AD322 &lt; W322+X322,1,0)) - (W322+X322)
     )
     - IF(AND(AB322&lt;&gt;"""",AC322&lt;&gt;""""), 
          SUM(ARRAYFORMULA(SPLIT(AC322,"","") - SPLIT(AB322,"",""))"&amp;"), 
          0
       ),
     ""[hh]:mm""
   )
)
"),"00:34")</f>
        <v>00:34</v>
      </c>
      <c r="AJ322" s="27">
        <f t="shared" si="9"/>
        <v>0</v>
      </c>
      <c r="AK322" s="63" t="str">
        <f t="shared" si="10"/>
        <v>Pass</v>
      </c>
    </row>
    <row r="323">
      <c r="A323" s="45">
        <v>45905.0</v>
      </c>
      <c r="B323" s="49">
        <v>0.6479166666666667</v>
      </c>
      <c r="C323" s="45">
        <v>45905.0</v>
      </c>
      <c r="D323" s="49">
        <v>0.6583333333333333</v>
      </c>
      <c r="E323" s="21" t="s">
        <v>2780</v>
      </c>
      <c r="F323" s="21" t="s">
        <v>2781</v>
      </c>
      <c r="G323" s="21" t="s">
        <v>2782</v>
      </c>
      <c r="H323" s="21" t="s">
        <v>566</v>
      </c>
      <c r="I323" s="21" t="s">
        <v>644</v>
      </c>
      <c r="J323" s="21" t="s">
        <v>644</v>
      </c>
      <c r="K323" s="21" t="s">
        <v>1202</v>
      </c>
      <c r="L323" s="21" t="s">
        <v>2783</v>
      </c>
      <c r="M323" s="21" t="s">
        <v>2784</v>
      </c>
      <c r="N323" s="21" t="s">
        <v>2785</v>
      </c>
      <c r="O323" s="48" t="s">
        <v>2786</v>
      </c>
      <c r="P323" s="21" t="s">
        <v>48</v>
      </c>
      <c r="Q323" s="24" t="s">
        <v>65</v>
      </c>
      <c r="R323" s="21" t="s">
        <v>2787</v>
      </c>
      <c r="S323" s="21" t="s">
        <v>51</v>
      </c>
      <c r="T323" s="21" t="s">
        <v>52</v>
      </c>
      <c r="U323" s="21" t="s">
        <v>52</v>
      </c>
      <c r="V323" s="21" t="s">
        <v>52</v>
      </c>
      <c r="W323" s="45">
        <v>45905.0</v>
      </c>
      <c r="X323" s="49">
        <v>0.6583333333333333</v>
      </c>
      <c r="Y323" s="45">
        <v>45905.0</v>
      </c>
      <c r="Z323" s="49">
        <v>0.6944444444444444</v>
      </c>
      <c r="AA323" s="49">
        <v>0.7083333333333334</v>
      </c>
      <c r="AB323" s="29"/>
      <c r="AC323" s="29"/>
      <c r="AD323" s="25">
        <v>0.7291666666666666</v>
      </c>
      <c r="AE323" s="45">
        <v>45905.0</v>
      </c>
      <c r="AF323" s="21" t="s">
        <v>2788</v>
      </c>
      <c r="AG323" s="21" t="s">
        <v>2789</v>
      </c>
      <c r="AH323" s="21" t="s">
        <v>2790</v>
      </c>
      <c r="AI323" s="62" t="str">
        <f>IFERROR(__xludf.DUMMYFUNCTION("IF(OR(W323="""",X323="""",AE323="""",AD323=""""),"""",
   TEXT(
     (
       (AE323+AD323 + IF(AE323+AD323 &lt; W323+X323,1,0)) - (W323+X323)
     )
     - IF(AND(AB323&lt;&gt;"""",AC323&lt;&gt;""""), 
          SUM(ARRAYFORMULA(SPLIT(AC323,"","") - SPLIT(AB323,"",""))"&amp;"), 
          0
       ),
     ""[hh]:mm""
   )
)
"),"01:42")</f>
        <v>01:42</v>
      </c>
      <c r="AJ323" s="27">
        <f t="shared" si="9"/>
        <v>0</v>
      </c>
      <c r="AK323" s="63" t="str">
        <f t="shared" si="10"/>
        <v>Pass</v>
      </c>
    </row>
    <row r="324">
      <c r="A324" s="45">
        <v>45905.0</v>
      </c>
      <c r="B324" s="49">
        <v>0.6479166666666667</v>
      </c>
      <c r="C324" s="45">
        <v>45905.0</v>
      </c>
      <c r="D324" s="49">
        <v>0.6583333333333333</v>
      </c>
      <c r="E324" s="21" t="s">
        <v>2791</v>
      </c>
      <c r="F324" s="21" t="s">
        <v>2781</v>
      </c>
      <c r="G324" s="21" t="s">
        <v>2782</v>
      </c>
      <c r="H324" s="21" t="s">
        <v>566</v>
      </c>
      <c r="I324" s="21" t="s">
        <v>567</v>
      </c>
      <c r="J324" s="21" t="s">
        <v>567</v>
      </c>
      <c r="K324" s="21" t="s">
        <v>702</v>
      </c>
      <c r="L324" s="21" t="s">
        <v>2792</v>
      </c>
      <c r="M324" s="21" t="s">
        <v>2793</v>
      </c>
      <c r="N324" s="21" t="s">
        <v>2794</v>
      </c>
      <c r="O324" s="48" t="s">
        <v>2795</v>
      </c>
      <c r="P324" s="21" t="s">
        <v>75</v>
      </c>
      <c r="Q324" s="24" t="s">
        <v>65</v>
      </c>
      <c r="R324" s="21" t="s">
        <v>1688</v>
      </c>
      <c r="S324" s="21" t="s">
        <v>51</v>
      </c>
      <c r="T324" s="21" t="s">
        <v>52</v>
      </c>
      <c r="U324" s="21" t="s">
        <v>52</v>
      </c>
      <c r="V324" s="21" t="s">
        <v>52</v>
      </c>
      <c r="W324" s="45">
        <v>45905.0</v>
      </c>
      <c r="X324" s="49">
        <v>0.6583333333333333</v>
      </c>
      <c r="Y324" s="45">
        <v>45905.0</v>
      </c>
      <c r="Z324" s="49">
        <v>0.6944444444444444</v>
      </c>
      <c r="AA324" s="49">
        <v>0.7291666666666666</v>
      </c>
      <c r="AB324" s="29"/>
      <c r="AC324" s="29"/>
      <c r="AD324" s="25">
        <v>0.75</v>
      </c>
      <c r="AE324" s="45">
        <v>45905.0</v>
      </c>
      <c r="AF324" s="21" t="s">
        <v>2788</v>
      </c>
      <c r="AG324" s="21" t="s">
        <v>2789</v>
      </c>
      <c r="AH324" s="21" t="s">
        <v>2790</v>
      </c>
      <c r="AI324" s="62" t="str">
        <f>IFERROR(__xludf.DUMMYFUNCTION("IF(OR(W324="""",X324="""",AE324="""",AD324=""""),"""",
   TEXT(
     (
       (AE324+AD324 + IF(AE324+AD324 &lt; W324+X324,1,0)) - (W324+X324)
     )
     - IF(AND(AB324&lt;&gt;"""",AC324&lt;&gt;""""), 
          SUM(ARRAYFORMULA(SPLIT(AC324,"","") - SPLIT(AB324,"",""))"&amp;"), 
          0
       ),
     ""[hh]:mm""
   )
)
"),"02:12")</f>
        <v>02:12</v>
      </c>
      <c r="AJ324" s="27">
        <f t="shared" si="9"/>
        <v>0</v>
      </c>
      <c r="AK324" s="63" t="str">
        <f t="shared" si="10"/>
        <v>Pass</v>
      </c>
    </row>
    <row r="325">
      <c r="A325" s="45">
        <v>45905.0</v>
      </c>
      <c r="B325" s="49">
        <v>0.6763888888888889</v>
      </c>
      <c r="C325" s="45">
        <v>45905.0</v>
      </c>
      <c r="D325" s="49">
        <v>0.6826388888888889</v>
      </c>
      <c r="E325" s="21" t="s">
        <v>2796</v>
      </c>
      <c r="F325" s="21" t="s">
        <v>1241</v>
      </c>
      <c r="G325" s="21" t="s">
        <v>1242</v>
      </c>
      <c r="H325" s="21" t="s">
        <v>130</v>
      </c>
      <c r="I325" s="21" t="s">
        <v>194</v>
      </c>
      <c r="J325" s="21" t="s">
        <v>195</v>
      </c>
      <c r="K325" s="21" t="s">
        <v>2797</v>
      </c>
      <c r="L325" s="21" t="s">
        <v>2798</v>
      </c>
      <c r="M325" s="21" t="s">
        <v>2799</v>
      </c>
      <c r="N325" s="21" t="s">
        <v>2800</v>
      </c>
      <c r="O325" s="48" t="s">
        <v>2801</v>
      </c>
      <c r="P325" s="21" t="s">
        <v>75</v>
      </c>
      <c r="Q325" s="24" t="s">
        <v>65</v>
      </c>
      <c r="R325" s="21" t="s">
        <v>2802</v>
      </c>
      <c r="S325" s="21" t="s">
        <v>51</v>
      </c>
      <c r="T325" s="21" t="s">
        <v>52</v>
      </c>
      <c r="U325" s="21" t="s">
        <v>52</v>
      </c>
      <c r="V325" s="21" t="s">
        <v>52</v>
      </c>
      <c r="W325" s="45">
        <v>45905.0</v>
      </c>
      <c r="X325" s="49">
        <v>0.6826388888888889</v>
      </c>
      <c r="Y325" s="45">
        <v>45905.0</v>
      </c>
      <c r="Z325" s="49">
        <v>0.7847222222222222</v>
      </c>
      <c r="AA325" s="49">
        <v>0.7916666666666666</v>
      </c>
      <c r="AB325" s="29"/>
      <c r="AC325" s="29"/>
      <c r="AD325" s="25">
        <v>0.8229166666666666</v>
      </c>
      <c r="AE325" s="45">
        <v>45905.0</v>
      </c>
      <c r="AF325" s="21" t="s">
        <v>2803</v>
      </c>
      <c r="AG325" s="21" t="s">
        <v>583</v>
      </c>
      <c r="AH325" s="21" t="s">
        <v>2763</v>
      </c>
      <c r="AI325" s="62" t="str">
        <f>IFERROR(__xludf.DUMMYFUNCTION("IF(OR(W325="""",X325="""",AE325="""",AD325=""""),"""",
   TEXT(
     (
       (AE325+AD325 + IF(AE325+AD325 &lt; W325+X325,1,0)) - (W325+X325)
     )
     - IF(AND(AB325&lt;&gt;"""",AC325&lt;&gt;""""), 
          SUM(ARRAYFORMULA(SPLIT(AC325,"","") - SPLIT(AB325,"",""))"&amp;"), 
          0
       ),
     ""[hh]:mm""
   )
)
"),"03:22")</f>
        <v>03:22</v>
      </c>
      <c r="AJ325" s="27">
        <f t="shared" si="9"/>
        <v>0</v>
      </c>
      <c r="AK325" s="63" t="str">
        <f t="shared" si="10"/>
        <v>Pass</v>
      </c>
    </row>
    <row r="326">
      <c r="A326" s="45">
        <v>45905.0</v>
      </c>
      <c r="B326" s="49">
        <v>0.7881944444444444</v>
      </c>
      <c r="C326" s="45">
        <v>45905.0</v>
      </c>
      <c r="D326" s="49">
        <v>0.8034722222222223</v>
      </c>
      <c r="E326" s="21" t="s">
        <v>2804</v>
      </c>
      <c r="F326" s="21" t="s">
        <v>1025</v>
      </c>
      <c r="G326" s="21" t="s">
        <v>1026</v>
      </c>
      <c r="H326" s="21" t="s">
        <v>566</v>
      </c>
      <c r="I326" s="21" t="s">
        <v>2805</v>
      </c>
      <c r="J326" s="21" t="s">
        <v>42</v>
      </c>
      <c r="K326" s="21" t="s">
        <v>333</v>
      </c>
      <c r="L326" s="21" t="s">
        <v>2195</v>
      </c>
      <c r="M326" s="21" t="s">
        <v>2806</v>
      </c>
      <c r="N326" s="21" t="s">
        <v>2807</v>
      </c>
      <c r="O326" s="48" t="s">
        <v>2808</v>
      </c>
      <c r="P326" s="21" t="s">
        <v>48</v>
      </c>
      <c r="Q326" s="24" t="s">
        <v>49</v>
      </c>
      <c r="R326" s="21" t="s">
        <v>2809</v>
      </c>
      <c r="S326" s="21" t="s">
        <v>51</v>
      </c>
      <c r="T326" s="21" t="s">
        <v>52</v>
      </c>
      <c r="U326" s="21" t="s">
        <v>52</v>
      </c>
      <c r="V326" s="21" t="s">
        <v>52</v>
      </c>
      <c r="W326" s="45">
        <v>45905.0</v>
      </c>
      <c r="X326" s="49">
        <v>0.8034722222222223</v>
      </c>
      <c r="Y326" s="45">
        <v>45905.0</v>
      </c>
      <c r="Z326" s="49">
        <v>0.8416666666666667</v>
      </c>
      <c r="AA326" s="49">
        <v>0.84375</v>
      </c>
      <c r="AB326" s="29"/>
      <c r="AC326" s="29"/>
      <c r="AD326" s="25">
        <v>0.9166666666666666</v>
      </c>
      <c r="AE326" s="45">
        <v>45905.0</v>
      </c>
      <c r="AF326" s="21" t="s">
        <v>2788</v>
      </c>
      <c r="AG326" s="21" t="s">
        <v>162</v>
      </c>
      <c r="AH326" s="21" t="s">
        <v>1033</v>
      </c>
      <c r="AI326" s="62" t="str">
        <f>IFERROR(__xludf.DUMMYFUNCTION("IF(OR(W326="""",X326="""",AE326="""",AD326=""""),"""",
   TEXT(
     (
       (AE326+AD326 + IF(AE326+AD326 &lt; W326+X326,1,0)) - (W326+X326)
     )
     - IF(AND(AB326&lt;&gt;"""",AC326&lt;&gt;""""), 
          SUM(ARRAYFORMULA(SPLIT(AC326,"","") - SPLIT(AB326,"",""))"&amp;"), 
          0
       ),
     ""[hh]:mm""
   )
)
"),"02:43")</f>
        <v>02:43</v>
      </c>
      <c r="AJ326" s="27">
        <f t="shared" si="9"/>
        <v>0</v>
      </c>
      <c r="AK326" s="63" t="str">
        <f t="shared" si="10"/>
        <v>Pass</v>
      </c>
    </row>
    <row r="327">
      <c r="A327" s="18">
        <v>45902.0</v>
      </c>
      <c r="B327" s="20">
        <v>0.6451388888888889</v>
      </c>
      <c r="C327" s="18">
        <v>45902.0</v>
      </c>
      <c r="D327" s="20">
        <v>0.6472222222222223</v>
      </c>
      <c r="E327" s="84" t="s">
        <v>641</v>
      </c>
      <c r="F327" s="22" t="s">
        <v>642</v>
      </c>
      <c r="G327" s="22" t="s">
        <v>643</v>
      </c>
      <c r="H327" s="22" t="s">
        <v>566</v>
      </c>
      <c r="I327" s="22" t="s">
        <v>928</v>
      </c>
      <c r="J327" s="22" t="s">
        <v>1394</v>
      </c>
      <c r="K327" s="22" t="s">
        <v>52</v>
      </c>
      <c r="L327" s="22" t="s">
        <v>52</v>
      </c>
      <c r="M327" s="22" t="s">
        <v>52</v>
      </c>
      <c r="N327" s="22" t="s">
        <v>1972</v>
      </c>
      <c r="O327" s="23" t="s">
        <v>2810</v>
      </c>
      <c r="P327" s="22" t="s">
        <v>48</v>
      </c>
      <c r="Q327" s="50" t="s">
        <v>65</v>
      </c>
      <c r="R327" s="22" t="s">
        <v>2811</v>
      </c>
      <c r="S327" s="22" t="s">
        <v>51</v>
      </c>
      <c r="T327" s="22" t="s">
        <v>52</v>
      </c>
      <c r="U327" s="22" t="s">
        <v>52</v>
      </c>
      <c r="V327" s="22" t="s">
        <v>52</v>
      </c>
      <c r="W327" s="18">
        <v>45905.0</v>
      </c>
      <c r="X327" s="20">
        <v>0.9583333333333334</v>
      </c>
      <c r="Y327" s="18">
        <v>45905.0</v>
      </c>
      <c r="Z327" s="20">
        <v>0.9506944444444444</v>
      </c>
      <c r="AA327" s="20">
        <v>0.9895833333333334</v>
      </c>
      <c r="AB327" s="51">
        <v>0.9506944444444444</v>
      </c>
      <c r="AC327" s="51">
        <v>0.9895833333333334</v>
      </c>
      <c r="AD327" s="51">
        <v>0.14583333333333334</v>
      </c>
      <c r="AE327" s="18">
        <v>45906.0</v>
      </c>
      <c r="AF327" s="22" t="s">
        <v>2812</v>
      </c>
      <c r="AG327" s="22" t="s">
        <v>102</v>
      </c>
      <c r="AH327" s="22" t="s">
        <v>2813</v>
      </c>
      <c r="AI327" s="62" t="str">
        <f>IFERROR(__xludf.DUMMYFUNCTION("IF(OR(W327="""",X327="""",AE327="""",AD327=""""),"""",
   TEXT(
     (
       (AE327+AD327 + IF(AE327+AD327 &lt; W327+X327,1,0)) - (W327+X327)
     )
     - IF(AND(AB327&lt;&gt;"""",AC327&lt;&gt;""""), 
          SUM(ARRAYFORMULA(SPLIT(AC327,"","") - SPLIT(AB327,"",""))"&amp;"), 
          0
       ),
     ""[hh]:mm""
   )
)
"),"03:34")</f>
        <v>03:34</v>
      </c>
      <c r="AJ327" s="27">
        <f t="shared" si="9"/>
        <v>0</v>
      </c>
      <c r="AK327" s="63" t="str">
        <f t="shared" si="10"/>
        <v>Pass</v>
      </c>
    </row>
    <row r="328">
      <c r="A328" s="18">
        <v>45906.0</v>
      </c>
      <c r="B328" s="20">
        <v>0.30069444444444443</v>
      </c>
      <c r="C328" s="18">
        <v>45906.0</v>
      </c>
      <c r="D328" s="20">
        <v>0.3333333333333333</v>
      </c>
      <c r="E328" s="22" t="s">
        <v>2814</v>
      </c>
      <c r="F328" s="22" t="s">
        <v>128</v>
      </c>
      <c r="G328" s="22" t="s">
        <v>129</v>
      </c>
      <c r="H328" s="22" t="s">
        <v>142</v>
      </c>
      <c r="I328" s="22" t="s">
        <v>234</v>
      </c>
      <c r="J328" s="22" t="s">
        <v>42</v>
      </c>
      <c r="K328" s="22" t="s">
        <v>61</v>
      </c>
      <c r="L328" s="22" t="s">
        <v>183</v>
      </c>
      <c r="M328" s="22" t="s">
        <v>2815</v>
      </c>
      <c r="N328" s="22" t="s">
        <v>2816</v>
      </c>
      <c r="O328" s="23" t="s">
        <v>2817</v>
      </c>
      <c r="P328" s="22" t="s">
        <v>75</v>
      </c>
      <c r="Q328" s="50" t="s">
        <v>65</v>
      </c>
      <c r="R328" s="22" t="s">
        <v>2818</v>
      </c>
      <c r="S328" s="22" t="s">
        <v>51</v>
      </c>
      <c r="T328" s="22" t="s">
        <v>52</v>
      </c>
      <c r="U328" s="22" t="s">
        <v>52</v>
      </c>
      <c r="V328" s="22" t="s">
        <v>52</v>
      </c>
      <c r="W328" s="18">
        <v>45906.0</v>
      </c>
      <c r="X328" s="20">
        <v>0.3333333333333333</v>
      </c>
      <c r="Y328" s="18">
        <v>45906.0</v>
      </c>
      <c r="Z328" s="20">
        <v>0.42430555555555555</v>
      </c>
      <c r="AA328" s="20">
        <v>0.4375</v>
      </c>
      <c r="AB328" s="51">
        <v>0.4791666666666667</v>
      </c>
      <c r="AC328" s="51">
        <v>0.5451388888888888</v>
      </c>
      <c r="AD328" s="51">
        <v>0.5694444444444444</v>
      </c>
      <c r="AE328" s="18">
        <v>45906.0</v>
      </c>
      <c r="AF328" s="22" t="s">
        <v>2819</v>
      </c>
      <c r="AG328" s="22" t="s">
        <v>113</v>
      </c>
      <c r="AH328" s="22" t="s">
        <v>2820</v>
      </c>
      <c r="AI328" s="62" t="str">
        <f>IFERROR(__xludf.DUMMYFUNCTION("IF(OR(W328="""",X328="""",AE328="""",AD328=""""),"""",
   TEXT(
     (
       (AE328+AD328 + IF(AE328+AD328 &lt; W328+X328,1,0)) - (W328+X328)
     )
     - IF(AND(AB328&lt;&gt;"""",AC328&lt;&gt;""""), 
          SUM(ARRAYFORMULA(SPLIT(AC328,"","") - SPLIT(AB328,"",""))"&amp;"), 
          0
       ),
     ""[hh]:mm""
   )
)
"),"04:05")</f>
        <v>04:05</v>
      </c>
      <c r="AJ328" s="27">
        <f t="shared" si="9"/>
        <v>0</v>
      </c>
      <c r="AK328" s="63" t="str">
        <f t="shared" si="10"/>
        <v>Pass</v>
      </c>
    </row>
    <row r="329">
      <c r="A329" s="18">
        <v>45906.0</v>
      </c>
      <c r="B329" s="20">
        <v>0.3819444444444444</v>
      </c>
      <c r="C329" s="18">
        <v>45906.0</v>
      </c>
      <c r="D329" s="20">
        <v>0.38680555555555557</v>
      </c>
      <c r="E329" s="22" t="s">
        <v>2821</v>
      </c>
      <c r="F329" s="22" t="s">
        <v>2822</v>
      </c>
      <c r="G329" s="22" t="s">
        <v>2823</v>
      </c>
      <c r="H329" s="22" t="s">
        <v>1287</v>
      </c>
      <c r="I329" s="22" t="s">
        <v>131</v>
      </c>
      <c r="J329" s="22" t="s">
        <v>132</v>
      </c>
      <c r="K329" s="22" t="s">
        <v>43</v>
      </c>
      <c r="L329" s="22" t="s">
        <v>805</v>
      </c>
      <c r="M329" s="22" t="s">
        <v>2824</v>
      </c>
      <c r="N329" s="22" t="s">
        <v>2825</v>
      </c>
      <c r="O329" s="23" t="s">
        <v>2826</v>
      </c>
      <c r="P329" s="22" t="s">
        <v>75</v>
      </c>
      <c r="Q329" s="50" t="s">
        <v>65</v>
      </c>
      <c r="R329" s="22" t="s">
        <v>2827</v>
      </c>
      <c r="S329" s="22" t="s">
        <v>51</v>
      </c>
      <c r="T329" s="22" t="s">
        <v>52</v>
      </c>
      <c r="U329" s="22" t="s">
        <v>52</v>
      </c>
      <c r="V329" s="22" t="s">
        <v>52</v>
      </c>
      <c r="W329" s="18">
        <v>45906.0</v>
      </c>
      <c r="X329" s="20">
        <v>0.38680555555555557</v>
      </c>
      <c r="Y329" s="18">
        <v>45906.0</v>
      </c>
      <c r="Z329" s="75">
        <v>0.46944444444444444</v>
      </c>
      <c r="AA329" s="20">
        <v>0.4722222222222222</v>
      </c>
      <c r="AB329" s="54"/>
      <c r="AC329" s="54"/>
      <c r="AD329" s="51">
        <v>0.5486111111111112</v>
      </c>
      <c r="AE329" s="18">
        <v>45906.0</v>
      </c>
      <c r="AF329" s="22" t="s">
        <v>2828</v>
      </c>
      <c r="AG329" s="22" t="s">
        <v>89</v>
      </c>
      <c r="AH329" s="22" t="s">
        <v>2829</v>
      </c>
      <c r="AI329" s="62" t="str">
        <f>IFERROR(__xludf.DUMMYFUNCTION("IF(OR(W329="""",X329="""",AE329="""",AD329=""""),"""",
   TEXT(
     (
       (AE329+AD329 + IF(AE329+AD329 &lt; W329+X329,1,0)) - (W329+X329)
     )
     - IF(AND(AB329&lt;&gt;"""",AC329&lt;&gt;""""), 
          SUM(ARRAYFORMULA(SPLIT(AC329,"","") - SPLIT(AB329,"",""))"&amp;"), 
          0
       ),
     ""[hh]:mm""
   )
)
"),"03:53")</f>
        <v>03:53</v>
      </c>
      <c r="AJ329" s="27">
        <f t="shared" si="9"/>
        <v>0</v>
      </c>
      <c r="AK329" s="63" t="str">
        <f t="shared" si="10"/>
        <v>Pass</v>
      </c>
    </row>
    <row r="330">
      <c r="A330" s="45">
        <v>45906.0</v>
      </c>
      <c r="B330" s="49">
        <v>0.6354166666666666</v>
      </c>
      <c r="C330" s="45">
        <v>45906.0</v>
      </c>
      <c r="D330" s="49">
        <v>0.6388888888888888</v>
      </c>
      <c r="E330" s="21" t="s">
        <v>2830</v>
      </c>
      <c r="F330" s="21" t="s">
        <v>2831</v>
      </c>
      <c r="G330" s="21" t="s">
        <v>2832</v>
      </c>
      <c r="H330" s="21" t="s">
        <v>59</v>
      </c>
      <c r="I330" s="21" t="s">
        <v>616</v>
      </c>
      <c r="J330" s="21" t="s">
        <v>132</v>
      </c>
      <c r="K330" s="21" t="s">
        <v>43</v>
      </c>
      <c r="L330" s="21" t="s">
        <v>805</v>
      </c>
      <c r="M330" s="21" t="s">
        <v>2833</v>
      </c>
      <c r="N330" s="21" t="s">
        <v>2834</v>
      </c>
      <c r="O330" s="48" t="s">
        <v>2835</v>
      </c>
      <c r="P330" s="21" t="s">
        <v>75</v>
      </c>
      <c r="Q330" s="24" t="s">
        <v>65</v>
      </c>
      <c r="R330" s="21" t="s">
        <v>2836</v>
      </c>
      <c r="S330" s="21" t="s">
        <v>51</v>
      </c>
      <c r="T330" s="21" t="s">
        <v>964</v>
      </c>
      <c r="U330" s="21" t="s">
        <v>2837</v>
      </c>
      <c r="V330" s="21" t="s">
        <v>2838</v>
      </c>
      <c r="W330" s="45">
        <v>45906.0</v>
      </c>
      <c r="X330" s="49">
        <v>0.6388888888888888</v>
      </c>
      <c r="Y330" s="45">
        <v>45906.0</v>
      </c>
      <c r="Z330" s="49">
        <v>0.6902777777777778</v>
      </c>
      <c r="AA330" s="49">
        <v>0.7</v>
      </c>
      <c r="AB330" s="25">
        <v>0.7201388888888889</v>
      </c>
      <c r="AC330" s="25">
        <v>0.76875</v>
      </c>
      <c r="AD330" s="25">
        <v>0.8125</v>
      </c>
      <c r="AE330" s="45">
        <v>45906.0</v>
      </c>
      <c r="AF330" s="21" t="s">
        <v>2839</v>
      </c>
      <c r="AG330" s="21" t="s">
        <v>293</v>
      </c>
      <c r="AH330" s="21" t="s">
        <v>2840</v>
      </c>
      <c r="AI330" s="62" t="str">
        <f>IFERROR(__xludf.DUMMYFUNCTION("IF(OR(W330="""",X330="""",AE330="""",AD330=""""),"""",
   TEXT(
     (
       (AE330+AD330 + IF(AE330+AD330 &lt; W330+X330,1,0)) - (W330+X330)
     )
     - IF(AND(AB330&lt;&gt;"""",AC330&lt;&gt;""""), 
          SUM(ARRAYFORMULA(SPLIT(AC330,"","") - SPLIT(AB330,"",""))"&amp;"), 
          0
       ),
     ""[hh]:mm""
   )
)
"),"03:00")</f>
        <v>03:00</v>
      </c>
      <c r="AJ330" s="27">
        <f t="shared" si="9"/>
        <v>0</v>
      </c>
      <c r="AK330" s="63" t="str">
        <f t="shared" si="10"/>
        <v>Pass</v>
      </c>
    </row>
    <row r="331">
      <c r="A331" s="45">
        <v>45906.0</v>
      </c>
      <c r="B331" s="49">
        <v>0.98125</v>
      </c>
      <c r="C331" s="45">
        <v>45907.0</v>
      </c>
      <c r="D331" s="80">
        <v>0.29305555555555557</v>
      </c>
      <c r="E331" s="21" t="s">
        <v>2841</v>
      </c>
      <c r="F331" s="21" t="s">
        <v>754</v>
      </c>
      <c r="G331" s="21" t="s">
        <v>755</v>
      </c>
      <c r="H331" s="21" t="s">
        <v>167</v>
      </c>
      <c r="I331" s="21" t="s">
        <v>1095</v>
      </c>
      <c r="J331" s="21" t="s">
        <v>169</v>
      </c>
      <c r="K331" s="21" t="s">
        <v>61</v>
      </c>
      <c r="L331" s="21" t="s">
        <v>183</v>
      </c>
      <c r="M331" s="21" t="s">
        <v>758</v>
      </c>
      <c r="N331" s="21" t="s">
        <v>2842</v>
      </c>
      <c r="O331" s="48" t="s">
        <v>2843</v>
      </c>
      <c r="P331" s="21" t="s">
        <v>75</v>
      </c>
      <c r="Q331" s="24" t="s">
        <v>65</v>
      </c>
      <c r="R331" s="21" t="s">
        <v>2844</v>
      </c>
      <c r="S331" s="21" t="s">
        <v>51</v>
      </c>
      <c r="T331" s="21" t="s">
        <v>52</v>
      </c>
      <c r="U331" s="21" t="s">
        <v>52</v>
      </c>
      <c r="V331" s="21" t="s">
        <v>52</v>
      </c>
      <c r="W331" s="45">
        <v>45907.0</v>
      </c>
      <c r="X331" s="49">
        <v>0.29305555555555557</v>
      </c>
      <c r="Y331" s="45">
        <v>45907.0</v>
      </c>
      <c r="Z331" s="49">
        <v>0.48680555555555555</v>
      </c>
      <c r="AA331" s="49">
        <v>0.4895833333333333</v>
      </c>
      <c r="AB331" s="24" t="s">
        <v>829</v>
      </c>
      <c r="AC331" s="29"/>
      <c r="AD331" s="25">
        <v>0.5034722222222222</v>
      </c>
      <c r="AE331" s="45">
        <v>45907.0</v>
      </c>
      <c r="AF331" s="21" t="s">
        <v>2845</v>
      </c>
      <c r="AG331" s="21" t="s">
        <v>2846</v>
      </c>
      <c r="AH331" s="21" t="s">
        <v>2847</v>
      </c>
      <c r="AI331" s="62" t="str">
        <f>IFERROR(__xludf.DUMMYFUNCTION("IF(OR(W331="""",X331="""",AE331="""",AD331=""""),"""",
   TEXT(
     (
       (AE331+AD331 + IF(AE331+AD331 &lt; W331+X331,1,0)) - (W331+X331)
     )
     - IF(AND(AB331&lt;&gt;"""",AC331&lt;&gt;""""), 
          SUM(ARRAYFORMULA(SPLIT(AC331,"","") - SPLIT(AB331,"",""))"&amp;"), 
          0
       ),
     ""[hh]:mm""
   )
)
"),"05:03")</f>
        <v>05:03</v>
      </c>
      <c r="AJ331" s="27">
        <f t="shared" si="9"/>
        <v>0</v>
      </c>
      <c r="AK331" s="63" t="str">
        <f t="shared" si="10"/>
        <v>Pass</v>
      </c>
    </row>
    <row r="332">
      <c r="A332" s="45">
        <v>45907.0</v>
      </c>
      <c r="B332" s="49">
        <v>0.6652777777777777</v>
      </c>
      <c r="C332" s="45">
        <v>45907.0</v>
      </c>
      <c r="D332" s="49">
        <v>0.6673611111111111</v>
      </c>
      <c r="E332" s="21" t="s">
        <v>2848</v>
      </c>
      <c r="F332" s="21" t="s">
        <v>2849</v>
      </c>
      <c r="G332" s="21" t="s">
        <v>2850</v>
      </c>
      <c r="H332" s="21" t="s">
        <v>244</v>
      </c>
      <c r="I332" s="21" t="s">
        <v>644</v>
      </c>
      <c r="J332" s="21" t="s">
        <v>644</v>
      </c>
      <c r="K332" s="21" t="s">
        <v>333</v>
      </c>
      <c r="L332" s="21" t="s">
        <v>1441</v>
      </c>
      <c r="M332" s="21" t="s">
        <v>2851</v>
      </c>
      <c r="N332" s="21" t="s">
        <v>2852</v>
      </c>
      <c r="O332" s="48" t="s">
        <v>2853</v>
      </c>
      <c r="P332" s="21" t="s">
        <v>48</v>
      </c>
      <c r="Q332" s="24" t="s">
        <v>65</v>
      </c>
      <c r="R332" s="21" t="s">
        <v>2854</v>
      </c>
      <c r="S332" s="21" t="s">
        <v>51</v>
      </c>
      <c r="T332" s="21" t="s">
        <v>52</v>
      </c>
      <c r="U332" s="21" t="s">
        <v>52</v>
      </c>
      <c r="V332" s="21" t="s">
        <v>52</v>
      </c>
      <c r="W332" s="45">
        <v>45907.0</v>
      </c>
      <c r="X332" s="49">
        <v>0.6673611111111111</v>
      </c>
      <c r="Y332" s="45">
        <v>45907.0</v>
      </c>
      <c r="Z332" s="49">
        <v>0.7361111111111112</v>
      </c>
      <c r="AA332" s="49">
        <v>0.7465277777777778</v>
      </c>
      <c r="AB332" s="25">
        <v>0.7708333333333334</v>
      </c>
      <c r="AC332" s="25">
        <v>0.7916666666666666</v>
      </c>
      <c r="AD332" s="25">
        <v>0.7916666666666666</v>
      </c>
      <c r="AE332" s="45">
        <v>45907.0</v>
      </c>
      <c r="AF332" s="21" t="s">
        <v>2855</v>
      </c>
      <c r="AG332" s="21" t="s">
        <v>2320</v>
      </c>
      <c r="AH332" s="21" t="s">
        <v>2856</v>
      </c>
      <c r="AI332" s="62" t="str">
        <f>IFERROR(__xludf.DUMMYFUNCTION("IF(OR(W332="""",X332="""",AE332="""",AD332=""""),"""",
   TEXT(
     (
       (AE332+AD332 + IF(AE332+AD332 &lt; W332+X332,1,0)) - (W332+X332)
     )
     - IF(AND(AB332&lt;&gt;"""",AC332&lt;&gt;""""), 
          SUM(ARRAYFORMULA(SPLIT(AC332,"","") - SPLIT(AB332,"",""))"&amp;"), 
          0
       ),
     ""[hh]:mm""
   )
)
"),"02:29")</f>
        <v>02:29</v>
      </c>
      <c r="AJ332" s="27">
        <f t="shared" si="9"/>
        <v>0</v>
      </c>
      <c r="AK332" s="63" t="str">
        <f t="shared" si="10"/>
        <v>Pass</v>
      </c>
    </row>
    <row r="333">
      <c r="A333" s="45">
        <v>45908.0</v>
      </c>
      <c r="B333" s="49">
        <v>0.41458333333333336</v>
      </c>
      <c r="C333" s="45">
        <v>45908.0</v>
      </c>
      <c r="D333" s="49">
        <v>0.42083333333333334</v>
      </c>
      <c r="E333" s="21" t="s">
        <v>2857</v>
      </c>
      <c r="F333" s="21" t="s">
        <v>989</v>
      </c>
      <c r="G333" s="21" t="s">
        <v>990</v>
      </c>
      <c r="H333" s="21" t="s">
        <v>2858</v>
      </c>
      <c r="I333" s="21" t="s">
        <v>1326</v>
      </c>
      <c r="J333" s="21" t="s">
        <v>768</v>
      </c>
      <c r="K333" s="21" t="s">
        <v>769</v>
      </c>
      <c r="L333" s="21" t="s">
        <v>1327</v>
      </c>
      <c r="M333" s="21" t="s">
        <v>2859</v>
      </c>
      <c r="N333" s="21" t="s">
        <v>2860</v>
      </c>
      <c r="O333" s="48" t="s">
        <v>2861</v>
      </c>
      <c r="P333" s="21" t="s">
        <v>75</v>
      </c>
      <c r="Q333" s="24" t="s">
        <v>65</v>
      </c>
      <c r="R333" s="21" t="s">
        <v>2862</v>
      </c>
      <c r="S333" s="21" t="s">
        <v>51</v>
      </c>
      <c r="T333" s="21" t="s">
        <v>52</v>
      </c>
      <c r="U333" s="21" t="s">
        <v>52</v>
      </c>
      <c r="V333" s="21" t="s">
        <v>52</v>
      </c>
      <c r="W333" s="45">
        <v>45908.0</v>
      </c>
      <c r="X333" s="49">
        <v>0.42083333333333334</v>
      </c>
      <c r="Y333" s="45">
        <v>45908.0</v>
      </c>
      <c r="Z333" s="49">
        <v>0.5680555555555555</v>
      </c>
      <c r="AA333" s="49">
        <v>0.5694444444444444</v>
      </c>
      <c r="AB333" s="29"/>
      <c r="AC333" s="29"/>
      <c r="AD333" s="25">
        <v>0.6111111111111112</v>
      </c>
      <c r="AE333" s="45">
        <v>45908.0</v>
      </c>
      <c r="AF333" s="21" t="s">
        <v>53</v>
      </c>
      <c r="AG333" s="21" t="s">
        <v>2863</v>
      </c>
      <c r="AH333" s="21" t="s">
        <v>2863</v>
      </c>
      <c r="AI333" s="62" t="str">
        <f>IFERROR(__xludf.DUMMYFUNCTION("IF(OR(W333="""",X333="""",AE333="""",AD333=""""),"""",
   TEXT(
     (
       (AE333+AD333 + IF(AE333+AD333 &lt; W333+X333,1,0)) - (W333+X333)
     )
     - IF(AND(AB333&lt;&gt;"""",AC333&lt;&gt;""""), 
          SUM(ARRAYFORMULA(SPLIT(AC333,"","") - SPLIT(AB333,"",""))"&amp;"), 
          0
       ),
     ""[hh]:mm""
   )
)
"),"04:34")</f>
        <v>04:34</v>
      </c>
      <c r="AJ333" s="27">
        <f t="shared" si="9"/>
        <v>0</v>
      </c>
      <c r="AK333" s="63" t="str">
        <f t="shared" si="10"/>
        <v>Pass</v>
      </c>
    </row>
    <row r="334">
      <c r="A334" s="18">
        <v>45908.0</v>
      </c>
      <c r="B334" s="20">
        <v>0.48125</v>
      </c>
      <c r="C334" s="18">
        <v>45908.0</v>
      </c>
      <c r="D334" s="20">
        <v>0.4826388888888889</v>
      </c>
      <c r="E334" s="22" t="s">
        <v>2864</v>
      </c>
      <c r="F334" s="21" t="s">
        <v>140</v>
      </c>
      <c r="G334" s="21" t="s">
        <v>835</v>
      </c>
      <c r="H334" s="22" t="s">
        <v>566</v>
      </c>
      <c r="I334" s="22" t="s">
        <v>1854</v>
      </c>
      <c r="J334" s="22" t="s">
        <v>1056</v>
      </c>
      <c r="K334" s="22" t="s">
        <v>52</v>
      </c>
      <c r="L334" s="22" t="s">
        <v>52</v>
      </c>
      <c r="M334" s="22" t="s">
        <v>52</v>
      </c>
      <c r="N334" s="22" t="s">
        <v>2865</v>
      </c>
      <c r="O334" s="23" t="s">
        <v>2866</v>
      </c>
      <c r="P334" s="22" t="s">
        <v>48</v>
      </c>
      <c r="Q334" s="24" t="s">
        <v>65</v>
      </c>
      <c r="R334" s="21" t="s">
        <v>2648</v>
      </c>
      <c r="S334" s="22" t="s">
        <v>51</v>
      </c>
      <c r="T334" s="21" t="s">
        <v>52</v>
      </c>
      <c r="U334" s="21" t="s">
        <v>52</v>
      </c>
      <c r="V334" s="21" t="s">
        <v>52</v>
      </c>
      <c r="W334" s="45">
        <v>45908.0</v>
      </c>
      <c r="X334" s="20">
        <v>0.4826388888888889</v>
      </c>
      <c r="Y334" s="45">
        <v>45908.0</v>
      </c>
      <c r="Z334" s="20">
        <v>0.55625</v>
      </c>
      <c r="AA334" s="20">
        <v>0.5590277777777778</v>
      </c>
      <c r="AB334" s="29"/>
      <c r="AC334" s="29"/>
      <c r="AD334" s="25">
        <v>0.6180555555555556</v>
      </c>
      <c r="AE334" s="45">
        <v>45908.0</v>
      </c>
      <c r="AF334" s="21" t="s">
        <v>2867</v>
      </c>
      <c r="AG334" s="22" t="s">
        <v>162</v>
      </c>
      <c r="AH334" s="22" t="s">
        <v>2868</v>
      </c>
      <c r="AI334" s="62" t="str">
        <f>IFERROR(__xludf.DUMMYFUNCTION("IF(OR(W334="""",X334="""",AE334="""",AD334=""""),"""",
   TEXT(
     (
       (AE334+AD334 + IF(AE334+AD334 &lt; W334+X334,1,0)) - (W334+X334)
     )
     - IF(AND(AB334&lt;&gt;"""",AC334&lt;&gt;""""), 
          SUM(ARRAYFORMULA(SPLIT(AC334,"","") - SPLIT(AB334,"",""))"&amp;"), 
          0
       ),
     ""[hh]:mm""
   )
)
"),"03:15")</f>
        <v>03:15</v>
      </c>
      <c r="AJ334" s="27">
        <f t="shared" si="9"/>
        <v>0</v>
      </c>
      <c r="AK334" s="63" t="str">
        <f t="shared" si="10"/>
        <v>Pass</v>
      </c>
    </row>
    <row r="335">
      <c r="A335" s="45">
        <v>45908.0</v>
      </c>
      <c r="B335" s="49">
        <v>0.4965277777777778</v>
      </c>
      <c r="C335" s="45">
        <v>45908.0</v>
      </c>
      <c r="D335" s="49">
        <v>0.49930555555555556</v>
      </c>
      <c r="E335" s="21" t="s">
        <v>2869</v>
      </c>
      <c r="F335" s="21" t="s">
        <v>105</v>
      </c>
      <c r="G335" s="21" t="s">
        <v>106</v>
      </c>
      <c r="H335" s="21" t="s">
        <v>566</v>
      </c>
      <c r="I335" s="21" t="s">
        <v>107</v>
      </c>
      <c r="J335" s="21" t="s">
        <v>42</v>
      </c>
      <c r="K335" s="21" t="s">
        <v>43</v>
      </c>
      <c r="L335" s="21" t="s">
        <v>108</v>
      </c>
      <c r="M335" s="21" t="s">
        <v>2870</v>
      </c>
      <c r="N335" s="21" t="s">
        <v>2871</v>
      </c>
      <c r="O335" s="48" t="s">
        <v>2872</v>
      </c>
      <c r="P335" s="21" t="s">
        <v>48</v>
      </c>
      <c r="Q335" s="24" t="s">
        <v>65</v>
      </c>
      <c r="R335" s="21" t="s">
        <v>2873</v>
      </c>
      <c r="S335" s="21" t="s">
        <v>51</v>
      </c>
      <c r="T335" s="21" t="s">
        <v>52</v>
      </c>
      <c r="U335" s="21" t="s">
        <v>52</v>
      </c>
      <c r="V335" s="21" t="s">
        <v>52</v>
      </c>
      <c r="W335" s="45">
        <v>45908.0</v>
      </c>
      <c r="X335" s="49">
        <v>0.49930555555555556</v>
      </c>
      <c r="Y335" s="45">
        <v>45908.0</v>
      </c>
      <c r="Z335" s="49">
        <v>0.5590277777777778</v>
      </c>
      <c r="AA335" s="49">
        <v>0.5597222222222222</v>
      </c>
      <c r="AB335" s="29"/>
      <c r="AC335" s="29"/>
      <c r="AD335" s="25">
        <v>0.5784722222222223</v>
      </c>
      <c r="AE335" s="45">
        <v>45908.0</v>
      </c>
      <c r="AF335" s="21" t="s">
        <v>2867</v>
      </c>
      <c r="AG335" s="21" t="s">
        <v>848</v>
      </c>
      <c r="AH335" s="21" t="s">
        <v>2874</v>
      </c>
      <c r="AI335" s="62" t="str">
        <f>IFERROR(__xludf.DUMMYFUNCTION("IF(OR(W335="""",X335="""",AE335="""",AD335=""""),"""",
   TEXT(
     (
       (AE335+AD335 + IF(AE335+AD335 &lt; W335+X335,1,0)) - (W335+X335)
     )
     - IF(AND(AB335&lt;&gt;"""",AC335&lt;&gt;""""), 
          SUM(ARRAYFORMULA(SPLIT(AC335,"","") - SPLIT(AB335,"",""))"&amp;"), 
          0
       ),
     ""[hh]:mm""
   )
)
"),"01:54")</f>
        <v>01:54</v>
      </c>
      <c r="AJ335" s="27">
        <f t="shared" si="9"/>
        <v>0</v>
      </c>
      <c r="AK335" s="63" t="str">
        <f t="shared" si="10"/>
        <v>Pass</v>
      </c>
    </row>
    <row r="336">
      <c r="A336" s="45">
        <v>45908.0</v>
      </c>
      <c r="B336" s="49">
        <v>0.4965277777777778</v>
      </c>
      <c r="C336" s="45">
        <v>45908.0</v>
      </c>
      <c r="D336" s="49">
        <v>0.49930555555555556</v>
      </c>
      <c r="E336" s="21" t="s">
        <v>2875</v>
      </c>
      <c r="F336" s="21" t="s">
        <v>105</v>
      </c>
      <c r="G336" s="21" t="s">
        <v>106</v>
      </c>
      <c r="H336" s="21" t="s">
        <v>566</v>
      </c>
      <c r="I336" s="21" t="s">
        <v>385</v>
      </c>
      <c r="J336" s="21" t="s">
        <v>385</v>
      </c>
      <c r="K336" s="21" t="s">
        <v>386</v>
      </c>
      <c r="L336" s="21" t="s">
        <v>386</v>
      </c>
      <c r="M336" s="21" t="s">
        <v>2876</v>
      </c>
      <c r="N336" s="21" t="s">
        <v>2877</v>
      </c>
      <c r="O336" s="48" t="s">
        <v>2878</v>
      </c>
      <c r="P336" s="21" t="s">
        <v>48</v>
      </c>
      <c r="Q336" s="24" t="s">
        <v>65</v>
      </c>
      <c r="R336" s="21" t="s">
        <v>2879</v>
      </c>
      <c r="S336" s="21" t="s">
        <v>51</v>
      </c>
      <c r="T336" s="21" t="s">
        <v>52</v>
      </c>
      <c r="U336" s="21" t="s">
        <v>52</v>
      </c>
      <c r="V336" s="21" t="s">
        <v>52</v>
      </c>
      <c r="W336" s="45">
        <v>45908.0</v>
      </c>
      <c r="X336" s="49">
        <v>0.49930555555555556</v>
      </c>
      <c r="Y336" s="45">
        <v>45908.0</v>
      </c>
      <c r="Z336" s="49">
        <v>0.5590277777777778</v>
      </c>
      <c r="AA336" s="49">
        <v>0.5826388888888889</v>
      </c>
      <c r="AB336" s="29"/>
      <c r="AC336" s="29"/>
      <c r="AD336" s="25">
        <v>0.6097222222222223</v>
      </c>
      <c r="AE336" s="45">
        <v>45908.0</v>
      </c>
      <c r="AF336" s="21" t="s">
        <v>2867</v>
      </c>
      <c r="AG336" s="21" t="s">
        <v>848</v>
      </c>
      <c r="AH336" s="21" t="s">
        <v>2874</v>
      </c>
      <c r="AI336" s="62" t="str">
        <f>IFERROR(__xludf.DUMMYFUNCTION("IF(OR(W336="""",X336="""",AE336="""",AD336=""""),"""",
   TEXT(
     (
       (AE336+AD336 + IF(AE336+AD336 &lt; W336+X336,1,0)) - (W336+X336)
     )
     - IF(AND(AB336&lt;&gt;"""",AC336&lt;&gt;""""), 
          SUM(ARRAYFORMULA(SPLIT(AC336,"","") - SPLIT(AB336,"",""))"&amp;"), 
          0
       ),
     ""[hh]:mm""
   )
)
"),"02:39")</f>
        <v>02:39</v>
      </c>
      <c r="AJ336" s="27">
        <f t="shared" si="9"/>
        <v>0</v>
      </c>
      <c r="AK336" s="63" t="str">
        <f t="shared" si="10"/>
        <v>Pass</v>
      </c>
    </row>
    <row r="337">
      <c r="A337" s="18">
        <v>45908.0</v>
      </c>
      <c r="B337" s="20">
        <v>0.4979166666666667</v>
      </c>
      <c r="C337" s="18">
        <v>45908.0</v>
      </c>
      <c r="D337" s="20">
        <v>0.5006944444444444</v>
      </c>
      <c r="E337" s="22" t="s">
        <v>2880</v>
      </c>
      <c r="F337" s="22" t="s">
        <v>2881</v>
      </c>
      <c r="G337" s="22" t="s">
        <v>2882</v>
      </c>
      <c r="H337" s="22" t="s">
        <v>746</v>
      </c>
      <c r="I337" s="22" t="s">
        <v>1135</v>
      </c>
      <c r="J337" s="22" t="s">
        <v>1136</v>
      </c>
      <c r="K337" s="22" t="s">
        <v>2883</v>
      </c>
      <c r="L337" s="22" t="s">
        <v>183</v>
      </c>
      <c r="M337" s="22" t="s">
        <v>2884</v>
      </c>
      <c r="N337" s="22" t="s">
        <v>2885</v>
      </c>
      <c r="O337" s="23" t="s">
        <v>2886</v>
      </c>
      <c r="P337" s="22" t="s">
        <v>75</v>
      </c>
      <c r="Q337" s="50" t="s">
        <v>65</v>
      </c>
      <c r="R337" s="22" t="s">
        <v>2887</v>
      </c>
      <c r="S337" s="22" t="s">
        <v>51</v>
      </c>
      <c r="T337" s="22" t="s">
        <v>2637</v>
      </c>
      <c r="U337" s="22" t="s">
        <v>2888</v>
      </c>
      <c r="V337" s="22" t="s">
        <v>2889</v>
      </c>
      <c r="W337" s="18">
        <v>45908.0</v>
      </c>
      <c r="X337" s="20">
        <v>0.5006944444444444</v>
      </c>
      <c r="Y337" s="18">
        <v>45908.0</v>
      </c>
      <c r="Z337" s="20">
        <v>0.6243055555555556</v>
      </c>
      <c r="AA337" s="20">
        <v>0.6284722222222222</v>
      </c>
      <c r="AB337" s="51">
        <v>0.6333333333333333</v>
      </c>
      <c r="AC337" s="51">
        <v>0.6763888888888889</v>
      </c>
      <c r="AD337" s="51">
        <v>0.6909722222222222</v>
      </c>
      <c r="AE337" s="18">
        <v>45908.0</v>
      </c>
      <c r="AF337" s="22" t="s">
        <v>2819</v>
      </c>
      <c r="AG337" s="22" t="s">
        <v>313</v>
      </c>
      <c r="AH337" s="22" t="s">
        <v>2890</v>
      </c>
      <c r="AI337" s="62" t="str">
        <f>IFERROR(__xludf.DUMMYFUNCTION("IF(OR(W337="""",X337="""",AE337="""",AD337=""""),"""",
   TEXT(
     (
       (AE337+AD337 + IF(AE337+AD337 &lt; W337+X337,1,0)) - (W337+X337)
     )
     - IF(AND(AB337&lt;&gt;"""",AC337&lt;&gt;""""), 
          SUM(ARRAYFORMULA(SPLIT(AC337,"","") - SPLIT(AB337,"",""))"&amp;"), 
          0
       ),
     ""[hh]:mm""
   )
)
"),"03:32")</f>
        <v>03:32</v>
      </c>
      <c r="AJ337" s="27">
        <f t="shared" si="9"/>
        <v>0</v>
      </c>
      <c r="AK337" s="63" t="str">
        <f t="shared" si="10"/>
        <v>Pass</v>
      </c>
    </row>
    <row r="338">
      <c r="A338" s="18">
        <v>45908.0</v>
      </c>
      <c r="B338" s="20">
        <v>0.5</v>
      </c>
      <c r="C338" s="18">
        <v>45908.0</v>
      </c>
      <c r="D338" s="20">
        <v>0.5020833333333333</v>
      </c>
      <c r="E338" s="22" t="s">
        <v>2891</v>
      </c>
      <c r="F338" s="22" t="s">
        <v>2892</v>
      </c>
      <c r="G338" s="22" t="s">
        <v>2893</v>
      </c>
      <c r="H338" s="22" t="s">
        <v>377</v>
      </c>
      <c r="I338" s="22" t="s">
        <v>234</v>
      </c>
      <c r="J338" s="22" t="s">
        <v>42</v>
      </c>
      <c r="K338" s="22" t="s">
        <v>61</v>
      </c>
      <c r="L338" s="22" t="s">
        <v>183</v>
      </c>
      <c r="M338" s="22" t="s">
        <v>2894</v>
      </c>
      <c r="N338" s="22" t="s">
        <v>2895</v>
      </c>
      <c r="O338" s="23" t="s">
        <v>2896</v>
      </c>
      <c r="P338" s="22" t="s">
        <v>75</v>
      </c>
      <c r="Q338" s="50" t="s">
        <v>65</v>
      </c>
      <c r="R338" s="22" t="s">
        <v>2897</v>
      </c>
      <c r="S338" s="22" t="s">
        <v>51</v>
      </c>
      <c r="T338" s="22" t="s">
        <v>52</v>
      </c>
      <c r="U338" s="22" t="s">
        <v>52</v>
      </c>
      <c r="V338" s="22" t="s">
        <v>52</v>
      </c>
      <c r="W338" s="18">
        <v>45908.0</v>
      </c>
      <c r="X338" s="20">
        <v>0.5020833333333333</v>
      </c>
      <c r="Y338" s="18">
        <v>45908.0</v>
      </c>
      <c r="Z338" s="20">
        <v>0.5729166666666666</v>
      </c>
      <c r="AA338" s="20">
        <v>0.5902777777777778</v>
      </c>
      <c r="AB338" s="51">
        <v>0.625</v>
      </c>
      <c r="AC338" s="51">
        <v>0.6666666666666666</v>
      </c>
      <c r="AD338" s="51">
        <v>0.6666666666666666</v>
      </c>
      <c r="AE338" s="18">
        <v>45908.0</v>
      </c>
      <c r="AF338" s="22" t="s">
        <v>2819</v>
      </c>
      <c r="AG338" s="22" t="s">
        <v>78</v>
      </c>
      <c r="AH338" s="22" t="s">
        <v>2898</v>
      </c>
      <c r="AI338" s="62" t="str">
        <f>IFERROR(__xludf.DUMMYFUNCTION("IF(OR(W338="""",X338="""",AE338="""",AD338=""""),"""",
   TEXT(
     (
       (AE338+AD338 + IF(AE338+AD338 &lt; W338+X338,1,0)) - (W338+X338)
     )
     - IF(AND(AB338&lt;&gt;"""",AC338&lt;&gt;""""), 
          SUM(ARRAYFORMULA(SPLIT(AC338,"","") - SPLIT(AB338,"",""))"&amp;"), 
          0
       ),
     ""[hh]:mm""
   )
)
"),"02:57")</f>
        <v>02:57</v>
      </c>
      <c r="AJ338" s="27">
        <f t="shared" si="9"/>
        <v>0</v>
      </c>
      <c r="AK338" s="63" t="str">
        <f t="shared" si="10"/>
        <v>Pass</v>
      </c>
    </row>
    <row r="339">
      <c r="A339" s="18">
        <v>45907.0</v>
      </c>
      <c r="B339" s="20">
        <v>0.7458333333333333</v>
      </c>
      <c r="C339" s="18">
        <v>45907.0</v>
      </c>
      <c r="D339" s="20">
        <v>0.7520833333333333</v>
      </c>
      <c r="E339" s="22" t="s">
        <v>2899</v>
      </c>
      <c r="F339" s="22" t="s">
        <v>2900</v>
      </c>
      <c r="G339" s="22" t="s">
        <v>2901</v>
      </c>
      <c r="H339" s="22" t="s">
        <v>566</v>
      </c>
      <c r="I339" s="22" t="s">
        <v>567</v>
      </c>
      <c r="J339" s="22" t="s">
        <v>567</v>
      </c>
      <c r="K339" s="22" t="s">
        <v>2792</v>
      </c>
      <c r="L339" s="22" t="s">
        <v>2902</v>
      </c>
      <c r="M339" s="22" t="s">
        <v>2903</v>
      </c>
      <c r="N339" s="22" t="s">
        <v>2904</v>
      </c>
      <c r="O339" s="23" t="s">
        <v>2905</v>
      </c>
      <c r="P339" s="22" t="s">
        <v>48</v>
      </c>
      <c r="Q339" s="50" t="s">
        <v>65</v>
      </c>
      <c r="R339" s="22" t="s">
        <v>112</v>
      </c>
      <c r="S339" s="22" t="s">
        <v>51</v>
      </c>
      <c r="T339" s="22" t="s">
        <v>52</v>
      </c>
      <c r="U339" s="22" t="s">
        <v>52</v>
      </c>
      <c r="V339" s="22" t="s">
        <v>52</v>
      </c>
      <c r="W339" s="18">
        <v>45907.0</v>
      </c>
      <c r="X339" s="20">
        <v>0.7520833333333333</v>
      </c>
      <c r="Y339" s="18">
        <v>45908.0</v>
      </c>
      <c r="Z339" s="20">
        <v>0.7583333333333333</v>
      </c>
      <c r="AA339" s="20">
        <v>0.7604166666666666</v>
      </c>
      <c r="AB339" s="50" t="s">
        <v>2906</v>
      </c>
      <c r="AC339" s="50" t="s">
        <v>2907</v>
      </c>
      <c r="AD339" s="51">
        <v>0.9027777777777778</v>
      </c>
      <c r="AE339" s="18">
        <v>45908.0</v>
      </c>
      <c r="AF339" s="22" t="s">
        <v>2711</v>
      </c>
      <c r="AG339" s="22" t="s">
        <v>583</v>
      </c>
      <c r="AH339" s="22" t="s">
        <v>2908</v>
      </c>
      <c r="AI339" s="62" t="str">
        <f>IFERROR(__xludf.DUMMYFUNCTION("IF(OR(W339="""",X339="""",AE339="""",AD339=""""),"""",
   TEXT(
     (
       (AE339+AD339 + IF(AE339+AD339 &lt; W339+X339,1,0)) - (W339+X339)
     )
     - IF(AND(AB339&lt;&gt;"""",AC339&lt;&gt;""""), 
          SUM(ARRAYFORMULA(SPLIT(AC339,"","") - SPLIT(AB339,"",""))"&amp;"), 
          0
       ),
     ""[hh]:mm""
   )
)
"),"07:01")</f>
        <v>07:01</v>
      </c>
      <c r="AJ339" s="27">
        <f t="shared" si="9"/>
        <v>0</v>
      </c>
      <c r="AK339" s="63" t="str">
        <f t="shared" si="10"/>
        <v>Pass</v>
      </c>
    </row>
    <row r="340">
      <c r="A340" s="18">
        <v>45908.0</v>
      </c>
      <c r="B340" s="20">
        <v>0.5902777777777778</v>
      </c>
      <c r="C340" s="18">
        <v>45908.0</v>
      </c>
      <c r="D340" s="20">
        <v>0.59375</v>
      </c>
      <c r="E340" s="22" t="s">
        <v>2909</v>
      </c>
      <c r="F340" s="22" t="s">
        <v>2910</v>
      </c>
      <c r="G340" s="22" t="s">
        <v>2911</v>
      </c>
      <c r="H340" s="22" t="s">
        <v>1468</v>
      </c>
      <c r="I340" s="22" t="s">
        <v>856</v>
      </c>
      <c r="J340" s="22" t="s">
        <v>1084</v>
      </c>
      <c r="K340" s="22" t="s">
        <v>2912</v>
      </c>
      <c r="L340" s="22" t="s">
        <v>2913</v>
      </c>
      <c r="M340" s="22">
        <v>8.6158504369719E14</v>
      </c>
      <c r="N340" s="22" t="s">
        <v>2914</v>
      </c>
      <c r="O340" s="23" t="s">
        <v>2915</v>
      </c>
      <c r="P340" s="22" t="s">
        <v>48</v>
      </c>
      <c r="Q340" s="50" t="s">
        <v>198</v>
      </c>
      <c r="R340" s="22" t="s">
        <v>2916</v>
      </c>
      <c r="S340" s="22" t="s">
        <v>51</v>
      </c>
      <c r="T340" s="22" t="s">
        <v>2917</v>
      </c>
      <c r="U340" s="22" t="s">
        <v>52</v>
      </c>
      <c r="V340" s="22" t="s">
        <v>52</v>
      </c>
      <c r="W340" s="18">
        <v>45908.0</v>
      </c>
      <c r="X340" s="20">
        <v>0.59375</v>
      </c>
      <c r="Y340" s="18">
        <v>45908.0</v>
      </c>
      <c r="Z340" s="20">
        <v>0.5534722222222223</v>
      </c>
      <c r="AA340" s="20">
        <v>0.5555555555555556</v>
      </c>
      <c r="AB340" s="54"/>
      <c r="AC340" s="54"/>
      <c r="AD340" s="51">
        <v>0.7388888888888889</v>
      </c>
      <c r="AE340" s="18">
        <v>45908.0</v>
      </c>
      <c r="AF340" s="22" t="s">
        <v>2918</v>
      </c>
      <c r="AG340" s="22" t="s">
        <v>67</v>
      </c>
      <c r="AH340" s="22" t="s">
        <v>2919</v>
      </c>
      <c r="AI340" s="62" t="str">
        <f>IFERROR(__xludf.DUMMYFUNCTION("IF(OR(W340="""",X340="""",AE340="""",AD340=""""),"""",
   TEXT(
     (
       (AE340+AD340 + IF(AE340+AD340 &lt; W340+X340,1,0)) - (W340+X340)
     )
     - IF(AND(AB340&lt;&gt;"""",AC340&lt;&gt;""""), 
          SUM(ARRAYFORMULA(SPLIT(AC340,"","") - SPLIT(AB340,"",""))"&amp;"), 
          0
       ),
     ""[hh]:mm""
   )
)
"),"03:29")</f>
        <v>03:29</v>
      </c>
      <c r="AJ340" s="27">
        <f t="shared" si="9"/>
        <v>0</v>
      </c>
      <c r="AK340" s="63" t="str">
        <f t="shared" si="10"/>
        <v>Pass</v>
      </c>
    </row>
    <row r="341">
      <c r="A341" s="18">
        <v>45908.0</v>
      </c>
      <c r="B341" s="20">
        <v>0.9652777777777778</v>
      </c>
      <c r="C341" s="18">
        <v>45909.0</v>
      </c>
      <c r="D341" s="79">
        <v>0.30069444444444443</v>
      </c>
      <c r="E341" s="22" t="s">
        <v>2920</v>
      </c>
      <c r="F341" s="22" t="s">
        <v>2921</v>
      </c>
      <c r="G341" s="22" t="s">
        <v>2922</v>
      </c>
      <c r="H341" s="22" t="s">
        <v>2593</v>
      </c>
      <c r="I341" s="22" t="s">
        <v>234</v>
      </c>
      <c r="J341" s="22" t="s">
        <v>42</v>
      </c>
      <c r="K341" s="22" t="s">
        <v>61</v>
      </c>
      <c r="L341" s="22" t="s">
        <v>183</v>
      </c>
      <c r="M341" s="22" t="s">
        <v>2923</v>
      </c>
      <c r="N341" s="22" t="s">
        <v>2924</v>
      </c>
      <c r="O341" s="23" t="s">
        <v>2925</v>
      </c>
      <c r="P341" s="22" t="s">
        <v>75</v>
      </c>
      <c r="Q341" s="50" t="s">
        <v>65</v>
      </c>
      <c r="R341" s="22" t="s">
        <v>2926</v>
      </c>
      <c r="S341" s="22" t="s">
        <v>51</v>
      </c>
      <c r="T341" s="22" t="s">
        <v>324</v>
      </c>
      <c r="U341" s="22" t="s">
        <v>2927</v>
      </c>
      <c r="V341" s="22" t="s">
        <v>2928</v>
      </c>
      <c r="W341" s="18">
        <v>45909.0</v>
      </c>
      <c r="X341" s="20">
        <v>0.30069444444444443</v>
      </c>
      <c r="Y341" s="18">
        <v>45909.0</v>
      </c>
      <c r="Z341" s="20">
        <v>0.42291666666666666</v>
      </c>
      <c r="AA341" s="20">
        <v>0.4375</v>
      </c>
      <c r="AB341" s="50" t="s">
        <v>2929</v>
      </c>
      <c r="AC341" s="50" t="s">
        <v>2930</v>
      </c>
      <c r="AD341" s="51">
        <v>0.625</v>
      </c>
      <c r="AE341" s="18">
        <v>45909.0</v>
      </c>
      <c r="AF341" s="22" t="s">
        <v>2931</v>
      </c>
      <c r="AG341" s="22" t="s">
        <v>293</v>
      </c>
      <c r="AH341" s="22" t="s">
        <v>2932</v>
      </c>
      <c r="AI341" s="26" t="str">
        <f>IFERROR(__xludf.DUMMYFUNCTION("IF(OR(W341="""",X341="""",AE341="""",AD341=""""),"""",
   TEXT(
     (
       (AE341+AD341 + IF(AE341+AD341 &lt; W341+X341,1,0)) - (W341+X341)
     )
     - IF(AND(AB341&lt;&gt;"""",AC341&lt;&gt;""""), 
          SUM(ARRAYFORMULA(SPLIT(AC341,"","") - SPLIT(AB341,"",""))"&amp;"), 
          0
       ),
     ""[hh]:mm""
   )
)
"),"05:26")</f>
        <v>05:26</v>
      </c>
      <c r="AJ341" s="55">
        <f t="shared" si="9"/>
        <v>0</v>
      </c>
      <c r="AK341" s="28" t="str">
        <f t="shared" si="10"/>
        <v>Pass</v>
      </c>
    </row>
    <row r="342">
      <c r="A342" s="18">
        <v>45909.0</v>
      </c>
      <c r="B342" s="20">
        <v>0.40555555555555556</v>
      </c>
      <c r="C342" s="18">
        <v>45909.0</v>
      </c>
      <c r="D342" s="20">
        <v>0.4076388888888889</v>
      </c>
      <c r="E342" s="22" t="s">
        <v>2933</v>
      </c>
      <c r="F342" s="22" t="s">
        <v>2910</v>
      </c>
      <c r="G342" s="22" t="s">
        <v>2911</v>
      </c>
      <c r="H342" s="22" t="s">
        <v>1468</v>
      </c>
      <c r="I342" s="22" t="s">
        <v>856</v>
      </c>
      <c r="J342" s="22" t="s">
        <v>1084</v>
      </c>
      <c r="K342" s="22" t="s">
        <v>2912</v>
      </c>
      <c r="L342" s="22" t="s">
        <v>2934</v>
      </c>
      <c r="M342" s="22">
        <v>8.61585014348606E14</v>
      </c>
      <c r="N342" s="22" t="s">
        <v>2935</v>
      </c>
      <c r="O342" s="23" t="s">
        <v>2936</v>
      </c>
      <c r="P342" s="22" t="s">
        <v>48</v>
      </c>
      <c r="Q342" s="50" t="s">
        <v>198</v>
      </c>
      <c r="R342" s="22" t="s">
        <v>2937</v>
      </c>
      <c r="S342" s="22" t="s">
        <v>51</v>
      </c>
      <c r="T342" s="22" t="s">
        <v>52</v>
      </c>
      <c r="U342" s="22" t="s">
        <v>52</v>
      </c>
      <c r="V342" s="22" t="s">
        <v>52</v>
      </c>
      <c r="W342" s="18">
        <v>45909.0</v>
      </c>
      <c r="X342" s="20">
        <v>0.4076388888888889</v>
      </c>
      <c r="Y342" s="18">
        <v>45909.0</v>
      </c>
      <c r="Z342" s="20">
        <v>0.5173611111111112</v>
      </c>
      <c r="AA342" s="20">
        <v>0.5451388888888888</v>
      </c>
      <c r="AB342" s="50" t="s">
        <v>2938</v>
      </c>
      <c r="AC342" s="50" t="s">
        <v>2939</v>
      </c>
      <c r="AD342" s="51">
        <v>0.6458333333333334</v>
      </c>
      <c r="AE342" s="18">
        <v>45909.0</v>
      </c>
      <c r="AF342" s="22" t="s">
        <v>2918</v>
      </c>
      <c r="AG342" s="22" t="s">
        <v>54</v>
      </c>
      <c r="AH342" s="22" t="s">
        <v>2940</v>
      </c>
      <c r="AI342" s="26" t="str">
        <f>IFERROR(__xludf.DUMMYFUNCTION("IF(OR(W342="""",X342="""",AE342="""",AD342=""""),"""",
   TEXT(
     (
       (AE342+AD342 + IF(AE342+AD342 &lt; W342+X342,1,0)) - (W342+X342)
     )
     - IF(AND(AB342&lt;&gt;"""",AC342&lt;&gt;""""), 
          SUM(ARRAYFORMULA(SPLIT(AC342,"","") - SPLIT(AB342,"",""))"&amp;"), 
          0
       ),
     ""[hh]:mm""
   )
)
"),"03:37")</f>
        <v>03:37</v>
      </c>
      <c r="AJ342" s="55">
        <f t="shared" si="9"/>
        <v>0</v>
      </c>
      <c r="AK342" s="28" t="str">
        <f t="shared" si="10"/>
        <v>Pass</v>
      </c>
    </row>
    <row r="343">
      <c r="A343" s="18">
        <v>45909.0</v>
      </c>
      <c r="B343" s="20">
        <v>0.5763888888888888</v>
      </c>
      <c r="C343" s="18">
        <v>45909.0</v>
      </c>
      <c r="D343" s="20">
        <v>0.5791666666666667</v>
      </c>
      <c r="E343" s="22" t="s">
        <v>2941</v>
      </c>
      <c r="F343" s="22" t="s">
        <v>2942</v>
      </c>
      <c r="G343" s="22" t="s">
        <v>2943</v>
      </c>
      <c r="H343" s="22" t="s">
        <v>182</v>
      </c>
      <c r="I343" s="22" t="s">
        <v>234</v>
      </c>
      <c r="J343" s="22" t="s">
        <v>42</v>
      </c>
      <c r="K343" s="22" t="s">
        <v>61</v>
      </c>
      <c r="L343" s="22" t="s">
        <v>183</v>
      </c>
      <c r="M343" s="22" t="s">
        <v>2944</v>
      </c>
      <c r="N343" s="22" t="s">
        <v>2945</v>
      </c>
      <c r="O343" s="23" t="s">
        <v>2946</v>
      </c>
      <c r="P343" s="22" t="s">
        <v>75</v>
      </c>
      <c r="Q343" s="50" t="s">
        <v>65</v>
      </c>
      <c r="R343" s="22" t="s">
        <v>2947</v>
      </c>
      <c r="S343" s="22" t="s">
        <v>51</v>
      </c>
      <c r="T343" s="22" t="s">
        <v>324</v>
      </c>
      <c r="U343" s="22" t="s">
        <v>2948</v>
      </c>
      <c r="V343" s="22" t="s">
        <v>2949</v>
      </c>
      <c r="W343" s="18">
        <v>45909.0</v>
      </c>
      <c r="X343" s="20">
        <v>0.5791666666666667</v>
      </c>
      <c r="Y343" s="18">
        <v>45909.0</v>
      </c>
      <c r="Z343" s="20">
        <v>0.5972222222222222</v>
      </c>
      <c r="AA343" s="20">
        <v>0.6111111111111112</v>
      </c>
      <c r="AB343" s="51">
        <v>0.7152777777777778</v>
      </c>
      <c r="AC343" s="51">
        <v>0.7986111111111112</v>
      </c>
      <c r="AD343" s="51">
        <v>0.8229166666666666</v>
      </c>
      <c r="AE343" s="18">
        <v>45909.0</v>
      </c>
      <c r="AF343" s="22" t="s">
        <v>2819</v>
      </c>
      <c r="AG343" s="22" t="s">
        <v>78</v>
      </c>
      <c r="AH343" s="22" t="s">
        <v>2950</v>
      </c>
      <c r="AI343" s="26" t="str">
        <f>IFERROR(__xludf.DUMMYFUNCTION("IF(OR(W343="""",X343="""",AE343="""",AD343=""""),"""",
   TEXT(
     (
       (AE343+AD343 + IF(AE343+AD343 &lt; W343+X343,1,0)) - (W343+X343)
     )
     - IF(AND(AB343&lt;&gt;"""",AC343&lt;&gt;""""), 
          SUM(ARRAYFORMULA(SPLIT(AC343,"","") - SPLIT(AB343,"",""))"&amp;"), 
          0
       ),
     ""[hh]:mm""
   )
)
"),"03:51")</f>
        <v>03:51</v>
      </c>
      <c r="AJ343" s="55">
        <f t="shared" si="9"/>
        <v>0</v>
      </c>
      <c r="AK343" s="28" t="str">
        <f t="shared" si="10"/>
        <v>Pass</v>
      </c>
    </row>
    <row r="344">
      <c r="A344" s="18">
        <v>45909.0</v>
      </c>
      <c r="B344" s="20">
        <v>0.5979166666666667</v>
      </c>
      <c r="C344" s="18">
        <v>45909.0</v>
      </c>
      <c r="D344" s="20">
        <v>0.6069444444444444</v>
      </c>
      <c r="E344" s="22" t="s">
        <v>2951</v>
      </c>
      <c r="F344" s="22" t="s">
        <v>473</v>
      </c>
      <c r="G344" s="22" t="s">
        <v>474</v>
      </c>
      <c r="H344" s="22" t="s">
        <v>1019</v>
      </c>
      <c r="I344" s="22" t="s">
        <v>2952</v>
      </c>
      <c r="J344" s="22" t="s">
        <v>1262</v>
      </c>
      <c r="K344" s="22" t="s">
        <v>43</v>
      </c>
      <c r="L344" s="22" t="s">
        <v>44</v>
      </c>
      <c r="M344" s="22" t="s">
        <v>2953</v>
      </c>
      <c r="N344" s="22" t="s">
        <v>2954</v>
      </c>
      <c r="O344" s="23" t="s">
        <v>2955</v>
      </c>
      <c r="P344" s="22" t="s">
        <v>75</v>
      </c>
      <c r="Q344" s="50" t="s">
        <v>65</v>
      </c>
      <c r="R344" s="22" t="s">
        <v>2956</v>
      </c>
      <c r="S344" s="22" t="s">
        <v>51</v>
      </c>
      <c r="T344" s="22" t="s">
        <v>52</v>
      </c>
      <c r="U344" s="22" t="s">
        <v>52</v>
      </c>
      <c r="V344" s="22" t="s">
        <v>52</v>
      </c>
      <c r="W344" s="18">
        <v>45909.0</v>
      </c>
      <c r="X344" s="20">
        <v>0.6069444444444444</v>
      </c>
      <c r="Y344" s="18">
        <v>45909.0</v>
      </c>
      <c r="Z344" s="20">
        <v>0.7090277777777778</v>
      </c>
      <c r="AA344" s="20">
        <v>0.7097222222222223</v>
      </c>
      <c r="AB344" s="54"/>
      <c r="AC344" s="54"/>
      <c r="AD344" s="51">
        <v>0.7395833333333334</v>
      </c>
      <c r="AE344" s="18">
        <v>45909.0</v>
      </c>
      <c r="AF344" s="22" t="s">
        <v>2957</v>
      </c>
      <c r="AG344" s="22" t="s">
        <v>67</v>
      </c>
      <c r="AH344" s="22" t="s">
        <v>2958</v>
      </c>
      <c r="AI344" s="26" t="str">
        <f>IFERROR(__xludf.DUMMYFUNCTION("IF(OR(W344="""",X344="""",AE344="""",AD344=""""),"""",
   TEXT(
     (
       (AE344+AD344 + IF(AE344+AD344 &lt; W344+X344,1,0)) - (W344+X344)
     )
     - IF(AND(AB344&lt;&gt;"""",AC344&lt;&gt;""""), 
          SUM(ARRAYFORMULA(SPLIT(AC344,"","") - SPLIT(AB344,"",""))"&amp;"), 
          0
       ),
     ""[hh]:mm""
   )
)
"),"03:11")</f>
        <v>03:11</v>
      </c>
      <c r="AJ344" s="55">
        <f t="shared" si="9"/>
        <v>0</v>
      </c>
      <c r="AK344" s="28" t="str">
        <f t="shared" si="10"/>
        <v>Pass</v>
      </c>
    </row>
    <row r="345">
      <c r="A345" s="45">
        <v>45909.0</v>
      </c>
      <c r="B345" s="49">
        <v>0.73125</v>
      </c>
      <c r="C345" s="45">
        <v>45909.0</v>
      </c>
      <c r="D345" s="49">
        <v>0.7388888888888889</v>
      </c>
      <c r="E345" s="21" t="s">
        <v>2959</v>
      </c>
      <c r="F345" s="21" t="s">
        <v>202</v>
      </c>
      <c r="G345" s="21" t="s">
        <v>203</v>
      </c>
      <c r="H345" s="21" t="s">
        <v>2960</v>
      </c>
      <c r="I345" s="21" t="s">
        <v>95</v>
      </c>
      <c r="J345" s="21" t="s">
        <v>95</v>
      </c>
      <c r="K345" s="21" t="s">
        <v>2961</v>
      </c>
      <c r="L345" s="21" t="s">
        <v>2353</v>
      </c>
      <c r="M345" s="21" t="s">
        <v>2962</v>
      </c>
      <c r="N345" s="21" t="s">
        <v>2963</v>
      </c>
      <c r="O345" s="48" t="s">
        <v>2964</v>
      </c>
      <c r="P345" s="21" t="s">
        <v>48</v>
      </c>
      <c r="Q345" s="24" t="s">
        <v>49</v>
      </c>
      <c r="R345" s="21" t="s">
        <v>2965</v>
      </c>
      <c r="S345" s="21" t="s">
        <v>51</v>
      </c>
      <c r="T345" s="21" t="s">
        <v>52</v>
      </c>
      <c r="U345" s="21" t="s">
        <v>52</v>
      </c>
      <c r="V345" s="21" t="s">
        <v>52</v>
      </c>
      <c r="W345" s="45">
        <v>45909.0</v>
      </c>
      <c r="X345" s="49">
        <v>0.7388888888888889</v>
      </c>
      <c r="Y345" s="45">
        <v>45909.0</v>
      </c>
      <c r="Z345" s="49">
        <v>0.8222222222222222</v>
      </c>
      <c r="AA345" s="49">
        <v>0.8222222222222222</v>
      </c>
      <c r="AB345" s="29"/>
      <c r="AC345" s="29"/>
      <c r="AD345" s="25">
        <v>0.8854166666666666</v>
      </c>
      <c r="AE345" s="45">
        <v>45909.0</v>
      </c>
      <c r="AF345" s="21" t="s">
        <v>2828</v>
      </c>
      <c r="AG345" s="21" t="s">
        <v>239</v>
      </c>
      <c r="AH345" s="21" t="s">
        <v>2966</v>
      </c>
      <c r="AI345" s="62" t="str">
        <f>IFERROR(__xludf.DUMMYFUNCTION("IF(OR(W345="""",X345="""",AE345="""",AD345=""""),"""",
   TEXT(
     (
       (AE345+AD345 + IF(AE345+AD345 &lt; W345+X345,1,0)) - (W345+X345)
     )
     - IF(AND(AB345&lt;&gt;"""",AC345&lt;&gt;""""), 
          SUM(ARRAYFORMULA(SPLIT(AC345,"","") - SPLIT(AB345,"",""))"&amp;"), 
          0
       ),
     ""[hh]:mm""
   )
)
"),"03:31")</f>
        <v>03:31</v>
      </c>
      <c r="AJ345" s="27">
        <f t="shared" si="9"/>
        <v>0</v>
      </c>
      <c r="AK345" s="63" t="str">
        <f t="shared" si="10"/>
        <v>Pass</v>
      </c>
    </row>
    <row r="346">
      <c r="A346" s="45">
        <v>45909.0</v>
      </c>
      <c r="B346" s="49">
        <v>0.9611111111111111</v>
      </c>
      <c r="C346" s="45">
        <v>45910.0</v>
      </c>
      <c r="D346" s="80">
        <v>0.29583333333333334</v>
      </c>
      <c r="E346" s="21" t="s">
        <v>2967</v>
      </c>
      <c r="F346" s="21" t="s">
        <v>212</v>
      </c>
      <c r="G346" s="21" t="s">
        <v>213</v>
      </c>
      <c r="H346" s="21" t="s">
        <v>377</v>
      </c>
      <c r="I346" s="21" t="s">
        <v>60</v>
      </c>
      <c r="J346" s="21" t="s">
        <v>42</v>
      </c>
      <c r="K346" s="21" t="s">
        <v>61</v>
      </c>
      <c r="L346" s="21" t="s">
        <v>183</v>
      </c>
      <c r="M346" s="21" t="s">
        <v>2968</v>
      </c>
      <c r="N346" s="21" t="s">
        <v>2969</v>
      </c>
      <c r="O346" s="48" t="s">
        <v>2970</v>
      </c>
      <c r="P346" s="21" t="s">
        <v>75</v>
      </c>
      <c r="Q346" s="24" t="s">
        <v>65</v>
      </c>
      <c r="R346" s="21" t="s">
        <v>1405</v>
      </c>
      <c r="S346" s="21" t="s">
        <v>51</v>
      </c>
      <c r="T346" s="21" t="s">
        <v>52</v>
      </c>
      <c r="U346" s="21" t="s">
        <v>52</v>
      </c>
      <c r="V346" s="21" t="s">
        <v>52</v>
      </c>
      <c r="W346" s="45">
        <v>45910.0</v>
      </c>
      <c r="X346" s="49">
        <v>0.29583333333333334</v>
      </c>
      <c r="Y346" s="45">
        <v>45910.0</v>
      </c>
      <c r="Z346" s="49">
        <v>0.46458333333333335</v>
      </c>
      <c r="AA346" s="49">
        <v>0.4652777777777778</v>
      </c>
      <c r="AB346" s="29"/>
      <c r="AC346" s="29"/>
      <c r="AD346" s="25">
        <v>0.5416666666666666</v>
      </c>
      <c r="AE346" s="45">
        <v>45910.0</v>
      </c>
      <c r="AF346" s="21" t="s">
        <v>2971</v>
      </c>
      <c r="AG346" s="21" t="s">
        <v>293</v>
      </c>
      <c r="AH346" s="21" t="s">
        <v>2972</v>
      </c>
      <c r="AI346" s="62" t="str">
        <f>IFERROR(__xludf.DUMMYFUNCTION("IF(OR(W346="""",X346="""",AE346="""",AD346=""""),"""",
   TEXT(
     (
       (AE346+AD346 + IF(AE346+AD346 &lt; W346+X346,1,0)) - (W346+X346)
     )
     - IF(AND(AB346&lt;&gt;"""",AC346&lt;&gt;""""), 
          SUM(ARRAYFORMULA(SPLIT(AC346,"","") - SPLIT(AB346,"",""))"&amp;"), 
          0
       ),
     ""[hh]:mm""
   )
)
"),"05:54")</f>
        <v>05:54</v>
      </c>
      <c r="AJ346" s="27">
        <f t="shared" si="9"/>
        <v>0</v>
      </c>
      <c r="AK346" s="63" t="str">
        <f t="shared" si="10"/>
        <v>Pass</v>
      </c>
    </row>
    <row r="347">
      <c r="A347" s="45">
        <v>45910.0</v>
      </c>
      <c r="B347" s="49">
        <v>0.3645833333333333</v>
      </c>
      <c r="C347" s="45">
        <v>45910.0</v>
      </c>
      <c r="D347" s="49">
        <v>0.36666666666666664</v>
      </c>
      <c r="E347" s="21" t="s">
        <v>2973</v>
      </c>
      <c r="F347" s="21" t="s">
        <v>2974</v>
      </c>
      <c r="G347" s="21" t="s">
        <v>2975</v>
      </c>
      <c r="H347" s="21" t="s">
        <v>182</v>
      </c>
      <c r="I347" s="21" t="s">
        <v>234</v>
      </c>
      <c r="J347" s="21" t="s">
        <v>42</v>
      </c>
      <c r="K347" s="21" t="s">
        <v>61</v>
      </c>
      <c r="L347" s="21" t="s">
        <v>183</v>
      </c>
      <c r="M347" s="21" t="s">
        <v>2976</v>
      </c>
      <c r="N347" s="21" t="s">
        <v>2977</v>
      </c>
      <c r="O347" s="48" t="s">
        <v>2978</v>
      </c>
      <c r="P347" s="21" t="s">
        <v>75</v>
      </c>
      <c r="Q347" s="24" t="s">
        <v>65</v>
      </c>
      <c r="R347" s="21" t="s">
        <v>2979</v>
      </c>
      <c r="S347" s="21" t="s">
        <v>51</v>
      </c>
      <c r="T347" s="21" t="s">
        <v>2125</v>
      </c>
      <c r="U347" s="21" t="s">
        <v>2980</v>
      </c>
      <c r="V347" s="21" t="s">
        <v>2981</v>
      </c>
      <c r="W347" s="45">
        <v>45910.0</v>
      </c>
      <c r="X347" s="49">
        <v>0.36666666666666664</v>
      </c>
      <c r="Y347" s="45">
        <v>45910.0</v>
      </c>
      <c r="Z347" s="49">
        <v>0.4444444444444444</v>
      </c>
      <c r="AA347" s="49">
        <v>0.5</v>
      </c>
      <c r="AB347" s="25">
        <v>0.5208333333333334</v>
      </c>
      <c r="AC347" s="25">
        <v>0.5416666666666666</v>
      </c>
      <c r="AD347" s="25">
        <v>0.625</v>
      </c>
      <c r="AE347" s="45">
        <v>45910.0</v>
      </c>
      <c r="AF347" s="21" t="s">
        <v>2839</v>
      </c>
      <c r="AG347" s="21" t="s">
        <v>54</v>
      </c>
      <c r="AH347" s="21" t="s">
        <v>2982</v>
      </c>
      <c r="AI347" s="62" t="str">
        <f>IFERROR(__xludf.DUMMYFUNCTION("IF(OR(W347="""",X347="""",AE347="""",AD347=""""),"""",
   TEXT(
     (
       (AE347+AD347 + IF(AE347+AD347 &lt; W347+X347,1,0)) - (W347+X347)
     )
     - IF(AND(AB347&lt;&gt;"""",AC347&lt;&gt;""""), 
          SUM(ARRAYFORMULA(SPLIT(AC347,"","") - SPLIT(AB347,"",""))"&amp;"), 
          0
       ),
     ""[hh]:mm""
   )
)
"),"05:42")</f>
        <v>05:42</v>
      </c>
      <c r="AJ347" s="27">
        <f t="shared" si="9"/>
        <v>0</v>
      </c>
      <c r="AK347" s="63" t="str">
        <f t="shared" si="10"/>
        <v>Pass</v>
      </c>
    </row>
    <row r="348">
      <c r="A348" s="18">
        <v>45899.0</v>
      </c>
      <c r="B348" s="20">
        <v>0.45</v>
      </c>
      <c r="C348" s="18">
        <v>45909.0</v>
      </c>
      <c r="D348" s="79">
        <v>0.6013888888888889</v>
      </c>
      <c r="E348" s="22" t="s">
        <v>2983</v>
      </c>
      <c r="F348" s="22" t="s">
        <v>2984</v>
      </c>
      <c r="G348" s="22" t="s">
        <v>2985</v>
      </c>
      <c r="H348" s="22" t="s">
        <v>2352</v>
      </c>
      <c r="I348" s="22" t="s">
        <v>2626</v>
      </c>
      <c r="J348" s="22" t="s">
        <v>2626</v>
      </c>
      <c r="K348" s="22" t="s">
        <v>52</v>
      </c>
      <c r="L348" s="22" t="s">
        <v>52</v>
      </c>
      <c r="M348" s="22" t="s">
        <v>52</v>
      </c>
      <c r="N348" s="22" t="s">
        <v>2986</v>
      </c>
      <c r="O348" s="23" t="s">
        <v>2987</v>
      </c>
      <c r="P348" s="22" t="s">
        <v>48</v>
      </c>
      <c r="Q348" s="50" t="s">
        <v>449</v>
      </c>
      <c r="R348" s="22" t="s">
        <v>2988</v>
      </c>
      <c r="S348" s="22" t="s">
        <v>51</v>
      </c>
      <c r="T348" s="22" t="s">
        <v>52</v>
      </c>
      <c r="U348" s="22" t="s">
        <v>52</v>
      </c>
      <c r="V348" s="22" t="s">
        <v>52</v>
      </c>
      <c r="W348" s="18">
        <v>45911.0</v>
      </c>
      <c r="X348" s="20">
        <v>0.9583333333333334</v>
      </c>
      <c r="Y348" s="18">
        <v>45911.0</v>
      </c>
      <c r="Z348" s="20">
        <v>0.9833333333333333</v>
      </c>
      <c r="AA348" s="20">
        <v>0.9833333333333333</v>
      </c>
      <c r="AB348" s="54"/>
      <c r="AC348" s="54"/>
      <c r="AD348" s="51">
        <v>0.09166666666666666</v>
      </c>
      <c r="AE348" s="18">
        <v>45912.0</v>
      </c>
      <c r="AF348" s="22" t="s">
        <v>2989</v>
      </c>
      <c r="AG348" s="22" t="s">
        <v>239</v>
      </c>
      <c r="AH348" s="22" t="s">
        <v>2990</v>
      </c>
      <c r="AI348" s="26" t="str">
        <f>IFERROR(__xludf.DUMMYFUNCTION("IF(OR(W348="""",X348="""",AE348="""",AD348=""""),"""",
   TEXT(
     (
       (AE348+AD348 + IF(AE348+AD348 &lt; W348+X348,1,0)) - (W348+X348)
     )
     - IF(AND(AB348&lt;&gt;"""",AC348&lt;&gt;""""), 
          SUM(ARRAYFORMULA(SPLIT(AC348,"","") - SPLIT(AB348,"",""))"&amp;"), 
          0
       ),
     ""[hh]:mm""
   )
)
"),"03:12")</f>
        <v>03:12</v>
      </c>
      <c r="AJ348" s="55">
        <f t="shared" si="9"/>
        <v>0</v>
      </c>
      <c r="AK348" s="28" t="str">
        <f t="shared" si="10"/>
        <v>Pass</v>
      </c>
    </row>
    <row r="349">
      <c r="A349" s="18">
        <v>45910.0</v>
      </c>
      <c r="B349" s="20">
        <v>0.9833333333333333</v>
      </c>
      <c r="C349" s="18">
        <v>45911.0</v>
      </c>
      <c r="D349" s="79">
        <v>0.29930555555555555</v>
      </c>
      <c r="E349" s="22" t="s">
        <v>2991</v>
      </c>
      <c r="F349" s="22" t="s">
        <v>2992</v>
      </c>
      <c r="G349" s="22" t="s">
        <v>2993</v>
      </c>
      <c r="H349" s="22" t="s">
        <v>605</v>
      </c>
      <c r="I349" s="22" t="s">
        <v>644</v>
      </c>
      <c r="J349" s="22" t="s">
        <v>644</v>
      </c>
      <c r="K349" s="22" t="s">
        <v>143</v>
      </c>
      <c r="L349" s="22" t="s">
        <v>1498</v>
      </c>
      <c r="M349" s="22" t="s">
        <v>2994</v>
      </c>
      <c r="N349" s="22" t="s">
        <v>2995</v>
      </c>
      <c r="O349" s="23" t="s">
        <v>2996</v>
      </c>
      <c r="P349" s="22" t="s">
        <v>75</v>
      </c>
      <c r="Q349" s="50" t="s">
        <v>65</v>
      </c>
      <c r="R349" s="22" t="s">
        <v>2997</v>
      </c>
      <c r="S349" s="22" t="s">
        <v>51</v>
      </c>
      <c r="T349" s="22" t="s">
        <v>324</v>
      </c>
      <c r="U349" s="22" t="s">
        <v>1388</v>
      </c>
      <c r="V349" s="22" t="s">
        <v>2998</v>
      </c>
      <c r="W349" s="18">
        <v>45911.0</v>
      </c>
      <c r="X349" s="20">
        <v>0.29930555555555555</v>
      </c>
      <c r="Y349" s="18">
        <v>45911.0</v>
      </c>
      <c r="Z349" s="20">
        <v>0.4270833333333333</v>
      </c>
      <c r="AA349" s="20">
        <v>0.4305555555555556</v>
      </c>
      <c r="AB349" s="50" t="s">
        <v>2999</v>
      </c>
      <c r="AC349" s="50" t="s">
        <v>3000</v>
      </c>
      <c r="AD349" s="51">
        <v>0.125</v>
      </c>
      <c r="AE349" s="18">
        <v>45912.0</v>
      </c>
      <c r="AF349" s="22" t="s">
        <v>2971</v>
      </c>
      <c r="AG349" s="22" t="s">
        <v>3001</v>
      </c>
      <c r="AH349" s="22" t="s">
        <v>3002</v>
      </c>
      <c r="AI349" s="26" t="str">
        <f>IFERROR(__xludf.DUMMYFUNCTION("IF(OR(W349="""",X349="""",AE349="""",AD349=""""),"""",
   TEXT(
     (
       (AE349+AD349 + IF(AE349+AD349 &lt; W349+X349,1,0)) - (W349+X349)
     )
     - IF(AND(AB349&lt;&gt;"""",AC349&lt;&gt;""""), 
          SUM(ARRAYFORMULA(SPLIT(AC349,"","") - SPLIT(AB349,"",""))"&amp;"), 
          0
       ),
     ""[hh]:mm""
   )
)
"),"06:37")</f>
        <v>06:37</v>
      </c>
      <c r="AJ349" s="55">
        <f t="shared" si="9"/>
        <v>0</v>
      </c>
      <c r="AK349" s="28" t="str">
        <f t="shared" si="10"/>
        <v>Pass</v>
      </c>
    </row>
    <row r="350">
      <c r="A350" s="45">
        <v>45911.0</v>
      </c>
      <c r="B350" s="49">
        <v>0.39166666666666666</v>
      </c>
      <c r="C350" s="45">
        <v>45911.0</v>
      </c>
      <c r="D350" s="49">
        <v>0.39375</v>
      </c>
      <c r="E350" s="21" t="s">
        <v>3003</v>
      </c>
      <c r="F350" s="21" t="s">
        <v>165</v>
      </c>
      <c r="G350" s="21" t="s">
        <v>166</v>
      </c>
      <c r="H350" s="21" t="s">
        <v>2184</v>
      </c>
      <c r="I350" s="21" t="s">
        <v>867</v>
      </c>
      <c r="J350" s="21" t="s">
        <v>2626</v>
      </c>
      <c r="K350" s="21" t="s">
        <v>52</v>
      </c>
      <c r="L350" s="21" t="s">
        <v>52</v>
      </c>
      <c r="M350" s="21" t="s">
        <v>52</v>
      </c>
      <c r="N350" s="21" t="s">
        <v>3004</v>
      </c>
      <c r="O350" s="48" t="s">
        <v>3005</v>
      </c>
      <c r="P350" s="21" t="s">
        <v>48</v>
      </c>
      <c r="Q350" s="24" t="s">
        <v>65</v>
      </c>
      <c r="R350" s="21" t="s">
        <v>3006</v>
      </c>
      <c r="S350" s="21" t="s">
        <v>51</v>
      </c>
      <c r="T350" s="21" t="s">
        <v>52</v>
      </c>
      <c r="U350" s="21" t="s">
        <v>52</v>
      </c>
      <c r="V350" s="21" t="s">
        <v>52</v>
      </c>
      <c r="W350" s="45">
        <v>45911.0</v>
      </c>
      <c r="X350" s="49">
        <v>0.39375</v>
      </c>
      <c r="Y350" s="45">
        <v>45911.0</v>
      </c>
      <c r="Z350" s="49">
        <v>0.6527777777777778</v>
      </c>
      <c r="AA350" s="49">
        <v>0.65625</v>
      </c>
      <c r="AB350" s="29"/>
      <c r="AC350" s="29"/>
      <c r="AD350" s="25">
        <v>0.6805555555555556</v>
      </c>
      <c r="AE350" s="45">
        <v>45911.0</v>
      </c>
      <c r="AF350" s="21" t="s">
        <v>3007</v>
      </c>
      <c r="AG350" s="21" t="s">
        <v>1582</v>
      </c>
      <c r="AH350" s="21" t="s">
        <v>3008</v>
      </c>
      <c r="AI350" s="26" t="str">
        <f>IFERROR(__xludf.DUMMYFUNCTION("IF(OR(W350="""",X350="""",AE350="""",AD350=""""),"""",
   TEXT(
     (
       (AE350+AD350 + IF(AE350+AD350 &lt; W350+X350,1,0)) - (W350+X350)
     )
     - IF(AND(AB350&lt;&gt;"""",AC350&lt;&gt;""""), 
          SUM(ARRAYFORMULA(SPLIT(AC350,"","") - SPLIT(AB350,"",""))"&amp;"), 
          0
       ),
     ""[hh]:mm""
   )
)
"),"06:53")</f>
        <v>06:53</v>
      </c>
      <c r="AJ350" s="55">
        <f t="shared" si="9"/>
        <v>0</v>
      </c>
      <c r="AK350" s="28" t="str">
        <f t="shared" si="10"/>
        <v>Pass</v>
      </c>
    </row>
    <row r="351">
      <c r="A351" s="45">
        <v>45911.0</v>
      </c>
      <c r="B351" s="49">
        <v>0.3993055555555556</v>
      </c>
      <c r="C351" s="45">
        <v>45911.0</v>
      </c>
      <c r="D351" s="49">
        <v>0.4013888888888889</v>
      </c>
      <c r="E351" s="21" t="s">
        <v>3009</v>
      </c>
      <c r="F351" s="21" t="s">
        <v>140</v>
      </c>
      <c r="G351" s="21" t="s">
        <v>835</v>
      </c>
      <c r="H351" s="21" t="s">
        <v>855</v>
      </c>
      <c r="I351" s="21" t="s">
        <v>577</v>
      </c>
      <c r="J351" s="21" t="s">
        <v>309</v>
      </c>
      <c r="K351" s="21" t="s">
        <v>3010</v>
      </c>
      <c r="L351" s="21" t="s">
        <v>52</v>
      </c>
      <c r="M351" s="21" t="s">
        <v>52</v>
      </c>
      <c r="N351" s="21" t="s">
        <v>1434</v>
      </c>
      <c r="O351" s="48" t="s">
        <v>3011</v>
      </c>
      <c r="P351" s="21" t="s">
        <v>48</v>
      </c>
      <c r="Q351" s="24" t="s">
        <v>65</v>
      </c>
      <c r="R351" s="21" t="s">
        <v>3012</v>
      </c>
      <c r="S351" s="21" t="s">
        <v>51</v>
      </c>
      <c r="T351" s="21" t="s">
        <v>52</v>
      </c>
      <c r="U351" s="21" t="s">
        <v>52</v>
      </c>
      <c r="V351" s="21" t="s">
        <v>52</v>
      </c>
      <c r="W351" s="45">
        <v>45911.0</v>
      </c>
      <c r="X351" s="49">
        <v>0.4013888888888889</v>
      </c>
      <c r="Y351" s="45">
        <v>45911.0</v>
      </c>
      <c r="Z351" s="49">
        <v>0.47152777777777777</v>
      </c>
      <c r="AA351" s="49">
        <v>0.4722222222222222</v>
      </c>
      <c r="AB351" s="29"/>
      <c r="AC351" s="29"/>
      <c r="AD351" s="25">
        <v>0.5416666666666666</v>
      </c>
      <c r="AE351" s="45">
        <v>45911.0</v>
      </c>
      <c r="AF351" s="21" t="s">
        <v>3007</v>
      </c>
      <c r="AG351" s="21" t="s">
        <v>1482</v>
      </c>
      <c r="AH351" s="21" t="s">
        <v>3013</v>
      </c>
      <c r="AI351" s="26" t="str">
        <f>IFERROR(__xludf.DUMMYFUNCTION("IF(OR(W351="""",X351="""",AE351="""",AD351=""""),"""",
   TEXT(
     (
       (AE351+AD351 + IF(AE351+AD351 &lt; W351+X351,1,0)) - (W351+X351)
     )
     - IF(AND(AB351&lt;&gt;"""",AC351&lt;&gt;""""), 
          SUM(ARRAYFORMULA(SPLIT(AC351,"","") - SPLIT(AB351,"",""))"&amp;"), 
          0
       ),
     ""[hh]:mm""
   )
)
"),"03:22")</f>
        <v>03:22</v>
      </c>
      <c r="AJ351" s="55">
        <f t="shared" si="9"/>
        <v>0</v>
      </c>
      <c r="AK351" s="28" t="str">
        <f t="shared" si="10"/>
        <v>Pass</v>
      </c>
    </row>
    <row r="352">
      <c r="A352" s="45">
        <v>45911.0</v>
      </c>
      <c r="B352" s="49">
        <v>0.4201388888888889</v>
      </c>
      <c r="C352" s="45">
        <v>45911.0</v>
      </c>
      <c r="D352" s="49">
        <v>0.42083333333333334</v>
      </c>
      <c r="E352" s="21" t="s">
        <v>3014</v>
      </c>
      <c r="F352" s="21" t="s">
        <v>1664</v>
      </c>
      <c r="G352" s="21" t="s">
        <v>1665</v>
      </c>
      <c r="H352" s="21" t="s">
        <v>1468</v>
      </c>
      <c r="I352" s="21" t="s">
        <v>815</v>
      </c>
      <c r="J352" s="21" t="s">
        <v>1084</v>
      </c>
      <c r="K352" s="21" t="s">
        <v>1998</v>
      </c>
      <c r="L352" s="21" t="s">
        <v>1999</v>
      </c>
      <c r="M352" s="21" t="s">
        <v>3015</v>
      </c>
      <c r="N352" s="21" t="s">
        <v>3016</v>
      </c>
      <c r="O352" s="48" t="s">
        <v>3017</v>
      </c>
      <c r="P352" s="21" t="s">
        <v>48</v>
      </c>
      <c r="Q352" s="24" t="s">
        <v>198</v>
      </c>
      <c r="R352" s="21" t="s">
        <v>3018</v>
      </c>
      <c r="S352" s="21" t="s">
        <v>51</v>
      </c>
      <c r="T352" s="21" t="s">
        <v>3019</v>
      </c>
      <c r="U352" s="21" t="s">
        <v>3020</v>
      </c>
      <c r="V352" s="21">
        <v>3.5605308242284E14</v>
      </c>
      <c r="W352" s="45">
        <v>45911.0</v>
      </c>
      <c r="X352" s="49">
        <v>0.42083333333333334</v>
      </c>
      <c r="Y352" s="45">
        <v>45911.0</v>
      </c>
      <c r="Z352" s="49">
        <v>0.5</v>
      </c>
      <c r="AA352" s="49">
        <v>0.5416666666666666</v>
      </c>
      <c r="AB352" s="25">
        <v>0.5</v>
      </c>
      <c r="AC352" s="25">
        <v>0.53125</v>
      </c>
      <c r="AD352" s="25">
        <v>0.5972222222222222</v>
      </c>
      <c r="AE352" s="45">
        <v>45911.0</v>
      </c>
      <c r="AF352" s="21" t="s">
        <v>3021</v>
      </c>
      <c r="AG352" s="21" t="s">
        <v>3022</v>
      </c>
      <c r="AH352" s="21" t="s">
        <v>1670</v>
      </c>
      <c r="AI352" s="26" t="str">
        <f>IFERROR(__xludf.DUMMYFUNCTION("IF(OR(W352="""",X352="""",AE352="""",AD352=""""),"""",
   TEXT(
     (
       (AE352+AD352 + IF(AE352+AD352 &lt; W352+X352,1,0)) - (W352+X352)
     )
     - IF(AND(AB352&lt;&gt;"""",AC352&lt;&gt;""""), 
          SUM(ARRAYFORMULA(SPLIT(AC352,"","") - SPLIT(AB352,"",""))"&amp;"), 
          0
       ),
     ""[hh]:mm""
   )
)
"),"03:29")</f>
        <v>03:29</v>
      </c>
      <c r="AJ352" s="55">
        <f t="shared" si="9"/>
        <v>0</v>
      </c>
      <c r="AK352" s="28" t="str">
        <f t="shared" si="10"/>
        <v>Pass</v>
      </c>
    </row>
    <row r="353">
      <c r="A353" s="45">
        <v>45911.0</v>
      </c>
      <c r="B353" s="49">
        <v>0.4166666666666667</v>
      </c>
      <c r="C353" s="45">
        <v>45911.0</v>
      </c>
      <c r="D353" s="49">
        <v>0.41875</v>
      </c>
      <c r="E353" s="21" t="s">
        <v>3023</v>
      </c>
      <c r="F353" s="21" t="s">
        <v>3024</v>
      </c>
      <c r="G353" s="21" t="s">
        <v>3025</v>
      </c>
      <c r="H353" s="21" t="s">
        <v>2184</v>
      </c>
      <c r="I353" s="21" t="s">
        <v>867</v>
      </c>
      <c r="J353" s="21" t="s">
        <v>2626</v>
      </c>
      <c r="K353" s="21" t="s">
        <v>635</v>
      </c>
      <c r="L353" s="21" t="s">
        <v>3026</v>
      </c>
      <c r="M353" s="21" t="s">
        <v>3026</v>
      </c>
      <c r="N353" s="21" t="s">
        <v>3027</v>
      </c>
      <c r="O353" s="48" t="s">
        <v>3028</v>
      </c>
      <c r="P353" s="21" t="s">
        <v>48</v>
      </c>
      <c r="Q353" s="24" t="s">
        <v>65</v>
      </c>
      <c r="R353" s="21" t="s">
        <v>3029</v>
      </c>
      <c r="S353" s="21" t="s">
        <v>51</v>
      </c>
      <c r="T353" s="21" t="s">
        <v>52</v>
      </c>
      <c r="U353" s="21" t="s">
        <v>52</v>
      </c>
      <c r="V353" s="21" t="s">
        <v>52</v>
      </c>
      <c r="W353" s="45">
        <v>45911.0</v>
      </c>
      <c r="X353" s="49">
        <v>0.41875</v>
      </c>
      <c r="Y353" s="45">
        <v>45911.0</v>
      </c>
      <c r="Z353" s="49">
        <v>0.4722222222222222</v>
      </c>
      <c r="AA353" s="49">
        <v>0.4756944444444444</v>
      </c>
      <c r="AB353" s="29"/>
      <c r="AC353" s="29"/>
      <c r="AD353" s="25">
        <v>0.5</v>
      </c>
      <c r="AE353" s="45">
        <v>45911.0</v>
      </c>
      <c r="AF353" s="21" t="s">
        <v>3007</v>
      </c>
      <c r="AG353" s="21" t="s">
        <v>67</v>
      </c>
      <c r="AH353" s="21" t="s">
        <v>3030</v>
      </c>
      <c r="AI353" s="26" t="str">
        <f>IFERROR(__xludf.DUMMYFUNCTION("IF(OR(W353="""",X353="""",AE353="""",AD353=""""),"""",
   TEXT(
     (
       (AE353+AD353 + IF(AE353+AD353 &lt; W353+X353,1,0)) - (W353+X353)
     )
     - IF(AND(AB353&lt;&gt;"""",AC353&lt;&gt;""""), 
          SUM(ARRAYFORMULA(SPLIT(AC353,"","") - SPLIT(AB353,"",""))"&amp;"), 
          0
       ),
     ""[hh]:mm""
   )
)
"),"01:57")</f>
        <v>01:57</v>
      </c>
      <c r="AJ353" s="55">
        <f t="shared" si="9"/>
        <v>0</v>
      </c>
      <c r="AK353" s="28" t="str">
        <f t="shared" si="10"/>
        <v>Pass</v>
      </c>
    </row>
    <row r="354">
      <c r="A354" s="45">
        <v>45911.0</v>
      </c>
      <c r="B354" s="49">
        <v>0.4888888888888889</v>
      </c>
      <c r="C354" s="45">
        <v>45911.0</v>
      </c>
      <c r="D354" s="49">
        <v>0.49930555555555556</v>
      </c>
      <c r="E354" s="21" t="s">
        <v>3031</v>
      </c>
      <c r="F354" s="21" t="s">
        <v>3032</v>
      </c>
      <c r="G354" s="21" t="s">
        <v>3033</v>
      </c>
      <c r="H354" s="21" t="s">
        <v>2603</v>
      </c>
      <c r="I354" s="21" t="s">
        <v>1178</v>
      </c>
      <c r="J354" s="21" t="s">
        <v>1136</v>
      </c>
      <c r="K354" s="47"/>
      <c r="L354" s="47"/>
      <c r="M354" s="47"/>
      <c r="N354" s="21" t="s">
        <v>3034</v>
      </c>
      <c r="O354" s="48" t="s">
        <v>3035</v>
      </c>
      <c r="P354" s="21" t="s">
        <v>75</v>
      </c>
      <c r="Q354" s="24" t="s">
        <v>65</v>
      </c>
      <c r="R354" s="21" t="s">
        <v>3036</v>
      </c>
      <c r="S354" s="21" t="s">
        <v>51</v>
      </c>
      <c r="T354" s="21" t="s">
        <v>3037</v>
      </c>
      <c r="U354" s="21">
        <v>2.02407290349E11</v>
      </c>
      <c r="V354" s="21">
        <v>2.01902220016E11</v>
      </c>
      <c r="W354" s="45">
        <v>45911.0</v>
      </c>
      <c r="X354" s="49">
        <v>0.49930555555555556</v>
      </c>
      <c r="Y354" s="45">
        <v>45911.0</v>
      </c>
      <c r="Z354" s="49">
        <v>0.5902777777777778</v>
      </c>
      <c r="AA354" s="49">
        <v>0.65625</v>
      </c>
      <c r="AB354" s="25">
        <v>0.5833333333333334</v>
      </c>
      <c r="AC354" s="25">
        <v>0.65625</v>
      </c>
      <c r="AD354" s="25">
        <v>0.6736111111111112</v>
      </c>
      <c r="AE354" s="45">
        <v>45911.0</v>
      </c>
      <c r="AF354" s="21" t="s">
        <v>2819</v>
      </c>
      <c r="AG354" s="21" t="s">
        <v>78</v>
      </c>
      <c r="AH354" s="21" t="s">
        <v>3038</v>
      </c>
      <c r="AI354" s="26" t="str">
        <f>IFERROR(__xludf.DUMMYFUNCTION("IF(OR(W354="""",X354="""",AE354="""",AD354=""""),"""",
   TEXT(
     (
       (AE354+AD354 + IF(AE354+AD354 &lt; W354+X354,1,0)) - (W354+X354)
     )
     - IF(AND(AB354&lt;&gt;"""",AC354&lt;&gt;""""), 
          SUM(ARRAYFORMULA(SPLIT(AC354,"","") - SPLIT(AB354,"",""))"&amp;"), 
          0
       ),
     ""[hh]:mm""
   )
)
"),"02:26")</f>
        <v>02:26</v>
      </c>
      <c r="AJ354" s="55">
        <f t="shared" si="9"/>
        <v>0</v>
      </c>
      <c r="AK354" s="28" t="str">
        <f t="shared" si="10"/>
        <v>Pass</v>
      </c>
    </row>
    <row r="355">
      <c r="A355" s="45">
        <v>45911.0</v>
      </c>
      <c r="B355" s="49">
        <v>0.49027777777777776</v>
      </c>
      <c r="C355" s="45">
        <v>45911.0</v>
      </c>
      <c r="D355" s="49">
        <v>0.5013888888888889</v>
      </c>
      <c r="E355" s="21" t="s">
        <v>3039</v>
      </c>
      <c r="F355" s="21" t="s">
        <v>2257</v>
      </c>
      <c r="G355" s="21" t="s">
        <v>2258</v>
      </c>
      <c r="H355" s="21" t="s">
        <v>40</v>
      </c>
      <c r="I355" s="21" t="s">
        <v>234</v>
      </c>
      <c r="J355" s="21" t="s">
        <v>42</v>
      </c>
      <c r="K355" s="21" t="s">
        <v>61</v>
      </c>
      <c r="L355" s="21" t="s">
        <v>183</v>
      </c>
      <c r="M355" s="21" t="s">
        <v>3040</v>
      </c>
      <c r="N355" s="21" t="s">
        <v>3041</v>
      </c>
      <c r="O355" s="48" t="s">
        <v>3042</v>
      </c>
      <c r="P355" s="21" t="s">
        <v>48</v>
      </c>
      <c r="Q355" s="24" t="s">
        <v>65</v>
      </c>
      <c r="R355" s="21" t="s">
        <v>3043</v>
      </c>
      <c r="S355" s="21" t="s">
        <v>51</v>
      </c>
      <c r="T355" s="21" t="s">
        <v>52</v>
      </c>
      <c r="U355" s="21" t="s">
        <v>52</v>
      </c>
      <c r="V355" s="21" t="s">
        <v>52</v>
      </c>
      <c r="W355" s="45">
        <v>45911.0</v>
      </c>
      <c r="X355" s="49">
        <v>0.5013888888888889</v>
      </c>
      <c r="Y355" s="45">
        <v>45911.0</v>
      </c>
      <c r="Z355" s="49">
        <v>0.5722222222222222</v>
      </c>
      <c r="AA355" s="49">
        <v>0.5743055555555555</v>
      </c>
      <c r="AB355" s="25">
        <v>0.6111111111111112</v>
      </c>
      <c r="AC355" s="25">
        <v>0.6319444444444444</v>
      </c>
      <c r="AD355" s="25">
        <v>0.6458333333333334</v>
      </c>
      <c r="AE355" s="45">
        <v>45911.0</v>
      </c>
      <c r="AF355" s="21" t="s">
        <v>2719</v>
      </c>
      <c r="AG355" s="21" t="s">
        <v>3044</v>
      </c>
      <c r="AH355" s="21" t="s">
        <v>3045</v>
      </c>
      <c r="AI355" s="26" t="str">
        <f>IFERROR(__xludf.DUMMYFUNCTION("IF(OR(W355="""",X355="""",AE355="""",AD355=""""),"""",
   TEXT(
     (
       (AE355+AD355 + IF(AE355+AD355 &lt; W355+X355,1,0)) - (W355+X355)
     )
     - IF(AND(AB355&lt;&gt;"""",AC355&lt;&gt;""""), 
          SUM(ARRAYFORMULA(SPLIT(AC355,"","") - SPLIT(AB355,"",""))"&amp;"), 
          0
       ),
     ""[hh]:mm""
   )
)
"),"02:58")</f>
        <v>02:58</v>
      </c>
      <c r="AJ355" s="55">
        <f t="shared" si="9"/>
        <v>0</v>
      </c>
      <c r="AK355" s="28" t="str">
        <f t="shared" si="10"/>
        <v>Pass</v>
      </c>
    </row>
    <row r="356">
      <c r="A356" s="45">
        <v>45911.0</v>
      </c>
      <c r="B356" s="49">
        <v>0.5805555555555556</v>
      </c>
      <c r="C356" s="45">
        <v>45911.0</v>
      </c>
      <c r="D356" s="49">
        <v>0.5819444444444445</v>
      </c>
      <c r="E356" s="21" t="s">
        <v>3046</v>
      </c>
      <c r="F356" s="21" t="s">
        <v>3047</v>
      </c>
      <c r="G356" s="21" t="s">
        <v>3048</v>
      </c>
      <c r="H356" s="21" t="s">
        <v>566</v>
      </c>
      <c r="I356" s="21" t="s">
        <v>644</v>
      </c>
      <c r="J356" s="21" t="s">
        <v>644</v>
      </c>
      <c r="K356" s="21" t="s">
        <v>1202</v>
      </c>
      <c r="L356" s="21" t="s">
        <v>3049</v>
      </c>
      <c r="M356" s="21" t="s">
        <v>3050</v>
      </c>
      <c r="N356" s="21" t="s">
        <v>3051</v>
      </c>
      <c r="O356" s="48" t="s">
        <v>3052</v>
      </c>
      <c r="P356" s="21" t="s">
        <v>48</v>
      </c>
      <c r="Q356" s="24" t="s">
        <v>65</v>
      </c>
      <c r="R356" s="21" t="s">
        <v>3053</v>
      </c>
      <c r="S356" s="21" t="s">
        <v>51</v>
      </c>
      <c r="T356" s="21" t="s">
        <v>52</v>
      </c>
      <c r="U356" s="21" t="s">
        <v>52</v>
      </c>
      <c r="V356" s="21" t="s">
        <v>52</v>
      </c>
      <c r="W356" s="45">
        <v>45911.0</v>
      </c>
      <c r="X356" s="49">
        <v>0.5819444444444445</v>
      </c>
      <c r="Y356" s="45">
        <v>45911.0</v>
      </c>
      <c r="Z356" s="49">
        <v>0.6423611111111112</v>
      </c>
      <c r="AA356" s="49">
        <v>0.6458333333333334</v>
      </c>
      <c r="AB356" s="29"/>
      <c r="AC356" s="29"/>
      <c r="AD356" s="25">
        <v>0.6666666666666666</v>
      </c>
      <c r="AE356" s="45">
        <v>45911.0</v>
      </c>
      <c r="AF356" s="21" t="s">
        <v>3054</v>
      </c>
      <c r="AG356" s="21" t="s">
        <v>293</v>
      </c>
      <c r="AH356" s="21" t="s">
        <v>3055</v>
      </c>
      <c r="AI356" s="26" t="str">
        <f>IFERROR(__xludf.DUMMYFUNCTION("IF(OR(W356="""",X356="""",AE356="""",AD356=""""),"""",
   TEXT(
     (
       (AE356+AD356 + IF(AE356+AD356 &lt; W356+X356,1,0)) - (W356+X356)
     )
     - IF(AND(AB356&lt;&gt;"""",AC356&lt;&gt;""""), 
          SUM(ARRAYFORMULA(SPLIT(AC356,"","") - SPLIT(AB356,"",""))"&amp;"), 
          0
       ),
     ""[hh]:mm""
   )
)
"),"02:02")</f>
        <v>02:02</v>
      </c>
      <c r="AJ356" s="55">
        <f t="shared" si="9"/>
        <v>0</v>
      </c>
      <c r="AK356" s="28" t="str">
        <f t="shared" si="10"/>
        <v>Pass</v>
      </c>
    </row>
    <row r="357">
      <c r="A357" s="45">
        <v>45911.0</v>
      </c>
      <c r="B357" s="49">
        <v>0.6201388888888889</v>
      </c>
      <c r="C357" s="45">
        <v>45911.0</v>
      </c>
      <c r="D357" s="49">
        <v>0.625</v>
      </c>
      <c r="E357" s="21" t="s">
        <v>3056</v>
      </c>
      <c r="F357" s="21" t="s">
        <v>3057</v>
      </c>
      <c r="G357" s="21" t="s">
        <v>3058</v>
      </c>
      <c r="H357" s="21" t="s">
        <v>130</v>
      </c>
      <c r="I357" s="21" t="s">
        <v>60</v>
      </c>
      <c r="J357" s="21" t="s">
        <v>42</v>
      </c>
      <c r="K357" s="21" t="s">
        <v>61</v>
      </c>
      <c r="L357" s="21" t="s">
        <v>183</v>
      </c>
      <c r="M357" s="21" t="s">
        <v>3059</v>
      </c>
      <c r="N357" s="21" t="s">
        <v>3060</v>
      </c>
      <c r="O357" s="48" t="s">
        <v>3061</v>
      </c>
      <c r="P357" s="21" t="s">
        <v>75</v>
      </c>
      <c r="Q357" s="24" t="s">
        <v>65</v>
      </c>
      <c r="R357" s="21" t="s">
        <v>3062</v>
      </c>
      <c r="S357" s="21" t="s">
        <v>51</v>
      </c>
      <c r="T357" s="21" t="s">
        <v>3063</v>
      </c>
      <c r="U357" s="21" t="s">
        <v>3064</v>
      </c>
      <c r="V357" s="21" t="s">
        <v>3065</v>
      </c>
      <c r="W357" s="45">
        <v>45911.0</v>
      </c>
      <c r="X357" s="49">
        <v>0.625</v>
      </c>
      <c r="Y357" s="45">
        <v>45911.0</v>
      </c>
      <c r="Z357" s="49">
        <v>0.6819444444444445</v>
      </c>
      <c r="AA357" s="49">
        <v>0.6875</v>
      </c>
      <c r="AB357" s="25">
        <v>0.6875</v>
      </c>
      <c r="AC357" s="25">
        <v>0.7291666666666666</v>
      </c>
      <c r="AD357" s="25">
        <v>0.7375</v>
      </c>
      <c r="AE357" s="45">
        <v>45911.0</v>
      </c>
      <c r="AF357" s="21" t="s">
        <v>2819</v>
      </c>
      <c r="AG357" s="21" t="s">
        <v>293</v>
      </c>
      <c r="AH357" s="21" t="s">
        <v>3066</v>
      </c>
      <c r="AI357" s="26" t="str">
        <f>IFERROR(__xludf.DUMMYFUNCTION("IF(OR(W357="""",X357="""",AE357="""",AD357=""""),"""",
   TEXT(
     (
       (AE357+AD357 + IF(AE357+AD357 &lt; W357+X357,1,0)) - (W357+X357)
     )
     - IF(AND(AB357&lt;&gt;"""",AC357&lt;&gt;""""), 
          SUM(ARRAYFORMULA(SPLIT(AC357,"","") - SPLIT(AB357,"",""))"&amp;"), 
          0
       ),
     ""[hh]:mm""
   )
)
"),"01:42")</f>
        <v>01:42</v>
      </c>
      <c r="AJ357" s="55">
        <f t="shared" si="9"/>
        <v>0</v>
      </c>
      <c r="AK357" s="28" t="str">
        <f t="shared" si="10"/>
        <v>Pass</v>
      </c>
    </row>
    <row r="358">
      <c r="A358" s="45">
        <v>45911.0</v>
      </c>
      <c r="B358" s="49">
        <v>0.7090277777777778</v>
      </c>
      <c r="C358" s="45">
        <v>45911.0</v>
      </c>
      <c r="D358" s="49">
        <v>0.7125</v>
      </c>
      <c r="E358" s="21" t="s">
        <v>3067</v>
      </c>
      <c r="F358" s="21" t="s">
        <v>3068</v>
      </c>
      <c r="G358" s="21" t="s">
        <v>3069</v>
      </c>
      <c r="H358" s="21" t="s">
        <v>746</v>
      </c>
      <c r="I358" s="21" t="s">
        <v>60</v>
      </c>
      <c r="J358" s="21" t="s">
        <v>42</v>
      </c>
      <c r="K358" s="21" t="s">
        <v>61</v>
      </c>
      <c r="L358" s="21" t="s">
        <v>183</v>
      </c>
      <c r="M358" s="21" t="s">
        <v>3070</v>
      </c>
      <c r="N358" s="21" t="s">
        <v>3071</v>
      </c>
      <c r="O358" s="48" t="s">
        <v>3072</v>
      </c>
      <c r="P358" s="21" t="s">
        <v>75</v>
      </c>
      <c r="Q358" s="24" t="s">
        <v>65</v>
      </c>
      <c r="R358" s="21" t="s">
        <v>3073</v>
      </c>
      <c r="S358" s="21" t="s">
        <v>51</v>
      </c>
      <c r="T358" s="21" t="s">
        <v>52</v>
      </c>
      <c r="U358" s="21" t="s">
        <v>52</v>
      </c>
      <c r="V358" s="21" t="s">
        <v>52</v>
      </c>
      <c r="W358" s="45">
        <v>45912.0</v>
      </c>
      <c r="X358" s="49">
        <v>0.41805555555555557</v>
      </c>
      <c r="Y358" s="45">
        <v>45912.0</v>
      </c>
      <c r="Z358" s="49">
        <v>0.4583333333333333</v>
      </c>
      <c r="AA358" s="49">
        <v>0.46041666666666664</v>
      </c>
      <c r="AB358" s="29"/>
      <c r="AC358" s="29"/>
      <c r="AD358" s="25">
        <v>0.5138888888888888</v>
      </c>
      <c r="AE358" s="45">
        <v>45912.0</v>
      </c>
      <c r="AF358" s="21" t="s">
        <v>2971</v>
      </c>
      <c r="AG358" s="21" t="s">
        <v>162</v>
      </c>
      <c r="AH358" s="21" t="s">
        <v>3074</v>
      </c>
      <c r="AI358" s="26" t="str">
        <f>IFERROR(__xludf.DUMMYFUNCTION("IF(OR(W358="""",X358="""",AE358="""",AD358=""""),"""",
   TEXT(
     (
       (AE358+AD358 + IF(AE358+AD358 &lt; W358+X358,1,0)) - (W358+X358)
     )
     - IF(AND(AB358&lt;&gt;"""",AC358&lt;&gt;""""), 
          SUM(ARRAYFORMULA(SPLIT(AC358,"","") - SPLIT(AB358,"",""))"&amp;"), 
          0
       ),
     ""[hh]:mm""
   )
)
"),"02:18")</f>
        <v>02:18</v>
      </c>
      <c r="AJ358" s="55">
        <f t="shared" si="9"/>
        <v>0</v>
      </c>
      <c r="AK358" s="28" t="str">
        <f t="shared" si="10"/>
        <v>Pass</v>
      </c>
    </row>
    <row r="359">
      <c r="A359" s="45">
        <v>45912.0</v>
      </c>
      <c r="B359" s="49">
        <v>0.04652777777777778</v>
      </c>
      <c r="C359" s="45">
        <v>45912.0</v>
      </c>
      <c r="D359" s="49">
        <v>0.3076388888888889</v>
      </c>
      <c r="E359" s="21" t="s">
        <v>3075</v>
      </c>
      <c r="F359" s="21" t="s">
        <v>726</v>
      </c>
      <c r="G359" s="21" t="s">
        <v>727</v>
      </c>
      <c r="H359" s="21" t="s">
        <v>746</v>
      </c>
      <c r="I359" s="21" t="s">
        <v>1632</v>
      </c>
      <c r="J359" s="21" t="s">
        <v>1136</v>
      </c>
      <c r="K359" s="21" t="s">
        <v>43</v>
      </c>
      <c r="L359" s="21" t="s">
        <v>44</v>
      </c>
      <c r="M359" s="21" t="s">
        <v>3076</v>
      </c>
      <c r="N359" s="21" t="s">
        <v>3077</v>
      </c>
      <c r="O359" s="48" t="s">
        <v>3078</v>
      </c>
      <c r="P359" s="21" t="s">
        <v>75</v>
      </c>
      <c r="Q359" s="24" t="s">
        <v>65</v>
      </c>
      <c r="R359" s="21" t="s">
        <v>3079</v>
      </c>
      <c r="S359" s="21" t="s">
        <v>51</v>
      </c>
      <c r="T359" s="21" t="s">
        <v>52</v>
      </c>
      <c r="U359" s="21" t="s">
        <v>52</v>
      </c>
      <c r="V359" s="21" t="s">
        <v>52</v>
      </c>
      <c r="W359" s="45">
        <v>45912.0</v>
      </c>
      <c r="X359" s="49">
        <v>0.3076388888888889</v>
      </c>
      <c r="Y359" s="45">
        <v>45912.0</v>
      </c>
      <c r="Z359" s="49">
        <v>0.4409722222222222</v>
      </c>
      <c r="AA359" s="49">
        <v>0.4444444444444444</v>
      </c>
      <c r="AB359" s="85">
        <v>0.4479166666666667</v>
      </c>
      <c r="AC359" s="85">
        <v>0.4875</v>
      </c>
      <c r="AD359" s="25">
        <v>0.5104166666666666</v>
      </c>
      <c r="AE359" s="45">
        <v>45912.0</v>
      </c>
      <c r="AF359" s="21" t="s">
        <v>2744</v>
      </c>
      <c r="AG359" s="21" t="s">
        <v>67</v>
      </c>
      <c r="AH359" s="21" t="s">
        <v>3080</v>
      </c>
      <c r="AI359" s="26" t="str">
        <f>IFERROR(__xludf.DUMMYFUNCTION("IF(OR(W359="""",X359="""",AE359="""",AD359=""""),"""",
   TEXT(
     (
       (AE359+AD359 + IF(AE359+AD359 &lt; W359+X359,1,0)) - (W359+X359)
     )
     - IF(AND(AB359&lt;&gt;"""",AC359&lt;&gt;""""), 
          SUM(ARRAYFORMULA(SPLIT(AC359,"","") - SPLIT(AB359,"",""))"&amp;"), 
          0
       ),
     ""[hh]:mm""
   )
)
"),"03:55")</f>
        <v>03:55</v>
      </c>
      <c r="AJ359" s="55">
        <f t="shared" si="9"/>
        <v>0</v>
      </c>
      <c r="AK359" s="28" t="str">
        <f t="shared" si="10"/>
        <v>Pass</v>
      </c>
    </row>
    <row r="360">
      <c r="A360" s="45">
        <v>45912.0</v>
      </c>
      <c r="B360" s="49">
        <v>0.38958333333333334</v>
      </c>
      <c r="C360" s="45">
        <v>45912.0</v>
      </c>
      <c r="D360" s="49">
        <v>0.4</v>
      </c>
      <c r="E360" s="21" t="s">
        <v>3081</v>
      </c>
      <c r="F360" s="21" t="s">
        <v>3082</v>
      </c>
      <c r="G360" s="21" t="s">
        <v>3083</v>
      </c>
      <c r="H360" s="21" t="s">
        <v>566</v>
      </c>
      <c r="I360" s="21" t="s">
        <v>95</v>
      </c>
      <c r="J360" s="21" t="s">
        <v>1394</v>
      </c>
      <c r="K360" s="21" t="s">
        <v>3084</v>
      </c>
      <c r="L360" s="21" t="s">
        <v>3085</v>
      </c>
      <c r="M360" s="21" t="s">
        <v>3086</v>
      </c>
      <c r="N360" s="21" t="s">
        <v>3087</v>
      </c>
      <c r="O360" s="48" t="s">
        <v>3088</v>
      </c>
      <c r="P360" s="21" t="s">
        <v>48</v>
      </c>
      <c r="Q360" s="24" t="s">
        <v>65</v>
      </c>
      <c r="R360" s="21" t="s">
        <v>3089</v>
      </c>
      <c r="S360" s="21" t="s">
        <v>51</v>
      </c>
      <c r="T360" s="21" t="s">
        <v>52</v>
      </c>
      <c r="U360" s="21" t="s">
        <v>52</v>
      </c>
      <c r="V360" s="21" t="s">
        <v>52</v>
      </c>
      <c r="W360" s="45">
        <v>45912.0</v>
      </c>
      <c r="X360" s="49">
        <v>0.4</v>
      </c>
      <c r="Y360" s="45">
        <v>45912.0</v>
      </c>
      <c r="Z360" s="49">
        <v>0.5659722222222222</v>
      </c>
      <c r="AA360" s="49">
        <v>0.5680555555555555</v>
      </c>
      <c r="AB360" s="29"/>
      <c r="AC360" s="29"/>
      <c r="AD360" s="25">
        <v>0.6909722222222222</v>
      </c>
      <c r="AE360" s="45">
        <v>45912.0</v>
      </c>
      <c r="AF360" s="21" t="s">
        <v>3090</v>
      </c>
      <c r="AG360" s="21" t="s">
        <v>1482</v>
      </c>
      <c r="AH360" s="21" t="s">
        <v>3091</v>
      </c>
      <c r="AI360" s="26" t="str">
        <f>IFERROR(__xludf.DUMMYFUNCTION("IF(OR(W360="""",X360="""",AE360="""",AD360=""""),"""",
   TEXT(
     (
       (AE360+AD360 + IF(AE360+AD360 &lt; W360+X360,1,0)) - (W360+X360)
     )
     - IF(AND(AB360&lt;&gt;"""",AC360&lt;&gt;""""), 
          SUM(ARRAYFORMULA(SPLIT(AC360,"","") - SPLIT(AB360,"",""))"&amp;"), 
          0
       ),
     ""[hh]:mm""
   )
)
"),"06:59")</f>
        <v>06:59</v>
      </c>
      <c r="AJ360" s="55">
        <f t="shared" si="9"/>
        <v>0</v>
      </c>
      <c r="AK360" s="28" t="str">
        <f t="shared" si="10"/>
        <v>Pass</v>
      </c>
    </row>
    <row r="361">
      <c r="A361" s="45">
        <v>45912.0</v>
      </c>
      <c r="B361" s="49">
        <v>0.38680555555555557</v>
      </c>
      <c r="C361" s="45">
        <v>45912.0</v>
      </c>
      <c r="D361" s="49">
        <v>0.38819444444444445</v>
      </c>
      <c r="E361" s="21" t="s">
        <v>3092</v>
      </c>
      <c r="F361" s="21" t="s">
        <v>842</v>
      </c>
      <c r="G361" s="21" t="s">
        <v>843</v>
      </c>
      <c r="H361" s="21" t="s">
        <v>3093</v>
      </c>
      <c r="I361" s="21" t="s">
        <v>131</v>
      </c>
      <c r="J361" s="21" t="s">
        <v>132</v>
      </c>
      <c r="K361" s="21" t="s">
        <v>43</v>
      </c>
      <c r="L361" s="21" t="s">
        <v>805</v>
      </c>
      <c r="M361" s="21" t="s">
        <v>3094</v>
      </c>
      <c r="N361" s="21" t="s">
        <v>3095</v>
      </c>
      <c r="O361" s="48" t="s">
        <v>3096</v>
      </c>
      <c r="P361" s="21" t="s">
        <v>75</v>
      </c>
      <c r="Q361" s="24" t="s">
        <v>449</v>
      </c>
      <c r="R361" s="21" t="s">
        <v>3097</v>
      </c>
      <c r="S361" s="21" t="s">
        <v>51</v>
      </c>
      <c r="T361" s="21" t="s">
        <v>52</v>
      </c>
      <c r="U361" s="46"/>
      <c r="V361" s="21" t="s">
        <v>52</v>
      </c>
      <c r="W361" s="45">
        <v>45912.0</v>
      </c>
      <c r="X361" s="49">
        <v>0.38819444444444445</v>
      </c>
      <c r="Y361" s="45">
        <v>45912.0</v>
      </c>
      <c r="Z361" s="49">
        <v>0.8055555555555556</v>
      </c>
      <c r="AA361" s="49">
        <v>0.8125</v>
      </c>
      <c r="AB361" s="29"/>
      <c r="AC361" s="29"/>
      <c r="AD361" s="25">
        <v>0.8340277777777778</v>
      </c>
      <c r="AE361" s="45">
        <v>45912.0</v>
      </c>
      <c r="AF361" s="21" t="s">
        <v>3007</v>
      </c>
      <c r="AG361" s="21" t="s">
        <v>3098</v>
      </c>
      <c r="AH361" s="21" t="s">
        <v>1125</v>
      </c>
      <c r="AI361" s="26" t="str">
        <f>IFERROR(__xludf.DUMMYFUNCTION("IF(OR(W361="""",X361="""",AE361="""",AD361=""""),"""",
   TEXT(
     (
       (AE361+AD361 + IF(AE361+AD361 &lt; W361+X361,1,0)) - (W361+X361)
     )
     - IF(AND(AB361&lt;&gt;"""",AC361&lt;&gt;""""), 
          SUM(ARRAYFORMULA(SPLIT(AC361,"","") - SPLIT(AB361,"",""))"&amp;"), 
          0
       ),
     ""[hh]:mm""
   )
)
"),"10:42")</f>
        <v>10:42</v>
      </c>
      <c r="AJ361" s="55">
        <f t="shared" si="9"/>
        <v>0</v>
      </c>
      <c r="AK361" s="28" t="str">
        <f t="shared" si="10"/>
        <v>Pass</v>
      </c>
    </row>
    <row r="362">
      <c r="A362" s="45">
        <v>45912.0</v>
      </c>
      <c r="B362" s="49">
        <v>0.7173611111111111</v>
      </c>
      <c r="C362" s="45">
        <v>45912.0</v>
      </c>
      <c r="D362" s="49">
        <v>0.7194444444444444</v>
      </c>
      <c r="E362" s="21" t="s">
        <v>3099</v>
      </c>
      <c r="F362" s="21" t="s">
        <v>2399</v>
      </c>
      <c r="G362" s="21" t="s">
        <v>2400</v>
      </c>
      <c r="H362" s="21" t="s">
        <v>377</v>
      </c>
      <c r="I362" s="21" t="s">
        <v>95</v>
      </c>
      <c r="J362" s="21" t="s">
        <v>95</v>
      </c>
      <c r="K362" s="21" t="s">
        <v>333</v>
      </c>
      <c r="L362" s="21" t="s">
        <v>3100</v>
      </c>
      <c r="M362" s="21" t="s">
        <v>2401</v>
      </c>
      <c r="N362" s="21" t="s">
        <v>3101</v>
      </c>
      <c r="O362" s="48" t="s">
        <v>3102</v>
      </c>
      <c r="P362" s="21" t="s">
        <v>48</v>
      </c>
      <c r="Q362" s="24" t="s">
        <v>49</v>
      </c>
      <c r="R362" s="21" t="s">
        <v>3103</v>
      </c>
      <c r="S362" s="21" t="s">
        <v>51</v>
      </c>
      <c r="T362" s="21" t="s">
        <v>52</v>
      </c>
      <c r="U362" s="21" t="s">
        <v>52</v>
      </c>
      <c r="V362" s="21" t="s">
        <v>52</v>
      </c>
      <c r="W362" s="45">
        <v>45912.0</v>
      </c>
      <c r="X362" s="49">
        <v>0.7194444444444444</v>
      </c>
      <c r="Y362" s="45">
        <v>45912.0</v>
      </c>
      <c r="Z362" s="49">
        <v>0.7659722222222223</v>
      </c>
      <c r="AA362" s="49">
        <v>0.7701388888888889</v>
      </c>
      <c r="AB362" s="29"/>
      <c r="AC362" s="29"/>
      <c r="AD362" s="25">
        <v>0.8645833333333334</v>
      </c>
      <c r="AE362" s="45">
        <v>45912.0</v>
      </c>
      <c r="AF362" s="21" t="s">
        <v>2931</v>
      </c>
      <c r="AG362" s="21" t="s">
        <v>239</v>
      </c>
      <c r="AH362" s="21" t="s">
        <v>3104</v>
      </c>
      <c r="AI362" s="62" t="str">
        <f>IFERROR(__xludf.DUMMYFUNCTION("IF(OR(W362="""",X362="""",AE362="""",AD362=""""),"""",
   TEXT(
     (
       (AE362+AD362 + IF(AE362+AD362 &lt; W362+X362,1,0)) - (W362+X362)
     )
     - IF(AND(AB362&lt;&gt;"""",AC362&lt;&gt;""""), 
          SUM(ARRAYFORMULA(SPLIT(AC362,"","") - SPLIT(AB362,"",""))"&amp;"), 
          0
       ),
     ""[hh]:mm""
   )
)
"),"03:29")</f>
        <v>03:29</v>
      </c>
      <c r="AJ362" s="27">
        <f t="shared" si="9"/>
        <v>0</v>
      </c>
      <c r="AK362" s="63" t="str">
        <f t="shared" si="10"/>
        <v>Pass</v>
      </c>
    </row>
    <row r="363">
      <c r="A363" s="45">
        <v>45913.0</v>
      </c>
      <c r="B363" s="49">
        <v>0.6527777777777778</v>
      </c>
      <c r="C363" s="45">
        <v>45913.0</v>
      </c>
      <c r="D363" s="49">
        <v>0.6583333333333333</v>
      </c>
      <c r="E363" s="21" t="s">
        <v>3105</v>
      </c>
      <c r="F363" s="21" t="s">
        <v>473</v>
      </c>
      <c r="G363" s="21" t="s">
        <v>474</v>
      </c>
      <c r="H363" s="21" t="s">
        <v>746</v>
      </c>
      <c r="I363" s="21" t="s">
        <v>1632</v>
      </c>
      <c r="J363" s="21" t="s">
        <v>1136</v>
      </c>
      <c r="K363" s="21" t="s">
        <v>43</v>
      </c>
      <c r="L363" s="21" t="s">
        <v>44</v>
      </c>
      <c r="M363" s="21" t="s">
        <v>3106</v>
      </c>
      <c r="N363" s="21" t="s">
        <v>3107</v>
      </c>
      <c r="O363" s="48" t="s">
        <v>3108</v>
      </c>
      <c r="P363" s="21" t="s">
        <v>187</v>
      </c>
      <c r="Q363" s="24" t="s">
        <v>65</v>
      </c>
      <c r="R363" s="21" t="s">
        <v>3109</v>
      </c>
      <c r="S363" s="21" t="s">
        <v>51</v>
      </c>
      <c r="T363" s="21" t="s">
        <v>52</v>
      </c>
      <c r="U363" s="21" t="s">
        <v>52</v>
      </c>
      <c r="V363" s="21" t="s">
        <v>52</v>
      </c>
      <c r="W363" s="45">
        <v>45913.0</v>
      </c>
      <c r="X363" s="49">
        <v>0.6583333333333333</v>
      </c>
      <c r="Y363" s="45">
        <v>45913.0</v>
      </c>
      <c r="Z363" s="49">
        <v>0.7451388888888889</v>
      </c>
      <c r="AA363" s="49">
        <v>0.7465277777777778</v>
      </c>
      <c r="AB363" s="29"/>
      <c r="AC363" s="29"/>
      <c r="AD363" s="25">
        <v>0.7604166666666666</v>
      </c>
      <c r="AE363" s="45">
        <v>45913.0</v>
      </c>
      <c r="AF363" s="21" t="s">
        <v>2819</v>
      </c>
      <c r="AG363" s="21" t="s">
        <v>3110</v>
      </c>
      <c r="AH363" s="21" t="s">
        <v>3111</v>
      </c>
      <c r="AI363" s="26" t="str">
        <f>IFERROR(__xludf.DUMMYFUNCTION("IF(OR(W363="""",X363="""",AE363="""",AD363=""""),"""",
   TEXT(
     (
       (AE363+AD363 + IF(AE363+AD363 &lt; W363+X363,1,0)) - (W363+X363)
     )
     - IF(AND(AB363&lt;&gt;"""",AC363&lt;&gt;""""), 
          SUM(ARRAYFORMULA(SPLIT(AC363,"","") - SPLIT(AB363,"",""))"&amp;"), 
          0
       ),
     ""[hh]:mm""
   )
)
"),"02:27")</f>
        <v>02:27</v>
      </c>
      <c r="AJ363" s="55">
        <f t="shared" si="9"/>
        <v>0</v>
      </c>
      <c r="AK363" s="28" t="str">
        <f t="shared" si="10"/>
        <v>Pass</v>
      </c>
    </row>
    <row r="364">
      <c r="A364" s="45">
        <v>45913.0</v>
      </c>
      <c r="B364" s="49">
        <v>0.6513888888888889</v>
      </c>
      <c r="C364" s="45">
        <v>45913.0</v>
      </c>
      <c r="D364" s="49">
        <v>0.65625</v>
      </c>
      <c r="E364" s="21" t="s">
        <v>3112</v>
      </c>
      <c r="F364" s="21" t="s">
        <v>2167</v>
      </c>
      <c r="G364" s="21" t="s">
        <v>2168</v>
      </c>
      <c r="H364" s="21" t="s">
        <v>3113</v>
      </c>
      <c r="I364" s="21" t="s">
        <v>1162</v>
      </c>
      <c r="J364" s="21" t="s">
        <v>1136</v>
      </c>
      <c r="K364" s="21" t="s">
        <v>61</v>
      </c>
      <c r="L364" s="21" t="s">
        <v>183</v>
      </c>
      <c r="M364" s="21" t="s">
        <v>3114</v>
      </c>
      <c r="N364" s="21" t="s">
        <v>3115</v>
      </c>
      <c r="O364" s="48" t="s">
        <v>3116</v>
      </c>
      <c r="P364" s="21" t="s">
        <v>75</v>
      </c>
      <c r="Q364" s="24" t="s">
        <v>65</v>
      </c>
      <c r="R364" s="21" t="s">
        <v>3117</v>
      </c>
      <c r="S364" s="21" t="s">
        <v>51</v>
      </c>
      <c r="T364" s="21" t="s">
        <v>52</v>
      </c>
      <c r="U364" s="21" t="s">
        <v>52</v>
      </c>
      <c r="V364" s="21" t="s">
        <v>52</v>
      </c>
      <c r="W364" s="45">
        <v>45913.0</v>
      </c>
      <c r="X364" s="49">
        <v>0.65625</v>
      </c>
      <c r="Y364" s="45">
        <v>45913.0</v>
      </c>
      <c r="Z364" s="49">
        <v>0.7333333333333333</v>
      </c>
      <c r="AA364" s="49">
        <v>0.7395833333333334</v>
      </c>
      <c r="AB364" s="29"/>
      <c r="AC364" s="29"/>
      <c r="AD364" s="25">
        <v>0.8611111111111112</v>
      </c>
      <c r="AE364" s="45">
        <v>45913.0</v>
      </c>
      <c r="AF364" s="21" t="s">
        <v>2819</v>
      </c>
      <c r="AG364" s="21" t="s">
        <v>3118</v>
      </c>
      <c r="AH364" s="21" t="s">
        <v>3119</v>
      </c>
      <c r="AI364" s="26" t="str">
        <f>IFERROR(__xludf.DUMMYFUNCTION("IF(OR(W364="""",X364="""",AE364="""",AD364=""""),"""",
   TEXT(
     (
       (AE364+AD364 + IF(AE364+AD364 &lt; W364+X364,1,0)) - (W364+X364)
     )
     - IF(AND(AB364&lt;&gt;"""",AC364&lt;&gt;""""), 
          SUM(ARRAYFORMULA(SPLIT(AC364,"","") - SPLIT(AB364,"",""))"&amp;"), 
          0
       ),
     ""[hh]:mm""
   )
)
"),"04:55")</f>
        <v>04:55</v>
      </c>
      <c r="AJ364" s="55">
        <f t="shared" si="9"/>
        <v>0</v>
      </c>
      <c r="AK364" s="28" t="str">
        <f t="shared" si="10"/>
        <v>Pass</v>
      </c>
    </row>
    <row r="365">
      <c r="A365" s="18">
        <v>45913.0</v>
      </c>
      <c r="B365" s="20">
        <v>0.8791666666666667</v>
      </c>
      <c r="C365" s="18">
        <v>45913.0</v>
      </c>
      <c r="D365" s="20">
        <v>0.8833333333333333</v>
      </c>
      <c r="E365" s="22" t="s">
        <v>3120</v>
      </c>
      <c r="F365" s="22" t="s">
        <v>473</v>
      </c>
      <c r="G365" s="22" t="s">
        <v>474</v>
      </c>
      <c r="H365" s="22" t="s">
        <v>156</v>
      </c>
      <c r="I365" s="22" t="s">
        <v>131</v>
      </c>
      <c r="J365" s="22" t="s">
        <v>132</v>
      </c>
      <c r="K365" s="22" t="s">
        <v>43</v>
      </c>
      <c r="L365" s="22" t="s">
        <v>805</v>
      </c>
      <c r="M365" s="22" t="s">
        <v>3121</v>
      </c>
      <c r="N365" s="22" t="s">
        <v>3122</v>
      </c>
      <c r="O365" s="23" t="s">
        <v>3123</v>
      </c>
      <c r="P365" s="22" t="s">
        <v>75</v>
      </c>
      <c r="Q365" s="50" t="s">
        <v>65</v>
      </c>
      <c r="R365" s="22" t="s">
        <v>3124</v>
      </c>
      <c r="S365" s="22" t="s">
        <v>51</v>
      </c>
      <c r="T365" s="21" t="s">
        <v>52</v>
      </c>
      <c r="U365" s="21" t="s">
        <v>52</v>
      </c>
      <c r="V365" s="21" t="s">
        <v>52</v>
      </c>
      <c r="W365" s="45">
        <v>45914.0</v>
      </c>
      <c r="X365" s="20">
        <v>0.39444444444444443</v>
      </c>
      <c r="Y365" s="45">
        <v>45914.0</v>
      </c>
      <c r="Z365" s="76">
        <v>0.4444444444444444</v>
      </c>
      <c r="AA365" s="20">
        <v>0.44583333333333336</v>
      </c>
      <c r="AB365" s="54"/>
      <c r="AC365" s="54"/>
      <c r="AD365" s="51">
        <v>0.4652777777777778</v>
      </c>
      <c r="AE365" s="45">
        <v>45914.0</v>
      </c>
      <c r="AF365" s="22" t="s">
        <v>2971</v>
      </c>
      <c r="AG365" s="22" t="s">
        <v>67</v>
      </c>
      <c r="AH365" s="22" t="s">
        <v>3125</v>
      </c>
      <c r="AI365" s="26" t="str">
        <f>IFERROR(__xludf.DUMMYFUNCTION("IF(OR(W365="""",X365="""",AE365="""",AD365=""""),"""",
   TEXT(
     (
       (AE365+AD365 + IF(AE365+AD365 &lt; W365+X365,1,0)) - (W365+X365)
     )
     - IF(AND(AB365&lt;&gt;"""",AC365&lt;&gt;""""), 
          SUM(ARRAYFORMULA(SPLIT(AC365,"","") - SPLIT(AB365,"",""))"&amp;"), 
          0
       ),
     ""[hh]:mm""
   )
)
"),"01:42")</f>
        <v>01:42</v>
      </c>
      <c r="AJ365" s="55">
        <f t="shared" si="9"/>
        <v>0</v>
      </c>
      <c r="AK365" s="28" t="str">
        <f t="shared" si="10"/>
        <v>Pass</v>
      </c>
    </row>
    <row r="366">
      <c r="A366" s="45">
        <v>45912.0</v>
      </c>
      <c r="B366" s="49">
        <v>0.6152777777777778</v>
      </c>
      <c r="C366" s="45">
        <v>45912.0</v>
      </c>
      <c r="D366" s="49">
        <v>0.6263888888888889</v>
      </c>
      <c r="E366" s="21" t="s">
        <v>3126</v>
      </c>
      <c r="F366" s="21" t="s">
        <v>3127</v>
      </c>
      <c r="G366" s="21" t="s">
        <v>3128</v>
      </c>
      <c r="H366" s="21" t="s">
        <v>746</v>
      </c>
      <c r="I366" s="21" t="s">
        <v>1162</v>
      </c>
      <c r="J366" s="21" t="s">
        <v>1136</v>
      </c>
      <c r="K366" s="21" t="s">
        <v>43</v>
      </c>
      <c r="L366" s="21" t="s">
        <v>675</v>
      </c>
      <c r="M366" s="21">
        <v>2.02203280311E11</v>
      </c>
      <c r="N366" s="21" t="s">
        <v>3129</v>
      </c>
      <c r="O366" s="48" t="s">
        <v>3130</v>
      </c>
      <c r="P366" s="21" t="s">
        <v>75</v>
      </c>
      <c r="Q366" s="24" t="s">
        <v>65</v>
      </c>
      <c r="R366" s="21" t="s">
        <v>3131</v>
      </c>
      <c r="S366" s="21" t="s">
        <v>51</v>
      </c>
      <c r="T366" s="21" t="s">
        <v>679</v>
      </c>
      <c r="U366" s="21">
        <v>2.02407290344E11</v>
      </c>
      <c r="V366" s="21">
        <v>2.02203280311E11</v>
      </c>
      <c r="W366" s="45">
        <v>45914.0</v>
      </c>
      <c r="X366" s="49">
        <v>0.6138888888888889</v>
      </c>
      <c r="Y366" s="45">
        <v>45914.0</v>
      </c>
      <c r="Z366" s="49">
        <v>0.7159722222222222</v>
      </c>
      <c r="AA366" s="49">
        <v>0.7222222222222222</v>
      </c>
      <c r="AB366" s="29"/>
      <c r="AC366" s="29"/>
      <c r="AD366" s="25">
        <v>0.7395833333333334</v>
      </c>
      <c r="AE366" s="45">
        <v>45914.0</v>
      </c>
      <c r="AF366" s="21" t="s">
        <v>2744</v>
      </c>
      <c r="AG366" s="21" t="s">
        <v>162</v>
      </c>
      <c r="AH366" s="21" t="s">
        <v>3132</v>
      </c>
      <c r="AI366" s="26" t="str">
        <f>IFERROR(__xludf.DUMMYFUNCTION("IF(OR(W366="""",X366="""",AE366="""",AD366=""""),"""",
   TEXT(
     (
       (AE366+AD366 + IF(AE366+AD366 &lt; W366+X366,1,0)) - (W366+X366)
     )
     - IF(AND(AB366&lt;&gt;"""",AC366&lt;&gt;""""), 
          SUM(ARRAYFORMULA(SPLIT(AC366,"","") - SPLIT(AB366,"",""))"&amp;"), 
          0
       ),
     ""[hh]:mm""
   )
)
"),"03:01")</f>
        <v>03:01</v>
      </c>
      <c r="AJ366" s="55">
        <f t="shared" si="9"/>
        <v>0</v>
      </c>
      <c r="AK366" s="28" t="str">
        <f t="shared" si="10"/>
        <v>Pass</v>
      </c>
    </row>
    <row r="367">
      <c r="A367" s="45">
        <v>45915.0</v>
      </c>
      <c r="B367" s="49">
        <v>0.34305555555555556</v>
      </c>
      <c r="C367" s="45">
        <v>45915.0</v>
      </c>
      <c r="D367" s="49">
        <v>0.3451388888888889</v>
      </c>
      <c r="E367" s="21" t="s">
        <v>3133</v>
      </c>
      <c r="F367" s="21" t="s">
        <v>3134</v>
      </c>
      <c r="G367" s="21" t="s">
        <v>3135</v>
      </c>
      <c r="H367" s="21" t="s">
        <v>566</v>
      </c>
      <c r="I367" s="21" t="s">
        <v>2626</v>
      </c>
      <c r="J367" s="21" t="s">
        <v>1084</v>
      </c>
      <c r="K367" s="22" t="s">
        <v>61</v>
      </c>
      <c r="L367" s="21" t="s">
        <v>183</v>
      </c>
      <c r="M367" s="21" t="s">
        <v>3136</v>
      </c>
      <c r="N367" s="21" t="s">
        <v>3137</v>
      </c>
      <c r="O367" s="48" t="s">
        <v>3138</v>
      </c>
      <c r="P367" s="21" t="s">
        <v>48</v>
      </c>
      <c r="Q367" s="24" t="s">
        <v>49</v>
      </c>
      <c r="R367" s="21" t="s">
        <v>3139</v>
      </c>
      <c r="S367" s="21" t="s">
        <v>51</v>
      </c>
      <c r="T367" s="21" t="s">
        <v>52</v>
      </c>
      <c r="U367" s="21" t="s">
        <v>52</v>
      </c>
      <c r="V367" s="21" t="s">
        <v>52</v>
      </c>
      <c r="W367" s="45">
        <v>45915.0</v>
      </c>
      <c r="X367" s="49">
        <v>0.3451388888888889</v>
      </c>
      <c r="Y367" s="45">
        <v>45915.0</v>
      </c>
      <c r="Z367" s="49">
        <v>0.4284722222222222</v>
      </c>
      <c r="AA367" s="49">
        <v>0.4305555555555556</v>
      </c>
      <c r="AB367" s="24" t="s">
        <v>3140</v>
      </c>
      <c r="AC367" s="24" t="s">
        <v>3141</v>
      </c>
      <c r="AD367" s="25">
        <v>0.6041666666666666</v>
      </c>
      <c r="AE367" s="45">
        <v>45915.0</v>
      </c>
      <c r="AF367" s="21" t="s">
        <v>3142</v>
      </c>
      <c r="AG367" s="21" t="s">
        <v>313</v>
      </c>
      <c r="AH367" s="21" t="s">
        <v>3143</v>
      </c>
      <c r="AI367" s="26" t="str">
        <f>IFERROR(__xludf.DUMMYFUNCTION("IF(OR(W367="""",X367="""",AE367="""",AD367=""""),"""",
   TEXT(
     (
       (AE367+AD367 + IF(AE367+AD367 &lt; W367+X367,1,0)) - (W367+X367)
     )
     - IF(AND(AB367&lt;&gt;"""",AC367&lt;&gt;""""), 
          SUM(ARRAYFORMULA(SPLIT(AC367,"","") - SPLIT(AB367,"",""))"&amp;"), 
          0
       ),
     ""[hh]:mm""
   )
)
"),"03:58")</f>
        <v>03:58</v>
      </c>
      <c r="AJ367" s="55">
        <f t="shared" si="9"/>
        <v>0</v>
      </c>
      <c r="AK367" s="28" t="str">
        <f t="shared" si="10"/>
        <v>Pass</v>
      </c>
    </row>
    <row r="368">
      <c r="A368" s="45">
        <v>45915.0</v>
      </c>
      <c r="B368" s="49">
        <v>0.37222222222222223</v>
      </c>
      <c r="C368" s="45">
        <v>45915.0</v>
      </c>
      <c r="D368" s="49">
        <v>0.38263888888888886</v>
      </c>
      <c r="E368" s="21" t="s">
        <v>3144</v>
      </c>
      <c r="F368" s="21" t="s">
        <v>596</v>
      </c>
      <c r="G368" s="21" t="s">
        <v>597</v>
      </c>
      <c r="H368" s="21" t="s">
        <v>1744</v>
      </c>
      <c r="I368" s="21" t="s">
        <v>1745</v>
      </c>
      <c r="J368" s="21" t="s">
        <v>1745</v>
      </c>
      <c r="K368" s="21" t="s">
        <v>635</v>
      </c>
      <c r="L368" s="21" t="s">
        <v>3145</v>
      </c>
      <c r="M368" s="21" t="s">
        <v>3146</v>
      </c>
      <c r="N368" s="21" t="s">
        <v>3147</v>
      </c>
      <c r="O368" s="48" t="s">
        <v>3148</v>
      </c>
      <c r="P368" s="21" t="s">
        <v>75</v>
      </c>
      <c r="Q368" s="24" t="s">
        <v>449</v>
      </c>
      <c r="R368" s="21" t="s">
        <v>3149</v>
      </c>
      <c r="S368" s="21" t="s">
        <v>51</v>
      </c>
      <c r="T368" s="21" t="s">
        <v>52</v>
      </c>
      <c r="U368" s="21" t="s">
        <v>52</v>
      </c>
      <c r="V368" s="21" t="s">
        <v>52</v>
      </c>
      <c r="W368" s="45">
        <v>45915.0</v>
      </c>
      <c r="X368" s="49">
        <v>0.38263888888888886</v>
      </c>
      <c r="Y368" s="45">
        <v>45915.0</v>
      </c>
      <c r="Z368" s="49">
        <v>0.6277777777777778</v>
      </c>
      <c r="AA368" s="49">
        <v>0.6472222222222223</v>
      </c>
      <c r="AB368" s="25">
        <v>0.6270833333333333</v>
      </c>
      <c r="AC368" s="25">
        <v>0.6472222222222223</v>
      </c>
      <c r="AD368" s="25">
        <v>0.6770833333333334</v>
      </c>
      <c r="AE368" s="45">
        <v>45915.0</v>
      </c>
      <c r="AF368" s="21" t="s">
        <v>3150</v>
      </c>
      <c r="AG368" s="21" t="s">
        <v>313</v>
      </c>
      <c r="AH368" s="21" t="s">
        <v>3151</v>
      </c>
      <c r="AI368" s="26" t="str">
        <f>IFERROR(__xludf.DUMMYFUNCTION("IF(OR(W368="""",X368="""",AE368="""",AD368=""""),"""",
   TEXT(
     (
       (AE368+AD368 + IF(AE368+AD368 &lt; W368+X368,1,0)) - (W368+X368)
     )
     - IF(AND(AB368&lt;&gt;"""",AC368&lt;&gt;""""), 
          SUM(ARRAYFORMULA(SPLIT(AC368,"","") - SPLIT(AB368,"",""))"&amp;"), 
          0
       ),
     ""[hh]:mm""
   )
)
"),"06:35")</f>
        <v>06:35</v>
      </c>
      <c r="AJ368" s="55">
        <f t="shared" si="9"/>
        <v>0</v>
      </c>
      <c r="AK368" s="28" t="str">
        <f t="shared" si="10"/>
        <v>Pass</v>
      </c>
    </row>
    <row r="369">
      <c r="A369" s="45">
        <v>45913.0</v>
      </c>
      <c r="B369" s="49">
        <v>0.8722222222222222</v>
      </c>
      <c r="C369" s="45">
        <v>45913.0</v>
      </c>
      <c r="D369" s="49">
        <v>0.8784722222222222</v>
      </c>
      <c r="E369" s="21" t="s">
        <v>3152</v>
      </c>
      <c r="F369" s="21" t="s">
        <v>989</v>
      </c>
      <c r="G369" s="21" t="s">
        <v>990</v>
      </c>
      <c r="H369" s="21" t="s">
        <v>214</v>
      </c>
      <c r="I369" s="21" t="s">
        <v>234</v>
      </c>
      <c r="J369" s="21" t="s">
        <v>42</v>
      </c>
      <c r="K369" s="21" t="s">
        <v>61</v>
      </c>
      <c r="L369" s="21" t="s">
        <v>183</v>
      </c>
      <c r="M369" s="21" t="s">
        <v>3153</v>
      </c>
      <c r="N369" s="21" t="s">
        <v>3154</v>
      </c>
      <c r="O369" s="48" t="s">
        <v>3155</v>
      </c>
      <c r="P369" s="21" t="s">
        <v>75</v>
      </c>
      <c r="Q369" s="24" t="s">
        <v>65</v>
      </c>
      <c r="R369" s="21" t="s">
        <v>3156</v>
      </c>
      <c r="S369" s="21" t="s">
        <v>51</v>
      </c>
      <c r="T369" s="21" t="s">
        <v>3063</v>
      </c>
      <c r="U369" s="21" t="s">
        <v>3157</v>
      </c>
      <c r="V369" s="21" t="s">
        <v>3158</v>
      </c>
      <c r="W369" s="45">
        <v>45915.0</v>
      </c>
      <c r="X369" s="49">
        <v>0.7277777777777777</v>
      </c>
      <c r="Y369" s="45">
        <v>45915.0</v>
      </c>
      <c r="Z369" s="49">
        <v>0.7472222222222222</v>
      </c>
      <c r="AA369" s="49">
        <v>0.7645833333333333</v>
      </c>
      <c r="AB369" s="25">
        <v>0.7881944444444444</v>
      </c>
      <c r="AC369" s="25">
        <v>0.8090277777777778</v>
      </c>
      <c r="AD369" s="25">
        <v>0.8090277777777778</v>
      </c>
      <c r="AE369" s="45">
        <v>45915.0</v>
      </c>
      <c r="AF369" s="21" t="s">
        <v>2971</v>
      </c>
      <c r="AG369" s="21" t="s">
        <v>3044</v>
      </c>
      <c r="AH369" s="21" t="s">
        <v>3159</v>
      </c>
      <c r="AI369" s="26" t="str">
        <f>IFERROR(__xludf.DUMMYFUNCTION("IF(OR(W369="""",X369="""",AE369="""",AD369=""""),"""",
   TEXT(
     (
       (AE369+AD369 + IF(AE369+AD369 &lt; W369+X369,1,0)) - (W369+X369)
     )
     - IF(AND(AB369&lt;&gt;"""",AC369&lt;&gt;""""), 
          SUM(ARRAYFORMULA(SPLIT(AC369,"","") - SPLIT(AB369,"",""))"&amp;"), 
          0
       ),
     ""[hh]:mm""
   )
)
"),"01:27")</f>
        <v>01:27</v>
      </c>
      <c r="AJ369" s="55">
        <f t="shared" si="9"/>
        <v>0</v>
      </c>
      <c r="AK369" s="28" t="str">
        <f t="shared" si="10"/>
        <v>Pass</v>
      </c>
    </row>
    <row r="370">
      <c r="A370" s="45">
        <v>45915.0</v>
      </c>
      <c r="B370" s="49">
        <v>0.47708333333333336</v>
      </c>
      <c r="C370" s="45">
        <v>45915.0</v>
      </c>
      <c r="D370" s="49">
        <v>0.48125</v>
      </c>
      <c r="E370" s="21" t="s">
        <v>3160</v>
      </c>
      <c r="F370" s="21" t="s">
        <v>1766</v>
      </c>
      <c r="G370" s="21" t="s">
        <v>1767</v>
      </c>
      <c r="H370" s="21" t="s">
        <v>566</v>
      </c>
      <c r="I370" s="21" t="s">
        <v>1326</v>
      </c>
      <c r="J370" s="21" t="s">
        <v>768</v>
      </c>
      <c r="K370" s="21" t="s">
        <v>769</v>
      </c>
      <c r="L370" s="21" t="s">
        <v>3161</v>
      </c>
      <c r="M370" s="21" t="s">
        <v>3162</v>
      </c>
      <c r="N370" s="21" t="s">
        <v>3163</v>
      </c>
      <c r="O370" s="48" t="s">
        <v>3164</v>
      </c>
      <c r="P370" s="21" t="s">
        <v>75</v>
      </c>
      <c r="Q370" s="24" t="s">
        <v>65</v>
      </c>
      <c r="R370" s="21" t="s">
        <v>3165</v>
      </c>
      <c r="S370" s="21" t="s">
        <v>51</v>
      </c>
      <c r="T370" s="21" t="s">
        <v>52</v>
      </c>
      <c r="U370" s="21" t="s">
        <v>52</v>
      </c>
      <c r="V370" s="21" t="s">
        <v>52</v>
      </c>
      <c r="W370" s="45">
        <v>45915.0</v>
      </c>
      <c r="X370" s="49">
        <v>0.48125</v>
      </c>
      <c r="Y370" s="45">
        <v>45915.0</v>
      </c>
      <c r="Z370" s="49">
        <v>0.625</v>
      </c>
      <c r="AA370" s="49">
        <v>0.6458333333333334</v>
      </c>
      <c r="AB370" s="25">
        <v>0.6736111111111112</v>
      </c>
      <c r="AC370" s="25">
        <v>0.6875</v>
      </c>
      <c r="AD370" s="25">
        <v>0.6875</v>
      </c>
      <c r="AE370" s="45">
        <v>45915.0</v>
      </c>
      <c r="AF370" s="21" t="s">
        <v>3150</v>
      </c>
      <c r="AG370" s="21" t="s">
        <v>209</v>
      </c>
      <c r="AH370" s="21" t="s">
        <v>3166</v>
      </c>
      <c r="AI370" s="26" t="str">
        <f>IFERROR(__xludf.DUMMYFUNCTION("IF(OR(W370="""",X370="""",AE370="""",AD370=""""),"""",
   TEXT(
     (
       (AE370+AD370 + IF(AE370+AD370 &lt; W370+X370,1,0)) - (W370+X370)
     )
     - IF(AND(AB370&lt;&gt;"""",AC370&lt;&gt;""""), 
          SUM(ARRAYFORMULA(SPLIT(AC370,"","") - SPLIT(AB370,"",""))"&amp;"), 
          0
       ),
     ""[hh]:mm""
   )
)
"),"04:37")</f>
        <v>04:37</v>
      </c>
      <c r="AJ370" s="55">
        <f t="shared" si="9"/>
        <v>0</v>
      </c>
      <c r="AK370" s="28" t="str">
        <f t="shared" si="10"/>
        <v>Pass</v>
      </c>
    </row>
    <row r="371">
      <c r="A371" s="45">
        <v>45915.0</v>
      </c>
      <c r="B371" s="49">
        <v>0.4777777777777778</v>
      </c>
      <c r="C371" s="45">
        <v>45915.0</v>
      </c>
      <c r="D371" s="49">
        <v>0.4840277777777778</v>
      </c>
      <c r="E371" s="21" t="s">
        <v>3167</v>
      </c>
      <c r="F371" s="21" t="s">
        <v>1315</v>
      </c>
      <c r="G371" s="21" t="s">
        <v>1316</v>
      </c>
      <c r="H371" s="21" t="s">
        <v>566</v>
      </c>
      <c r="I371" s="21" t="s">
        <v>1326</v>
      </c>
      <c r="J371" s="21" t="s">
        <v>768</v>
      </c>
      <c r="K371" s="21" t="s">
        <v>3168</v>
      </c>
      <c r="L371" s="21" t="s">
        <v>3169</v>
      </c>
      <c r="M371" s="21" t="s">
        <v>3170</v>
      </c>
      <c r="N371" s="21" t="s">
        <v>3163</v>
      </c>
      <c r="O371" s="48" t="s">
        <v>3171</v>
      </c>
      <c r="P371" s="21" t="s">
        <v>48</v>
      </c>
      <c r="Q371" s="24" t="s">
        <v>65</v>
      </c>
      <c r="R371" s="21" t="s">
        <v>3172</v>
      </c>
      <c r="S371" s="21" t="s">
        <v>51</v>
      </c>
      <c r="T371" s="21" t="s">
        <v>52</v>
      </c>
      <c r="U371" s="21" t="s">
        <v>52</v>
      </c>
      <c r="V371" s="21" t="s">
        <v>52</v>
      </c>
      <c r="W371" s="45">
        <v>45915.0</v>
      </c>
      <c r="X371" s="49">
        <v>0.4840277777777778</v>
      </c>
      <c r="Y371" s="45">
        <v>45915.0</v>
      </c>
      <c r="Z371" s="49">
        <v>0.5861111111111111</v>
      </c>
      <c r="AA371" s="49">
        <v>0.5875</v>
      </c>
      <c r="AB371" s="25">
        <v>0.625</v>
      </c>
      <c r="AC371" s="25">
        <v>0.6458333333333334</v>
      </c>
      <c r="AD371" s="25">
        <v>0.6458333333333334</v>
      </c>
      <c r="AE371" s="45">
        <v>45915.0</v>
      </c>
      <c r="AF371" s="21" t="s">
        <v>3150</v>
      </c>
      <c r="AG371" s="21" t="s">
        <v>162</v>
      </c>
      <c r="AH371" s="21" t="s">
        <v>3173</v>
      </c>
      <c r="AI371" s="26" t="str">
        <f>IFERROR(__xludf.DUMMYFUNCTION("IF(OR(W371="""",X371="""",AE371="""",AD371=""""),"""",
   TEXT(
     (
       (AE371+AD371 + IF(AE371+AD371 &lt; W371+X371,1,0)) - (W371+X371)
     )
     - IF(AND(AB371&lt;&gt;"""",AC371&lt;&gt;""""), 
          SUM(ARRAYFORMULA(SPLIT(AC371,"","") - SPLIT(AB371,"",""))"&amp;"), 
          0
       ),
     ""[hh]:mm""
   )
)
"),"03:23")</f>
        <v>03:23</v>
      </c>
      <c r="AJ371" s="55">
        <f t="shared" si="9"/>
        <v>0</v>
      </c>
      <c r="AK371" s="28" t="str">
        <f t="shared" si="10"/>
        <v>Pass</v>
      </c>
    </row>
    <row r="372">
      <c r="A372" s="45">
        <v>45915.0</v>
      </c>
      <c r="B372" s="49">
        <v>0.6006944444444444</v>
      </c>
      <c r="C372" s="45">
        <v>45915.0</v>
      </c>
      <c r="D372" s="49">
        <v>0.6034722222222222</v>
      </c>
      <c r="E372" s="21" t="s">
        <v>3174</v>
      </c>
      <c r="F372" s="21" t="s">
        <v>1656</v>
      </c>
      <c r="G372" s="21" t="s">
        <v>1657</v>
      </c>
      <c r="H372" s="21" t="s">
        <v>2184</v>
      </c>
      <c r="I372" s="21" t="s">
        <v>95</v>
      </c>
      <c r="J372" s="21" t="s">
        <v>95</v>
      </c>
      <c r="K372" s="21" t="s">
        <v>143</v>
      </c>
      <c r="L372" s="21" t="s">
        <v>3175</v>
      </c>
      <c r="M372" s="21" t="s">
        <v>3176</v>
      </c>
      <c r="N372" s="21" t="s">
        <v>3177</v>
      </c>
      <c r="O372" s="48" t="s">
        <v>3178</v>
      </c>
      <c r="P372" s="21" t="s">
        <v>48</v>
      </c>
      <c r="Q372" s="24" t="s">
        <v>49</v>
      </c>
      <c r="R372" s="21" t="s">
        <v>3179</v>
      </c>
      <c r="S372" s="21" t="s">
        <v>51</v>
      </c>
      <c r="T372" s="21" t="s">
        <v>52</v>
      </c>
      <c r="U372" s="21" t="s">
        <v>52</v>
      </c>
      <c r="V372" s="21" t="s">
        <v>52</v>
      </c>
      <c r="W372" s="45">
        <v>45915.0</v>
      </c>
      <c r="X372" s="49">
        <v>0.6034722222222222</v>
      </c>
      <c r="Y372" s="45">
        <v>45915.0</v>
      </c>
      <c r="Z372" s="49">
        <v>0.7180555555555556</v>
      </c>
      <c r="AA372" s="49">
        <v>0.7222222222222222</v>
      </c>
      <c r="AB372" s="29"/>
      <c r="AC372" s="29"/>
      <c r="AD372" s="25">
        <v>0.7361111111111112</v>
      </c>
      <c r="AE372" s="45">
        <v>45915.0</v>
      </c>
      <c r="AF372" s="21" t="s">
        <v>2744</v>
      </c>
      <c r="AG372" s="21" t="s">
        <v>239</v>
      </c>
      <c r="AH372" s="21" t="s">
        <v>3180</v>
      </c>
      <c r="AI372" s="26" t="str">
        <f>IFERROR(__xludf.DUMMYFUNCTION("IF(OR(W372="""",X372="""",AE372="""",AD372=""""),"""",
   TEXT(
     (
       (AE372+AD372 + IF(AE372+AD372 &lt; W372+X372,1,0)) - (W372+X372)
     )
     - IF(AND(AB372&lt;&gt;"""",AC372&lt;&gt;""""), 
          SUM(ARRAYFORMULA(SPLIT(AC372,"","") - SPLIT(AB372,"",""))"&amp;"), 
          0
       ),
     ""[hh]:mm""
   )
)
"),"03:11")</f>
        <v>03:11</v>
      </c>
      <c r="AJ372" s="55">
        <f t="shared" si="9"/>
        <v>0</v>
      </c>
      <c r="AK372" s="28" t="str">
        <f t="shared" si="10"/>
        <v>Pass</v>
      </c>
    </row>
    <row r="373">
      <c r="A373" s="45">
        <v>45915.0</v>
      </c>
      <c r="B373" s="49">
        <v>0.60625</v>
      </c>
      <c r="C373" s="45">
        <v>45915.0</v>
      </c>
      <c r="D373" s="49">
        <v>0.6145833333333334</v>
      </c>
      <c r="E373" s="21" t="s">
        <v>3181</v>
      </c>
      <c r="F373" s="21" t="s">
        <v>1766</v>
      </c>
      <c r="G373" s="21" t="s">
        <v>1767</v>
      </c>
      <c r="H373" s="21" t="s">
        <v>142</v>
      </c>
      <c r="I373" s="21" t="s">
        <v>644</v>
      </c>
      <c r="J373" s="21" t="s">
        <v>644</v>
      </c>
      <c r="K373" s="21" t="s">
        <v>143</v>
      </c>
      <c r="L373" s="21" t="s">
        <v>3049</v>
      </c>
      <c r="M373" s="21" t="s">
        <v>3182</v>
      </c>
      <c r="N373" s="21" t="s">
        <v>3183</v>
      </c>
      <c r="O373" s="48" t="s">
        <v>3184</v>
      </c>
      <c r="P373" s="21" t="s">
        <v>187</v>
      </c>
      <c r="Q373" s="24" t="s">
        <v>65</v>
      </c>
      <c r="R373" s="21" t="s">
        <v>3185</v>
      </c>
      <c r="S373" s="21" t="s">
        <v>51</v>
      </c>
      <c r="T373" s="21" t="s">
        <v>52</v>
      </c>
      <c r="U373" s="21" t="s">
        <v>52</v>
      </c>
      <c r="V373" s="21" t="s">
        <v>52</v>
      </c>
      <c r="W373" s="45">
        <v>45915.0</v>
      </c>
      <c r="X373" s="49">
        <v>0.6145833333333334</v>
      </c>
      <c r="Y373" s="45">
        <v>45915.0</v>
      </c>
      <c r="Z373" s="49">
        <v>0.625</v>
      </c>
      <c r="AA373" s="49">
        <v>0.6458333333333334</v>
      </c>
      <c r="AB373" s="29"/>
      <c r="AC373" s="29"/>
      <c r="AD373" s="25">
        <v>0.6944444444444444</v>
      </c>
      <c r="AE373" s="45">
        <v>45915.0</v>
      </c>
      <c r="AF373" s="21" t="s">
        <v>3150</v>
      </c>
      <c r="AG373" s="21" t="s">
        <v>209</v>
      </c>
      <c r="AH373" s="21" t="s">
        <v>3166</v>
      </c>
      <c r="AI373" s="26" t="str">
        <f>IFERROR(__xludf.DUMMYFUNCTION("IF(OR(W373="""",X373="""",AE373="""",AD373=""""),"""",
   TEXT(
     (
       (AE373+AD373 + IF(AE373+AD373 &lt; W373+X373,1,0)) - (W373+X373)
     )
     - IF(AND(AB373&lt;&gt;"""",AC373&lt;&gt;""""), 
          SUM(ARRAYFORMULA(SPLIT(AC373,"","") - SPLIT(AB373,"",""))"&amp;"), 
          0
       ),
     ""[hh]:mm""
   )
)
"),"01:55")</f>
        <v>01:55</v>
      </c>
      <c r="AJ373" s="55">
        <f t="shared" si="9"/>
        <v>0</v>
      </c>
      <c r="AK373" s="28" t="str">
        <f t="shared" si="10"/>
        <v>Pass</v>
      </c>
    </row>
    <row r="374">
      <c r="A374" s="45">
        <v>45916.0</v>
      </c>
      <c r="B374" s="49">
        <v>0.35347222222222224</v>
      </c>
      <c r="C374" s="45">
        <v>45916.0</v>
      </c>
      <c r="D374" s="49">
        <v>0.35694444444444445</v>
      </c>
      <c r="E374" s="21" t="s">
        <v>3186</v>
      </c>
      <c r="F374" s="21" t="s">
        <v>259</v>
      </c>
      <c r="G374" s="21" t="s">
        <v>260</v>
      </c>
      <c r="H374" s="21" t="s">
        <v>2248</v>
      </c>
      <c r="I374" s="21" t="s">
        <v>131</v>
      </c>
      <c r="J374" s="21" t="s">
        <v>2253</v>
      </c>
      <c r="K374" s="21" t="s">
        <v>43</v>
      </c>
      <c r="L374" s="21" t="s">
        <v>2714</v>
      </c>
      <c r="M374" s="21" t="s">
        <v>3187</v>
      </c>
      <c r="N374" s="21" t="s">
        <v>3188</v>
      </c>
      <c r="O374" s="48" t="s">
        <v>3189</v>
      </c>
      <c r="P374" s="21" t="s">
        <v>75</v>
      </c>
      <c r="Q374" s="24" t="s">
        <v>65</v>
      </c>
      <c r="R374" s="21" t="s">
        <v>3190</v>
      </c>
      <c r="S374" s="21" t="s">
        <v>51</v>
      </c>
      <c r="T374" s="21" t="s">
        <v>52</v>
      </c>
      <c r="U374" s="21" t="s">
        <v>52</v>
      </c>
      <c r="V374" s="21" t="s">
        <v>52</v>
      </c>
      <c r="W374" s="69"/>
      <c r="X374" s="46"/>
      <c r="Y374" s="45">
        <v>45954.0</v>
      </c>
      <c r="Z374" s="49">
        <v>0.45416666666666666</v>
      </c>
      <c r="AA374" s="49">
        <v>0.45625</v>
      </c>
      <c r="AB374" s="29"/>
      <c r="AC374" s="29"/>
      <c r="AD374" s="25">
        <v>0.4756944444444444</v>
      </c>
      <c r="AE374" s="45">
        <v>45954.0</v>
      </c>
      <c r="AF374" s="47"/>
      <c r="AG374" s="21" t="s">
        <v>3191</v>
      </c>
      <c r="AH374" s="21" t="s">
        <v>3192</v>
      </c>
      <c r="AI374" s="81" t="str">
        <f>IFERROR(__xludf.DUMMYFUNCTION("IF(OR(W374="""",X374="""",AE374="""",AD374=""""),"""",
   TEXT(
     (
       (AE374+AD374 + IF(AE374+AD374 &lt; W374+X374,1,0)) - (W374+X374)
     )
     - IF(AND(AB374&lt;&gt;"""",AC374&lt;&gt;""""), 
          SUM(ARRAYFORMULA(SPLIT(AC374,"","") - SPLIT(AB374,"",""))"&amp;"), 
          0
       ),
     ""[hh]:mm""
   )
)
"),"")</f>
        <v/>
      </c>
      <c r="AJ374" s="82" t="str">
        <f t="shared" si="9"/>
        <v/>
      </c>
      <c r="AK374" s="83" t="str">
        <f t="shared" si="10"/>
        <v/>
      </c>
    </row>
    <row r="375">
      <c r="A375" s="45">
        <v>45916.0</v>
      </c>
      <c r="B375" s="49">
        <v>0.37569444444444444</v>
      </c>
      <c r="C375" s="45">
        <v>45916.0</v>
      </c>
      <c r="D375" s="49">
        <v>0.3784722222222222</v>
      </c>
      <c r="E375" s="21" t="s">
        <v>3193</v>
      </c>
      <c r="F375" s="21" t="s">
        <v>180</v>
      </c>
      <c r="G375" s="21" t="s">
        <v>181</v>
      </c>
      <c r="H375" s="21" t="s">
        <v>756</v>
      </c>
      <c r="I375" s="21" t="s">
        <v>60</v>
      </c>
      <c r="J375" s="21" t="s">
        <v>42</v>
      </c>
      <c r="K375" s="21" t="s">
        <v>61</v>
      </c>
      <c r="L375" s="21" t="s">
        <v>183</v>
      </c>
      <c r="M375" s="21" t="s">
        <v>2524</v>
      </c>
      <c r="N375" s="21" t="s">
        <v>3194</v>
      </c>
      <c r="O375" s="48" t="s">
        <v>3195</v>
      </c>
      <c r="P375" s="21" t="s">
        <v>48</v>
      </c>
      <c r="Q375" s="24" t="s">
        <v>65</v>
      </c>
      <c r="R375" s="21" t="s">
        <v>3196</v>
      </c>
      <c r="S375" s="21" t="s">
        <v>51</v>
      </c>
      <c r="T375" s="21" t="s">
        <v>52</v>
      </c>
      <c r="U375" s="21" t="s">
        <v>52</v>
      </c>
      <c r="V375" s="21" t="s">
        <v>52</v>
      </c>
      <c r="W375" s="45">
        <v>45916.0</v>
      </c>
      <c r="X375" s="49">
        <v>0.3784722222222222</v>
      </c>
      <c r="Y375" s="45">
        <v>45916.0</v>
      </c>
      <c r="Z375" s="49">
        <v>0.5020833333333333</v>
      </c>
      <c r="AA375" s="49">
        <v>0.5027777777777778</v>
      </c>
      <c r="AB375" s="25">
        <v>0.5208333333333334</v>
      </c>
      <c r="AC375" s="25">
        <v>0.5416666666666666</v>
      </c>
      <c r="AD375" s="25">
        <v>0.5444444444444444</v>
      </c>
      <c r="AE375" s="45">
        <v>45916.0</v>
      </c>
      <c r="AF375" s="21" t="s">
        <v>2819</v>
      </c>
      <c r="AG375" s="21" t="s">
        <v>3197</v>
      </c>
      <c r="AH375" s="21" t="s">
        <v>3198</v>
      </c>
      <c r="AI375" s="26" t="str">
        <f>IFERROR(__xludf.DUMMYFUNCTION("IF(OR(W375="""",X375="""",AE375="""",AD375=""""),"""",
   TEXT(
     (
       (AE375+AD375 + IF(AE375+AD375 &lt; W375+X375,1,0)) - (W375+X375)
     )
     - IF(AND(AB375&lt;&gt;"""",AC375&lt;&gt;""""), 
          SUM(ARRAYFORMULA(SPLIT(AC375,"","") - SPLIT(AB375,"",""))"&amp;"), 
          0
       ),
     ""[hh]:mm""
   )
)
"),"03:29")</f>
        <v>03:29</v>
      </c>
      <c r="AJ375" s="55">
        <f t="shared" si="9"/>
        <v>0</v>
      </c>
      <c r="AK375" s="28" t="str">
        <f t="shared" si="10"/>
        <v>Pass</v>
      </c>
    </row>
    <row r="376">
      <c r="A376" s="45">
        <v>45916.0</v>
      </c>
      <c r="B376" s="49">
        <v>0.40069444444444446</v>
      </c>
      <c r="C376" s="45">
        <v>45916.0</v>
      </c>
      <c r="D376" s="49">
        <v>0.40625</v>
      </c>
      <c r="E376" s="21" t="s">
        <v>3199</v>
      </c>
      <c r="F376" s="21" t="s">
        <v>3200</v>
      </c>
      <c r="G376" s="21" t="s">
        <v>3201</v>
      </c>
      <c r="H376" s="21" t="s">
        <v>756</v>
      </c>
      <c r="I376" s="21" t="s">
        <v>60</v>
      </c>
      <c r="J376" s="21" t="s">
        <v>42</v>
      </c>
      <c r="K376" s="21" t="s">
        <v>61</v>
      </c>
      <c r="L376" s="21" t="s">
        <v>183</v>
      </c>
      <c r="M376" s="21" t="s">
        <v>3202</v>
      </c>
      <c r="N376" s="21" t="s">
        <v>3203</v>
      </c>
      <c r="O376" s="48" t="s">
        <v>3204</v>
      </c>
      <c r="P376" s="21" t="s">
        <v>48</v>
      </c>
      <c r="Q376" s="24" t="s">
        <v>49</v>
      </c>
      <c r="R376" s="21" t="s">
        <v>3205</v>
      </c>
      <c r="S376" s="21" t="s">
        <v>51</v>
      </c>
      <c r="T376" s="21" t="s">
        <v>52</v>
      </c>
      <c r="U376" s="21" t="s">
        <v>52</v>
      </c>
      <c r="V376" s="21" t="s">
        <v>52</v>
      </c>
      <c r="W376" s="45">
        <v>45916.0</v>
      </c>
      <c r="X376" s="49">
        <v>0.40625</v>
      </c>
      <c r="Y376" s="45">
        <v>45916.0</v>
      </c>
      <c r="Z376" s="49">
        <v>0.47430555555555554</v>
      </c>
      <c r="AA376" s="49">
        <v>0.4756944444444444</v>
      </c>
      <c r="AB376" s="29"/>
      <c r="AC376" s="29"/>
      <c r="AD376" s="25">
        <v>0.5243055555555556</v>
      </c>
      <c r="AE376" s="45">
        <v>45916.0</v>
      </c>
      <c r="AF376" s="21" t="s">
        <v>2839</v>
      </c>
      <c r="AG376" s="21" t="s">
        <v>775</v>
      </c>
      <c r="AH376" s="21" t="s">
        <v>3206</v>
      </c>
      <c r="AI376" s="26" t="str">
        <f>IFERROR(__xludf.DUMMYFUNCTION("IF(OR(W376="""",X376="""",AE376="""",AD376=""""),"""",
   TEXT(
     (
       (AE376+AD376 + IF(AE376+AD376 &lt; W376+X376,1,0)) - (W376+X376)
     )
     - IF(AND(AB376&lt;&gt;"""",AC376&lt;&gt;""""), 
          SUM(ARRAYFORMULA(SPLIT(AC376,"","") - SPLIT(AB376,"",""))"&amp;"), 
          0
       ),
     ""[hh]:mm""
   )
)
"),"02:50")</f>
        <v>02:50</v>
      </c>
      <c r="AJ376" s="55">
        <f t="shared" si="9"/>
        <v>0</v>
      </c>
      <c r="AK376" s="28" t="str">
        <f t="shared" si="10"/>
        <v>Pass</v>
      </c>
    </row>
    <row r="377">
      <c r="A377" s="45">
        <v>45916.0</v>
      </c>
      <c r="B377" s="49">
        <v>0.41875</v>
      </c>
      <c r="C377" s="45">
        <v>45916.0</v>
      </c>
      <c r="D377" s="49">
        <v>0.42430555555555555</v>
      </c>
      <c r="E377" s="21" t="s">
        <v>3207</v>
      </c>
      <c r="F377" s="21" t="s">
        <v>3200</v>
      </c>
      <c r="G377" s="21" t="s">
        <v>3201</v>
      </c>
      <c r="H377" s="21" t="s">
        <v>756</v>
      </c>
      <c r="I377" s="21" t="s">
        <v>234</v>
      </c>
      <c r="J377" s="21" t="s">
        <v>42</v>
      </c>
      <c r="K377" s="21" t="s">
        <v>61</v>
      </c>
      <c r="L377" s="21" t="s">
        <v>183</v>
      </c>
      <c r="M377" s="21" t="s">
        <v>3208</v>
      </c>
      <c r="N377" s="21" t="s">
        <v>3203</v>
      </c>
      <c r="O377" s="48" t="s">
        <v>3209</v>
      </c>
      <c r="P377" s="21" t="s">
        <v>48</v>
      </c>
      <c r="Q377" s="24" t="s">
        <v>49</v>
      </c>
      <c r="R377" s="21" t="s">
        <v>3205</v>
      </c>
      <c r="S377" s="21" t="s">
        <v>51</v>
      </c>
      <c r="T377" s="21" t="s">
        <v>52</v>
      </c>
      <c r="U377" s="21" t="s">
        <v>52</v>
      </c>
      <c r="V377" s="21" t="s">
        <v>52</v>
      </c>
      <c r="W377" s="45">
        <v>45916.0</v>
      </c>
      <c r="X377" s="49">
        <v>0.42430555555555555</v>
      </c>
      <c r="Y377" s="45">
        <v>45916.0</v>
      </c>
      <c r="Z377" s="49">
        <v>0.47430555555555554</v>
      </c>
      <c r="AA377" s="49">
        <v>0.4756944444444444</v>
      </c>
      <c r="AB377" s="29"/>
      <c r="AC377" s="29"/>
      <c r="AD377" s="25">
        <v>0.5243055555555556</v>
      </c>
      <c r="AE377" s="45">
        <v>45916.0</v>
      </c>
      <c r="AF377" s="21" t="s">
        <v>2839</v>
      </c>
      <c r="AG377" s="21" t="s">
        <v>775</v>
      </c>
      <c r="AH377" s="21" t="s">
        <v>3206</v>
      </c>
      <c r="AI377" s="26" t="str">
        <f>IFERROR(__xludf.DUMMYFUNCTION("IF(OR(W377="""",X377="""",AE377="""",AD377=""""),"""",
   TEXT(
     (
       (AE377+AD377 + IF(AE377+AD377 &lt; W377+X377,1,0)) - (W377+X377)
     )
     - IF(AND(AB377&lt;&gt;"""",AC377&lt;&gt;""""), 
          SUM(ARRAYFORMULA(SPLIT(AC377,"","") - SPLIT(AB377,"",""))"&amp;"), 
          0
       ),
     ""[hh]:mm""
   )
)
"),"02:24")</f>
        <v>02:24</v>
      </c>
      <c r="AJ377" s="55">
        <f t="shared" si="9"/>
        <v>0</v>
      </c>
      <c r="AK377" s="28" t="str">
        <f t="shared" si="10"/>
        <v>Pass</v>
      </c>
    </row>
    <row r="378">
      <c r="A378" s="18">
        <v>45917.0</v>
      </c>
      <c r="B378" s="20">
        <v>0.5597222222222222</v>
      </c>
      <c r="C378" s="18">
        <v>45917.0</v>
      </c>
      <c r="D378" s="79">
        <v>0.2951388888888889</v>
      </c>
      <c r="E378" s="22" t="s">
        <v>3210</v>
      </c>
      <c r="F378" s="22" t="s">
        <v>3211</v>
      </c>
      <c r="G378" s="22" t="s">
        <v>3212</v>
      </c>
      <c r="H378" s="22" t="s">
        <v>1186</v>
      </c>
      <c r="I378" s="22" t="s">
        <v>1497</v>
      </c>
      <c r="J378" s="22" t="s">
        <v>95</v>
      </c>
      <c r="K378" s="22" t="s">
        <v>143</v>
      </c>
      <c r="L378" s="22" t="s">
        <v>3213</v>
      </c>
      <c r="M378" s="22" t="s">
        <v>3214</v>
      </c>
      <c r="N378" s="22" t="s">
        <v>3215</v>
      </c>
      <c r="O378" s="23" t="s">
        <v>3216</v>
      </c>
      <c r="P378" s="22" t="s">
        <v>75</v>
      </c>
      <c r="Q378" s="50" t="s">
        <v>198</v>
      </c>
      <c r="R378" s="22" t="s">
        <v>3217</v>
      </c>
      <c r="S378" s="22" t="s">
        <v>51</v>
      </c>
      <c r="T378" s="22" t="s">
        <v>52</v>
      </c>
      <c r="U378" s="22" t="s">
        <v>52</v>
      </c>
      <c r="V378" s="22" t="s">
        <v>52</v>
      </c>
      <c r="W378" s="18">
        <v>45917.0</v>
      </c>
      <c r="X378" s="20">
        <v>0.4465277777777778</v>
      </c>
      <c r="Y378" s="18">
        <v>45917.0</v>
      </c>
      <c r="Z378" s="20">
        <v>0.5090277777777777</v>
      </c>
      <c r="AA378" s="20">
        <v>0.5208333333333334</v>
      </c>
      <c r="AB378" s="54"/>
      <c r="AC378" s="54"/>
      <c r="AD378" s="51">
        <v>0.6819444444444445</v>
      </c>
      <c r="AE378" s="18">
        <v>45917.0</v>
      </c>
      <c r="AF378" s="22" t="s">
        <v>3218</v>
      </c>
      <c r="AG378" s="22" t="s">
        <v>293</v>
      </c>
      <c r="AH378" s="22" t="s">
        <v>3219</v>
      </c>
      <c r="AI378" s="26" t="str">
        <f>IFERROR(__xludf.DUMMYFUNCTION("IF(OR(W378="""",X378="""",AE378="""",AD378=""""),"""",
   TEXT(
     (
       (AE378+AD378 + IF(AE378+AD378 &lt; W378+X378,1,0)) - (W378+X378)
     )
     - IF(AND(AB378&lt;&gt;"""",AC378&lt;&gt;""""), 
          SUM(ARRAYFORMULA(SPLIT(AC378,"","") - SPLIT(AB378,"",""))"&amp;"), 
          0
       ),
     ""[hh]:mm""
   )
)
"),"05:39")</f>
        <v>05:39</v>
      </c>
      <c r="AJ378" s="55">
        <f t="shared" si="9"/>
        <v>0</v>
      </c>
      <c r="AK378" s="28" t="str">
        <f t="shared" si="10"/>
        <v>Pass</v>
      </c>
    </row>
    <row r="379">
      <c r="A379" s="18">
        <v>45917.0</v>
      </c>
      <c r="B379" s="20">
        <v>0.49166666666666664</v>
      </c>
      <c r="C379" s="18">
        <v>45917.0</v>
      </c>
      <c r="D379" s="20">
        <v>0.5090277777777777</v>
      </c>
      <c r="E379" s="22" t="s">
        <v>3220</v>
      </c>
      <c r="F379" s="22" t="s">
        <v>3221</v>
      </c>
      <c r="G379" s="22" t="s">
        <v>3222</v>
      </c>
      <c r="H379" s="22" t="s">
        <v>142</v>
      </c>
      <c r="I379" s="22" t="s">
        <v>3223</v>
      </c>
      <c r="J379" s="22" t="s">
        <v>42</v>
      </c>
      <c r="K379" s="22" t="s">
        <v>333</v>
      </c>
      <c r="L379" s="22" t="s">
        <v>3224</v>
      </c>
      <c r="M379" s="22" t="s">
        <v>3225</v>
      </c>
      <c r="N379" s="22" t="s">
        <v>3226</v>
      </c>
      <c r="O379" s="23" t="s">
        <v>3227</v>
      </c>
      <c r="P379" s="22" t="s">
        <v>48</v>
      </c>
      <c r="Q379" s="50" t="s">
        <v>49</v>
      </c>
      <c r="R379" s="22" t="s">
        <v>3228</v>
      </c>
      <c r="S379" s="22" t="s">
        <v>51</v>
      </c>
      <c r="T379" s="22" t="s">
        <v>52</v>
      </c>
      <c r="U379" s="22" t="s">
        <v>52</v>
      </c>
      <c r="V379" s="22" t="s">
        <v>52</v>
      </c>
      <c r="W379" s="18">
        <v>45917.0</v>
      </c>
      <c r="X379" s="20">
        <v>0.5090277777777777</v>
      </c>
      <c r="Y379" s="18">
        <v>45917.0</v>
      </c>
      <c r="Z379" s="20">
        <v>0.5833333333333334</v>
      </c>
      <c r="AA379" s="20">
        <v>0.5951388888888889</v>
      </c>
      <c r="AB379" s="54"/>
      <c r="AC379" s="54"/>
      <c r="AD379" s="51">
        <v>0.625</v>
      </c>
      <c r="AE379" s="18">
        <v>45917.0</v>
      </c>
      <c r="AF379" s="22" t="s">
        <v>3229</v>
      </c>
      <c r="AG379" s="22" t="s">
        <v>78</v>
      </c>
      <c r="AH379" s="22" t="s">
        <v>3230</v>
      </c>
      <c r="AI379" s="26" t="str">
        <f>IFERROR(__xludf.DUMMYFUNCTION("IF(OR(W379="""",X379="""",AE379="""",AD379=""""),"""",
   TEXT(
     (
       (AE379+AD379 + IF(AE379+AD379 &lt; W379+X379,1,0)) - (W379+X379)
     )
     - IF(AND(AB379&lt;&gt;"""",AC379&lt;&gt;""""), 
          SUM(ARRAYFORMULA(SPLIT(AC379,"","") - SPLIT(AB379,"",""))"&amp;"), 
          0
       ),
     ""[hh]:mm""
   )
)
"),"02:47")</f>
        <v>02:47</v>
      </c>
      <c r="AJ379" s="55">
        <f t="shared" si="9"/>
        <v>0</v>
      </c>
      <c r="AK379" s="28" t="str">
        <f t="shared" si="10"/>
        <v>Pass</v>
      </c>
    </row>
    <row r="380">
      <c r="A380" s="18">
        <v>45916.0</v>
      </c>
      <c r="B380" s="20">
        <v>0.44722222222222224</v>
      </c>
      <c r="C380" s="18">
        <v>45916.0</v>
      </c>
      <c r="D380" s="20">
        <v>0.44930555555555557</v>
      </c>
      <c r="E380" s="22" t="s">
        <v>3231</v>
      </c>
      <c r="F380" s="22" t="s">
        <v>3232</v>
      </c>
      <c r="G380" s="22" t="s">
        <v>3233</v>
      </c>
      <c r="H380" s="22" t="s">
        <v>1287</v>
      </c>
      <c r="I380" s="22" t="s">
        <v>616</v>
      </c>
      <c r="J380" s="22" t="s">
        <v>132</v>
      </c>
      <c r="K380" s="22" t="s">
        <v>43</v>
      </c>
      <c r="L380" s="22" t="s">
        <v>3234</v>
      </c>
      <c r="M380" s="22" t="s">
        <v>3235</v>
      </c>
      <c r="N380" s="22" t="s">
        <v>3236</v>
      </c>
      <c r="O380" s="23" t="s">
        <v>3237</v>
      </c>
      <c r="P380" s="22" t="s">
        <v>75</v>
      </c>
      <c r="Q380" s="50" t="s">
        <v>65</v>
      </c>
      <c r="R380" s="22" t="s">
        <v>3238</v>
      </c>
      <c r="S380" s="22" t="s">
        <v>51</v>
      </c>
      <c r="T380" s="22" t="s">
        <v>52</v>
      </c>
      <c r="U380" s="22" t="s">
        <v>52</v>
      </c>
      <c r="V380" s="22" t="s">
        <v>52</v>
      </c>
      <c r="W380" s="18">
        <v>45917.0</v>
      </c>
      <c r="X380" s="20">
        <v>0.5243055555555556</v>
      </c>
      <c r="Y380" s="18">
        <v>45917.0</v>
      </c>
      <c r="Z380" s="75">
        <v>0.5909722222222222</v>
      </c>
      <c r="AA380" s="20">
        <v>0.5958333333333333</v>
      </c>
      <c r="AB380" s="54"/>
      <c r="AC380" s="54"/>
      <c r="AD380" s="51">
        <v>0.6305555555555555</v>
      </c>
      <c r="AE380" s="18">
        <v>45917.0</v>
      </c>
      <c r="AF380" s="22" t="s">
        <v>2839</v>
      </c>
      <c r="AG380" s="22" t="s">
        <v>1482</v>
      </c>
      <c r="AH380" s="22" t="s">
        <v>3239</v>
      </c>
      <c r="AI380" s="26" t="str">
        <f>IFERROR(__xludf.DUMMYFUNCTION("IF(OR(W380="""",X380="""",AE380="""",AD380=""""),"""",
   TEXT(
     (
       (AE380+AD380 + IF(AE380+AD380 &lt; W380+X380,1,0)) - (W380+X380)
     )
     - IF(AND(AB380&lt;&gt;"""",AC380&lt;&gt;""""), 
          SUM(ARRAYFORMULA(SPLIT(AC380,"","") - SPLIT(AB380,"",""))"&amp;"), 
          0
       ),
     ""[hh]:mm""
   )
)
"),"02:33")</f>
        <v>02:33</v>
      </c>
      <c r="AJ380" s="55">
        <f t="shared" si="9"/>
        <v>0</v>
      </c>
      <c r="AK380" s="28" t="str">
        <f t="shared" si="10"/>
        <v>Pass</v>
      </c>
    </row>
    <row r="381">
      <c r="A381" s="45">
        <v>45918.0</v>
      </c>
      <c r="B381" s="49">
        <v>0.5548611111111111</v>
      </c>
      <c r="C381" s="45">
        <v>45918.0</v>
      </c>
      <c r="D381" s="49">
        <v>0.5611111111111111</v>
      </c>
      <c r="E381" s="21" t="s">
        <v>3240</v>
      </c>
      <c r="F381" s="21" t="s">
        <v>3241</v>
      </c>
      <c r="G381" s="21" t="s">
        <v>3242</v>
      </c>
      <c r="H381" s="21" t="s">
        <v>1468</v>
      </c>
      <c r="I381" s="21" t="s">
        <v>856</v>
      </c>
      <c r="J381" s="21" t="s">
        <v>1084</v>
      </c>
      <c r="K381" s="21" t="s">
        <v>3243</v>
      </c>
      <c r="L381" s="21" t="s">
        <v>2934</v>
      </c>
      <c r="M381" s="21">
        <v>8.61585014348606E14</v>
      </c>
      <c r="N381" s="21" t="s">
        <v>2914</v>
      </c>
      <c r="O381" s="48" t="s">
        <v>3244</v>
      </c>
      <c r="P381" s="21" t="s">
        <v>48</v>
      </c>
      <c r="Q381" s="24" t="s">
        <v>198</v>
      </c>
      <c r="R381" s="21" t="s">
        <v>3245</v>
      </c>
      <c r="S381" s="21" t="s">
        <v>51</v>
      </c>
      <c r="T381" s="21" t="s">
        <v>52</v>
      </c>
      <c r="U381" s="21" t="s">
        <v>52</v>
      </c>
      <c r="V381" s="21" t="s">
        <v>52</v>
      </c>
      <c r="W381" s="45">
        <v>45918.0</v>
      </c>
      <c r="X381" s="49">
        <v>0.5611111111111111</v>
      </c>
      <c r="Y381" s="45">
        <v>45918.0</v>
      </c>
      <c r="Z381" s="49">
        <v>0.6645833333333333</v>
      </c>
      <c r="AA381" s="49">
        <v>0.6652777777777777</v>
      </c>
      <c r="AB381" s="29"/>
      <c r="AC381" s="29"/>
      <c r="AD381" s="85">
        <v>0.6875</v>
      </c>
      <c r="AE381" s="45">
        <v>45918.0</v>
      </c>
      <c r="AF381" s="21" t="s">
        <v>2719</v>
      </c>
      <c r="AG381" s="21" t="s">
        <v>3197</v>
      </c>
      <c r="AH381" s="47"/>
      <c r="AI381" s="26" t="str">
        <f>IFERROR(__xludf.DUMMYFUNCTION("IF(OR(W381="""",X381="""",AE381="""",AD381=""""),"""",
   TEXT(
     (
       (AE381+AD381 + IF(AE381+AD381 &lt; W381+X381,1,0)) - (W381+X381)
     )
     - IF(AND(AB381&lt;&gt;"""",AC381&lt;&gt;""""), 
          SUM(ARRAYFORMULA(SPLIT(AC381,"","") - SPLIT(AB381,"",""))"&amp;"), 
          0
       ),
     ""[hh]:mm""
   )
)
"),"03:02")</f>
        <v>03:02</v>
      </c>
      <c r="AJ381" s="55">
        <f t="shared" si="9"/>
        <v>0</v>
      </c>
      <c r="AK381" s="28" t="str">
        <f t="shared" si="10"/>
        <v>Pass</v>
      </c>
    </row>
    <row r="382">
      <c r="A382" s="45">
        <v>45918.0</v>
      </c>
      <c r="B382" s="49">
        <v>0.5590277777777778</v>
      </c>
      <c r="C382" s="45">
        <v>45918.0</v>
      </c>
      <c r="D382" s="49">
        <v>0.5798611111111112</v>
      </c>
      <c r="E382" s="21" t="s">
        <v>3246</v>
      </c>
      <c r="F382" s="21" t="s">
        <v>3247</v>
      </c>
      <c r="G382" s="21" t="s">
        <v>3248</v>
      </c>
      <c r="H382" s="21" t="s">
        <v>156</v>
      </c>
      <c r="I382" s="21" t="s">
        <v>476</v>
      </c>
      <c r="J382" s="21" t="s">
        <v>195</v>
      </c>
      <c r="K382" s="21" t="s">
        <v>3249</v>
      </c>
      <c r="L382" s="21" t="s">
        <v>3250</v>
      </c>
      <c r="M382" s="21" t="s">
        <v>3251</v>
      </c>
      <c r="N382" s="21" t="s">
        <v>3252</v>
      </c>
      <c r="O382" s="48" t="s">
        <v>3253</v>
      </c>
      <c r="P382" s="21" t="s">
        <v>75</v>
      </c>
      <c r="Q382" s="24" t="s">
        <v>65</v>
      </c>
      <c r="R382" s="21" t="s">
        <v>2862</v>
      </c>
      <c r="S382" s="21" t="s">
        <v>51</v>
      </c>
      <c r="T382" s="21" t="s">
        <v>52</v>
      </c>
      <c r="U382" s="21" t="s">
        <v>52</v>
      </c>
      <c r="V382" s="21" t="s">
        <v>52</v>
      </c>
      <c r="W382" s="45">
        <v>45918.0</v>
      </c>
      <c r="X382" s="49">
        <v>0.5694444444444444</v>
      </c>
      <c r="Y382" s="45">
        <v>45918.0</v>
      </c>
      <c r="Z382" s="49">
        <v>0.5694444444444444</v>
      </c>
      <c r="AA382" s="49">
        <v>0.5701388888888889</v>
      </c>
      <c r="AB382" s="29"/>
      <c r="AC382" s="29"/>
      <c r="AD382" s="25">
        <v>0.5763888888888888</v>
      </c>
      <c r="AE382" s="45">
        <v>45918.0</v>
      </c>
      <c r="AF382" s="21" t="s">
        <v>2819</v>
      </c>
      <c r="AG382" s="21" t="s">
        <v>3254</v>
      </c>
      <c r="AH382" s="21" t="s">
        <v>3255</v>
      </c>
      <c r="AI382" s="26" t="str">
        <f>IFERROR(__xludf.DUMMYFUNCTION("IF(OR(W382="""",X382="""",AE382="""",AD382=""""),"""",
   TEXT(
     (
       (AE382+AD382 + IF(AE382+AD382 &lt; W382+X382,1,0)) - (W382+X382)
     )
     - IF(AND(AB382&lt;&gt;"""",AC382&lt;&gt;""""), 
          SUM(ARRAYFORMULA(SPLIT(AC382,"","") - SPLIT(AB382,"",""))"&amp;"), 
          0
       ),
     ""[hh]:mm""
   )
)
"),"00:10")</f>
        <v>00:10</v>
      </c>
      <c r="AJ382" s="55">
        <f t="shared" si="9"/>
        <v>0</v>
      </c>
      <c r="AK382" s="28" t="str">
        <f t="shared" si="10"/>
        <v>Pass</v>
      </c>
    </row>
    <row r="383">
      <c r="A383" s="45">
        <v>45919.0</v>
      </c>
      <c r="B383" s="49">
        <v>0.5166666666666667</v>
      </c>
      <c r="C383" s="45">
        <v>45919.0</v>
      </c>
      <c r="D383" s="49">
        <v>0.5208333333333334</v>
      </c>
      <c r="E383" s="21" t="s">
        <v>3256</v>
      </c>
      <c r="F383" s="21" t="s">
        <v>3257</v>
      </c>
      <c r="G383" s="21" t="s">
        <v>3258</v>
      </c>
      <c r="H383" s="21" t="s">
        <v>2248</v>
      </c>
      <c r="I383" s="21" t="s">
        <v>131</v>
      </c>
      <c r="J383" s="21" t="s">
        <v>132</v>
      </c>
      <c r="K383" s="21" t="s">
        <v>1170</v>
      </c>
      <c r="L383" s="21" t="s">
        <v>1120</v>
      </c>
      <c r="M383" s="21" t="s">
        <v>3259</v>
      </c>
      <c r="N383" s="21" t="s">
        <v>3260</v>
      </c>
      <c r="O383" s="48" t="s">
        <v>3261</v>
      </c>
      <c r="P383" s="21" t="s">
        <v>75</v>
      </c>
      <c r="Q383" s="24" t="s">
        <v>65</v>
      </c>
      <c r="R383" s="21" t="s">
        <v>3262</v>
      </c>
      <c r="S383" s="21" t="s">
        <v>51</v>
      </c>
      <c r="T383" s="21" t="s">
        <v>52</v>
      </c>
      <c r="U383" s="21" t="s">
        <v>52</v>
      </c>
      <c r="V383" s="21" t="s">
        <v>52</v>
      </c>
      <c r="W383" s="45">
        <v>45919.0</v>
      </c>
      <c r="X383" s="49">
        <v>0.5208333333333334</v>
      </c>
      <c r="Y383" s="45">
        <v>45919.0</v>
      </c>
      <c r="Z383" s="49">
        <v>0.6458333333333334</v>
      </c>
      <c r="AA383" s="49">
        <v>0.65625</v>
      </c>
      <c r="AB383" s="29"/>
      <c r="AC383" s="29"/>
      <c r="AD383" s="25">
        <v>0.6666666666666666</v>
      </c>
      <c r="AE383" s="45">
        <v>45919.0</v>
      </c>
      <c r="AF383" s="21" t="s">
        <v>2744</v>
      </c>
      <c r="AG383" s="21" t="s">
        <v>78</v>
      </c>
      <c r="AH383" s="21" t="s">
        <v>3263</v>
      </c>
      <c r="AI383" s="26" t="str">
        <f>IFERROR(__xludf.DUMMYFUNCTION("IF(OR(W383="""",X383="""",AE383="""",AD383=""""),"""",
   TEXT(
     (
       (AE383+AD383 + IF(AE383+AD383 &lt; W383+X383,1,0)) - (W383+X383)
     )
     - IF(AND(AB383&lt;&gt;"""",AC383&lt;&gt;""""), 
          SUM(ARRAYFORMULA(SPLIT(AC383,"","") - SPLIT(AB383,"",""))"&amp;"), 
          0
       ),
     ""[hh]:mm""
   )
)
"),"03:30")</f>
        <v>03:30</v>
      </c>
      <c r="AJ383" s="55">
        <f t="shared" si="9"/>
        <v>0</v>
      </c>
      <c r="AK383" s="28" t="str">
        <f t="shared" si="10"/>
        <v>Pass</v>
      </c>
    </row>
    <row r="384">
      <c r="A384" s="45">
        <v>45919.0</v>
      </c>
      <c r="B384" s="49">
        <v>0.6118055555555556</v>
      </c>
      <c r="C384" s="45">
        <v>45919.0</v>
      </c>
      <c r="D384" s="49">
        <v>0.6145833333333334</v>
      </c>
      <c r="E384" s="21" t="s">
        <v>3264</v>
      </c>
      <c r="F384" s="21" t="s">
        <v>3265</v>
      </c>
      <c r="G384" s="21" t="s">
        <v>3266</v>
      </c>
      <c r="H384" s="21" t="s">
        <v>756</v>
      </c>
      <c r="I384" s="21" t="s">
        <v>567</v>
      </c>
      <c r="J384" s="21" t="s">
        <v>567</v>
      </c>
      <c r="K384" s="21" t="s">
        <v>3267</v>
      </c>
      <c r="L384" s="21" t="s">
        <v>3268</v>
      </c>
      <c r="M384" s="21" t="s">
        <v>3269</v>
      </c>
      <c r="N384" s="21" t="s">
        <v>3270</v>
      </c>
      <c r="O384" s="48" t="s">
        <v>3271</v>
      </c>
      <c r="P384" s="21" t="s">
        <v>75</v>
      </c>
      <c r="Q384" s="24" t="s">
        <v>65</v>
      </c>
      <c r="R384" s="21" t="s">
        <v>3272</v>
      </c>
      <c r="S384" s="21" t="s">
        <v>51</v>
      </c>
      <c r="T384" s="21" t="s">
        <v>52</v>
      </c>
      <c r="U384" s="21" t="s">
        <v>52</v>
      </c>
      <c r="V384" s="21" t="s">
        <v>52</v>
      </c>
      <c r="W384" s="45">
        <v>45919.0</v>
      </c>
      <c r="X384" s="49">
        <v>0.6145833333333334</v>
      </c>
      <c r="Y384" s="45">
        <v>45919.0</v>
      </c>
      <c r="Z384" s="49">
        <v>0.6875</v>
      </c>
      <c r="AA384" s="49">
        <v>0.6909722222222222</v>
      </c>
      <c r="AB384" s="29"/>
      <c r="AC384" s="29"/>
      <c r="AD384" s="25">
        <v>0.7048611111111112</v>
      </c>
      <c r="AE384" s="45">
        <v>45919.0</v>
      </c>
      <c r="AF384" s="21" t="s">
        <v>2738</v>
      </c>
      <c r="AG384" s="21" t="s">
        <v>54</v>
      </c>
      <c r="AH384" s="21" t="s">
        <v>3273</v>
      </c>
      <c r="AI384" s="26" t="str">
        <f>IFERROR(__xludf.DUMMYFUNCTION("IF(OR(W384="""",X384="""",AE384="""",AD384=""""),"""",
   TEXT(
     (
       (AE384+AD384 + IF(AE384+AD384 &lt; W384+X384,1,0)) - (W384+X384)
     )
     - IF(AND(AB384&lt;&gt;"""",AC384&lt;&gt;""""), 
          SUM(ARRAYFORMULA(SPLIT(AC384,"","") - SPLIT(AB384,"",""))"&amp;"), 
          0
       ),
     ""[hh]:mm""
   )
)
"),"02:10")</f>
        <v>02:10</v>
      </c>
      <c r="AJ384" s="55">
        <f t="shared" si="9"/>
        <v>0</v>
      </c>
      <c r="AK384" s="28" t="str">
        <f t="shared" si="10"/>
        <v>Pass</v>
      </c>
    </row>
    <row r="385">
      <c r="A385" s="45">
        <v>45919.0</v>
      </c>
      <c r="B385" s="49">
        <v>0.7027777777777777</v>
      </c>
      <c r="C385" s="45">
        <v>45919.0</v>
      </c>
      <c r="D385" s="49">
        <v>0.7055555555555556</v>
      </c>
      <c r="E385" s="21" t="s">
        <v>3274</v>
      </c>
      <c r="F385" s="21" t="s">
        <v>3275</v>
      </c>
      <c r="G385" s="21" t="s">
        <v>3276</v>
      </c>
      <c r="H385" s="21" t="s">
        <v>566</v>
      </c>
      <c r="I385" s="21" t="s">
        <v>60</v>
      </c>
      <c r="J385" s="21" t="s">
        <v>42</v>
      </c>
      <c r="K385" s="21" t="s">
        <v>333</v>
      </c>
      <c r="L385" s="21" t="s">
        <v>3277</v>
      </c>
      <c r="M385" s="21" t="s">
        <v>3278</v>
      </c>
      <c r="N385" s="21" t="s">
        <v>3279</v>
      </c>
      <c r="O385" s="48" t="s">
        <v>3280</v>
      </c>
      <c r="P385" s="21" t="s">
        <v>48</v>
      </c>
      <c r="Q385" s="24" t="s">
        <v>65</v>
      </c>
      <c r="R385" s="21" t="s">
        <v>3281</v>
      </c>
      <c r="S385" s="21" t="s">
        <v>51</v>
      </c>
      <c r="T385" s="21" t="s">
        <v>52</v>
      </c>
      <c r="U385" s="21" t="s">
        <v>52</v>
      </c>
      <c r="V385" s="21" t="s">
        <v>52</v>
      </c>
      <c r="W385" s="45">
        <v>45919.0</v>
      </c>
      <c r="X385" s="49">
        <v>0.7055555555555556</v>
      </c>
      <c r="Y385" s="45">
        <v>45919.0</v>
      </c>
      <c r="Z385" s="49">
        <v>0.7708333333333334</v>
      </c>
      <c r="AA385" s="49">
        <v>0.7847222222222222</v>
      </c>
      <c r="AB385" s="29"/>
      <c r="AC385" s="29"/>
      <c r="AD385" s="25">
        <v>0.8347222222222223</v>
      </c>
      <c r="AE385" s="45">
        <v>45919.0</v>
      </c>
      <c r="AF385" s="21" t="s">
        <v>2719</v>
      </c>
      <c r="AG385" s="21" t="s">
        <v>293</v>
      </c>
      <c r="AH385" s="21" t="s">
        <v>3282</v>
      </c>
      <c r="AI385" s="26" t="str">
        <f>IFERROR(__xludf.DUMMYFUNCTION("IF(OR(W385="""",X385="""",AE385="""",AD385=""""),"""",
   TEXT(
     (
       (AE385+AD385 + IF(AE385+AD385 &lt; W385+X385,1,0)) - (W385+X385)
     )
     - IF(AND(AB385&lt;&gt;"""",AC385&lt;&gt;""""), 
          SUM(ARRAYFORMULA(SPLIT(AC385,"","") - SPLIT(AB385,"",""))"&amp;"), 
          0
       ),
     ""[hh]:mm""
   )
)
"),"03:06")</f>
        <v>03:06</v>
      </c>
      <c r="AJ385" s="55">
        <f t="shared" si="9"/>
        <v>0</v>
      </c>
      <c r="AK385" s="28" t="str">
        <f t="shared" si="10"/>
        <v>Pass</v>
      </c>
    </row>
    <row r="386">
      <c r="A386" s="18">
        <v>45919.0</v>
      </c>
      <c r="B386" s="20">
        <v>0.7138888888888889</v>
      </c>
      <c r="C386" s="18">
        <v>45919.0</v>
      </c>
      <c r="D386" s="20">
        <v>0.7166666666666667</v>
      </c>
      <c r="E386" s="22" t="s">
        <v>3283</v>
      </c>
      <c r="F386" s="22" t="s">
        <v>1439</v>
      </c>
      <c r="G386" s="22" t="s">
        <v>3284</v>
      </c>
      <c r="H386" s="22" t="s">
        <v>130</v>
      </c>
      <c r="I386" s="22" t="s">
        <v>95</v>
      </c>
      <c r="J386" s="22" t="s">
        <v>95</v>
      </c>
      <c r="K386" s="22" t="s">
        <v>333</v>
      </c>
      <c r="L386" s="22" t="s">
        <v>1441</v>
      </c>
      <c r="M386" s="22" t="s">
        <v>1442</v>
      </c>
      <c r="N386" s="22" t="s">
        <v>3285</v>
      </c>
      <c r="O386" s="23" t="s">
        <v>3286</v>
      </c>
      <c r="P386" s="22" t="s">
        <v>75</v>
      </c>
      <c r="Q386" s="50" t="s">
        <v>49</v>
      </c>
      <c r="R386" s="22" t="s">
        <v>3287</v>
      </c>
      <c r="S386" s="22" t="s">
        <v>51</v>
      </c>
      <c r="T386" s="22" t="s">
        <v>52</v>
      </c>
      <c r="U386" s="22" t="s">
        <v>52</v>
      </c>
      <c r="V386" s="22" t="s">
        <v>52</v>
      </c>
      <c r="W386" s="18">
        <v>45919.0</v>
      </c>
      <c r="X386" s="20">
        <v>0.7166666666666667</v>
      </c>
      <c r="Y386" s="18">
        <v>45919.0</v>
      </c>
      <c r="Z386" s="20">
        <v>0.78125</v>
      </c>
      <c r="AA386" s="20">
        <v>0.7881944444444444</v>
      </c>
      <c r="AB386" s="51">
        <v>0.8263888888888888</v>
      </c>
      <c r="AC386" s="51">
        <v>0.875</v>
      </c>
      <c r="AD386" s="51">
        <v>0.8784722222222222</v>
      </c>
      <c r="AE386" s="18">
        <v>45919.0</v>
      </c>
      <c r="AF386" s="22" t="s">
        <v>2931</v>
      </c>
      <c r="AG386" s="22" t="s">
        <v>2320</v>
      </c>
      <c r="AH386" s="22" t="s">
        <v>2129</v>
      </c>
      <c r="AI386" s="26" t="str">
        <f>IFERROR(__xludf.DUMMYFUNCTION("IF(OR(W386="""",X386="""",AE386="""",AD386=""""),"""",
   TEXT(
     (
       (AE386+AD386 + IF(AE386+AD386 &lt; W386+X386,1,0)) - (W386+X386)
     )
     - IF(AND(AB386&lt;&gt;"""",AC386&lt;&gt;""""), 
          SUM(ARRAYFORMULA(SPLIT(AC386,"","") - SPLIT(AB386,"",""))"&amp;"), 
          0
       ),
     ""[hh]:mm""
   )
)
"),"02:43")</f>
        <v>02:43</v>
      </c>
      <c r="AJ386" s="55">
        <f t="shared" si="9"/>
        <v>0</v>
      </c>
      <c r="AK386" s="28" t="str">
        <f t="shared" si="10"/>
        <v>Pass</v>
      </c>
    </row>
    <row r="387">
      <c r="A387" s="18">
        <v>45919.0</v>
      </c>
      <c r="B387" s="20">
        <v>0.7138888888888889</v>
      </c>
      <c r="C387" s="18">
        <v>45919.0</v>
      </c>
      <c r="D387" s="20">
        <v>0.7166666666666667</v>
      </c>
      <c r="E387" s="22" t="s">
        <v>3288</v>
      </c>
      <c r="F387" s="22" t="s">
        <v>1439</v>
      </c>
      <c r="G387" s="22" t="s">
        <v>3284</v>
      </c>
      <c r="H387" s="22" t="s">
        <v>130</v>
      </c>
      <c r="I387" s="22" t="s">
        <v>3289</v>
      </c>
      <c r="J387" s="22" t="s">
        <v>95</v>
      </c>
      <c r="K387" s="22" t="s">
        <v>333</v>
      </c>
      <c r="L387" s="22" t="s">
        <v>1441</v>
      </c>
      <c r="M387" s="22" t="s">
        <v>1442</v>
      </c>
      <c r="N387" s="22" t="s">
        <v>3285</v>
      </c>
      <c r="O387" s="23" t="s">
        <v>3286</v>
      </c>
      <c r="P387" s="22" t="s">
        <v>75</v>
      </c>
      <c r="Q387" s="50" t="s">
        <v>49</v>
      </c>
      <c r="R387" s="22" t="s">
        <v>3287</v>
      </c>
      <c r="S387" s="22" t="s">
        <v>51</v>
      </c>
      <c r="T387" s="22" t="s">
        <v>52</v>
      </c>
      <c r="U387" s="22" t="s">
        <v>52</v>
      </c>
      <c r="V387" s="22" t="s">
        <v>52</v>
      </c>
      <c r="W387" s="18">
        <v>45919.0</v>
      </c>
      <c r="X387" s="20">
        <v>0.7166666666666667</v>
      </c>
      <c r="Y387" s="18">
        <v>45919.0</v>
      </c>
      <c r="Z387" s="20">
        <v>0.78125</v>
      </c>
      <c r="AA387" s="20">
        <v>0.7881944444444444</v>
      </c>
      <c r="AB387" s="51">
        <v>0.8263888888888888</v>
      </c>
      <c r="AC387" s="51">
        <v>0.875</v>
      </c>
      <c r="AD387" s="51">
        <v>0.8784722222222222</v>
      </c>
      <c r="AE387" s="18">
        <v>45919.0</v>
      </c>
      <c r="AF387" s="22" t="s">
        <v>2931</v>
      </c>
      <c r="AG387" s="22" t="s">
        <v>2320</v>
      </c>
      <c r="AH387" s="22" t="s">
        <v>2129</v>
      </c>
      <c r="AI387" s="26" t="str">
        <f>IFERROR(__xludf.DUMMYFUNCTION("IF(OR(W387="""",X387="""",AE387="""",AD387=""""),"""",
   TEXT(
     (
       (AE387+AD387 + IF(AE387+AD387 &lt; W387+X387,1,0)) - (W387+X387)
     )
     - IF(AND(AB387&lt;&gt;"""",AC387&lt;&gt;""""), 
          SUM(ARRAYFORMULA(SPLIT(AC387,"","") - SPLIT(AB387,"",""))"&amp;"), 
          0
       ),
     ""[hh]:mm""
   )
)
"),"02:43")</f>
        <v>02:43</v>
      </c>
      <c r="AJ387" s="55">
        <f t="shared" si="9"/>
        <v>0</v>
      </c>
      <c r="AK387" s="28" t="str">
        <f t="shared" si="10"/>
        <v>Pass</v>
      </c>
    </row>
    <row r="388">
      <c r="A388" s="18">
        <v>45919.0</v>
      </c>
      <c r="B388" s="20">
        <v>0.7208333333333333</v>
      </c>
      <c r="C388" s="18">
        <v>45919.0</v>
      </c>
      <c r="D388" s="20">
        <v>0.7243055555555555</v>
      </c>
      <c r="E388" s="22" t="s">
        <v>3290</v>
      </c>
      <c r="F388" s="22" t="s">
        <v>3291</v>
      </c>
      <c r="G388" s="22" t="s">
        <v>3292</v>
      </c>
      <c r="H388" s="22" t="s">
        <v>419</v>
      </c>
      <c r="I388" s="22" t="s">
        <v>2112</v>
      </c>
      <c r="J388" s="22" t="s">
        <v>1084</v>
      </c>
      <c r="K388" s="22" t="s">
        <v>3293</v>
      </c>
      <c r="L388" s="22" t="s">
        <v>52</v>
      </c>
      <c r="M388" s="22" t="s">
        <v>3294</v>
      </c>
      <c r="N388" s="22" t="s">
        <v>3295</v>
      </c>
      <c r="O388" s="23" t="s">
        <v>3296</v>
      </c>
      <c r="P388" s="22" t="s">
        <v>48</v>
      </c>
      <c r="Q388" s="50" t="s">
        <v>49</v>
      </c>
      <c r="R388" s="22" t="s">
        <v>3297</v>
      </c>
      <c r="S388" s="22" t="s">
        <v>51</v>
      </c>
      <c r="T388" s="22" t="s">
        <v>52</v>
      </c>
      <c r="U388" s="22" t="s">
        <v>52</v>
      </c>
      <c r="V388" s="22" t="s">
        <v>52</v>
      </c>
      <c r="W388" s="18">
        <v>45919.0</v>
      </c>
      <c r="X388" s="20">
        <v>0.7243055555555555</v>
      </c>
      <c r="Y388" s="18">
        <v>45919.0</v>
      </c>
      <c r="Z388" s="20">
        <v>0.8333333333333334</v>
      </c>
      <c r="AA388" s="20">
        <v>0.8368055555555556</v>
      </c>
      <c r="AB388" s="54"/>
      <c r="AC388" s="54"/>
      <c r="AD388" s="51">
        <v>0.875</v>
      </c>
      <c r="AE388" s="18">
        <v>45919.0</v>
      </c>
      <c r="AF388" s="22" t="s">
        <v>2711</v>
      </c>
      <c r="AG388" s="22" t="s">
        <v>2320</v>
      </c>
      <c r="AH388" s="22" t="s">
        <v>3298</v>
      </c>
      <c r="AI388" s="26" t="str">
        <f>IFERROR(__xludf.DUMMYFUNCTION("IF(OR(W388="""",X388="""",AE388="""",AD388=""""),"""",
   TEXT(
     (
       (AE388+AD388 + IF(AE388+AD388 &lt; W388+X388,1,0)) - (W388+X388)
     )
     - IF(AND(AB388&lt;&gt;"""",AC388&lt;&gt;""""), 
          SUM(ARRAYFORMULA(SPLIT(AC388,"","") - SPLIT(AB388,"",""))"&amp;"), 
          0
       ),
     ""[hh]:mm""
   )
)
"),"03:37")</f>
        <v>03:37</v>
      </c>
      <c r="AJ388" s="55">
        <f t="shared" si="9"/>
        <v>0</v>
      </c>
      <c r="AK388" s="28" t="str">
        <f t="shared" si="10"/>
        <v>Pass</v>
      </c>
    </row>
    <row r="389">
      <c r="A389" s="18">
        <v>45919.0</v>
      </c>
      <c r="B389" s="20">
        <v>0.7631944444444444</v>
      </c>
      <c r="C389" s="18">
        <v>45919.0</v>
      </c>
      <c r="D389" s="20">
        <v>0.7666666666666667</v>
      </c>
      <c r="E389" s="22" t="s">
        <v>3299</v>
      </c>
      <c r="F389" s="22" t="s">
        <v>786</v>
      </c>
      <c r="G389" s="22" t="s">
        <v>787</v>
      </c>
      <c r="H389" s="22" t="s">
        <v>566</v>
      </c>
      <c r="I389" s="22" t="s">
        <v>95</v>
      </c>
      <c r="J389" s="22" t="s">
        <v>95</v>
      </c>
      <c r="K389" s="22" t="s">
        <v>143</v>
      </c>
      <c r="L389" s="22" t="s">
        <v>3175</v>
      </c>
      <c r="M389" s="22" t="s">
        <v>3300</v>
      </c>
      <c r="N389" s="22" t="s">
        <v>3301</v>
      </c>
      <c r="O389" s="23" t="s">
        <v>3302</v>
      </c>
      <c r="P389" s="22" t="s">
        <v>48</v>
      </c>
      <c r="Q389" s="50" t="s">
        <v>49</v>
      </c>
      <c r="R389" s="22" t="s">
        <v>3303</v>
      </c>
      <c r="S389" s="22" t="s">
        <v>51</v>
      </c>
      <c r="T389" s="22" t="s">
        <v>52</v>
      </c>
      <c r="U389" s="22" t="s">
        <v>52</v>
      </c>
      <c r="V389" s="22" t="s">
        <v>52</v>
      </c>
      <c r="W389" s="18">
        <v>45919.0</v>
      </c>
      <c r="X389" s="20">
        <v>0.7666666666666667</v>
      </c>
      <c r="Y389" s="18">
        <v>45919.0</v>
      </c>
      <c r="Z389" s="20">
        <v>0.8333333333333334</v>
      </c>
      <c r="AA389" s="20">
        <v>0.8347222222222223</v>
      </c>
      <c r="AB389" s="50" t="s">
        <v>3304</v>
      </c>
      <c r="AC389" s="50" t="s">
        <v>3305</v>
      </c>
      <c r="AD389" s="51">
        <v>0.020833333333333332</v>
      </c>
      <c r="AE389" s="18">
        <v>45920.0</v>
      </c>
      <c r="AF389" s="22" t="s">
        <v>2711</v>
      </c>
      <c r="AG389" s="22" t="s">
        <v>162</v>
      </c>
      <c r="AH389" s="22" t="s">
        <v>794</v>
      </c>
      <c r="AI389" s="26" t="str">
        <f>IFERROR(__xludf.DUMMYFUNCTION("IF(OR(W389="""",X389="""",AE389="""",AD389=""""),"""",
   TEXT(
     (
       (AE389+AD389 + IF(AE389+AD389 &lt; W389+X389,1,0)) - (W389+X389)
     )
     - IF(AND(AB389&lt;&gt;"""",AC389&lt;&gt;""""), 
          SUM(ARRAYFORMULA(SPLIT(AC389,"","") - SPLIT(AB389,"",""))"&amp;"), 
          0
       ),
     ""[hh]:mm""
   )
)
"),"03:07")</f>
        <v>03:07</v>
      </c>
      <c r="AJ389" s="55">
        <f t="shared" si="9"/>
        <v>0</v>
      </c>
      <c r="AK389" s="28" t="str">
        <f t="shared" si="10"/>
        <v>Pass</v>
      </c>
    </row>
    <row r="390">
      <c r="A390" s="45">
        <v>45917.0</v>
      </c>
      <c r="B390" s="49">
        <v>0.8361111111111111</v>
      </c>
      <c r="C390" s="45">
        <v>45917.0</v>
      </c>
      <c r="D390" s="49">
        <v>0.8486111111111111</v>
      </c>
      <c r="E390" s="21" t="s">
        <v>3306</v>
      </c>
      <c r="F390" s="21" t="s">
        <v>212</v>
      </c>
      <c r="G390" s="21" t="s">
        <v>213</v>
      </c>
      <c r="H390" s="21" t="s">
        <v>253</v>
      </c>
      <c r="I390" s="21" t="s">
        <v>41</v>
      </c>
      <c r="J390" s="21" t="s">
        <v>42</v>
      </c>
      <c r="K390" s="21" t="s">
        <v>3307</v>
      </c>
      <c r="L390" s="47"/>
      <c r="M390" s="21" t="s">
        <v>3308</v>
      </c>
      <c r="N390" s="21" t="s">
        <v>3309</v>
      </c>
      <c r="O390" s="48" t="s">
        <v>3310</v>
      </c>
      <c r="P390" s="21" t="s">
        <v>187</v>
      </c>
      <c r="Q390" s="24" t="s">
        <v>49</v>
      </c>
      <c r="R390" s="21" t="s">
        <v>3311</v>
      </c>
      <c r="S390" s="21" t="s">
        <v>51</v>
      </c>
      <c r="T390" s="21" t="s">
        <v>52</v>
      </c>
      <c r="U390" s="21" t="s">
        <v>52</v>
      </c>
      <c r="V390" s="21" t="s">
        <v>52</v>
      </c>
      <c r="W390" s="45">
        <v>45920.0</v>
      </c>
      <c r="X390" s="49">
        <v>0.4166666666666667</v>
      </c>
      <c r="Y390" s="45">
        <v>45920.0</v>
      </c>
      <c r="Z390" s="49">
        <v>0.44305555555555554</v>
      </c>
      <c r="AA390" s="49">
        <v>0.4479166666666667</v>
      </c>
      <c r="AB390" s="25">
        <v>0.5</v>
      </c>
      <c r="AC390" s="25">
        <v>0.6041666666666666</v>
      </c>
      <c r="AD390" s="25">
        <v>0.6041666666666666</v>
      </c>
      <c r="AE390" s="45">
        <v>45920.0</v>
      </c>
      <c r="AF390" s="21" t="s">
        <v>2711</v>
      </c>
      <c r="AG390" s="21" t="s">
        <v>293</v>
      </c>
      <c r="AH390" s="21" t="s">
        <v>3312</v>
      </c>
      <c r="AI390" s="26" t="str">
        <f>IFERROR(__xludf.DUMMYFUNCTION("IF(OR(W390="""",X390="""",AE390="""",AD390=""""),"""",
   TEXT(
     (
       (AE390+AD390 + IF(AE390+AD390 &lt; W390+X390,1,0)) - (W390+X390)
     )
     - IF(AND(AB390&lt;&gt;"""",AC390&lt;&gt;""""), 
          SUM(ARRAYFORMULA(SPLIT(AC390,"","") - SPLIT(AB390,"",""))"&amp;"), 
          0
       ),
     ""[hh]:mm""
   )
)
"),"02:00")</f>
        <v>02:00</v>
      </c>
      <c r="AJ390" s="55">
        <f t="shared" si="9"/>
        <v>0</v>
      </c>
      <c r="AK390" s="28" t="str">
        <f t="shared" si="10"/>
        <v>Pass</v>
      </c>
    </row>
    <row r="391">
      <c r="A391" s="18">
        <v>45920.0</v>
      </c>
      <c r="B391" s="20">
        <v>0.31805555555555554</v>
      </c>
      <c r="C391" s="18">
        <v>45920.0</v>
      </c>
      <c r="D391" s="20">
        <v>0.33125</v>
      </c>
      <c r="E391" s="22" t="s">
        <v>3313</v>
      </c>
      <c r="F391" s="22" t="s">
        <v>3314</v>
      </c>
      <c r="G391" s="22" t="s">
        <v>3315</v>
      </c>
      <c r="H391" s="22" t="s">
        <v>59</v>
      </c>
      <c r="I391" s="22" t="s">
        <v>234</v>
      </c>
      <c r="J391" s="22" t="s">
        <v>42</v>
      </c>
      <c r="K391" s="22" t="s">
        <v>3316</v>
      </c>
      <c r="L391" s="22" t="s">
        <v>183</v>
      </c>
      <c r="M391" s="22" t="s">
        <v>3317</v>
      </c>
      <c r="N391" s="22" t="s">
        <v>3318</v>
      </c>
      <c r="O391" s="23" t="s">
        <v>3319</v>
      </c>
      <c r="P391" s="22" t="s">
        <v>75</v>
      </c>
      <c r="Q391" s="50" t="s">
        <v>65</v>
      </c>
      <c r="R391" s="22" t="s">
        <v>3320</v>
      </c>
      <c r="S391" s="22" t="s">
        <v>51</v>
      </c>
      <c r="T391" s="22" t="s">
        <v>52</v>
      </c>
      <c r="U391" s="22" t="s">
        <v>52</v>
      </c>
      <c r="V391" s="22" t="s">
        <v>52</v>
      </c>
      <c r="W391" s="18">
        <v>45920.0</v>
      </c>
      <c r="X391" s="20">
        <v>0.33125</v>
      </c>
      <c r="Y391" s="18">
        <v>45920.0</v>
      </c>
      <c r="Z391" s="20">
        <v>0.4756944444444444</v>
      </c>
      <c r="AA391" s="20">
        <v>0.4791666666666667</v>
      </c>
      <c r="AB391" s="54"/>
      <c r="AC391" s="54"/>
      <c r="AD391" s="51">
        <v>0.5173611111111112</v>
      </c>
      <c r="AE391" s="18">
        <v>45920.0</v>
      </c>
      <c r="AF391" s="22" t="s">
        <v>2819</v>
      </c>
      <c r="AG391" s="22" t="s">
        <v>102</v>
      </c>
      <c r="AH391" s="22" t="s">
        <v>3321</v>
      </c>
      <c r="AI391" s="26" t="str">
        <f>IFERROR(__xludf.DUMMYFUNCTION("IF(OR(W391="""",X391="""",AE391="""",AD391=""""),"""",
   TEXT(
     (
       (AE391+AD391 + IF(AE391+AD391 &lt; W391+X391,1,0)) - (W391+X391)
     )
     - IF(AND(AB391&lt;&gt;"""",AC391&lt;&gt;""""), 
          SUM(ARRAYFORMULA(SPLIT(AC391,"","") - SPLIT(AB391,"",""))"&amp;"), 
          0
       ),
     ""[hh]:mm""
   )
)
"),"04:28")</f>
        <v>04:28</v>
      </c>
      <c r="AJ391" s="55">
        <f t="shared" si="9"/>
        <v>0</v>
      </c>
      <c r="AK391" s="28" t="str">
        <f t="shared" si="10"/>
        <v>Pass</v>
      </c>
    </row>
    <row r="392">
      <c r="A392" s="45">
        <v>45920.0</v>
      </c>
      <c r="B392" s="49">
        <v>0.3645833333333333</v>
      </c>
      <c r="C392" s="45">
        <v>45920.0</v>
      </c>
      <c r="D392" s="49">
        <v>0.37569444444444444</v>
      </c>
      <c r="E392" s="21" t="s">
        <v>3322</v>
      </c>
      <c r="F392" s="21" t="s">
        <v>1144</v>
      </c>
      <c r="G392" s="21" t="s">
        <v>1145</v>
      </c>
      <c r="H392" s="21" t="s">
        <v>1287</v>
      </c>
      <c r="I392" s="21" t="s">
        <v>2026</v>
      </c>
      <c r="J392" s="21" t="s">
        <v>132</v>
      </c>
      <c r="K392" s="21" t="s">
        <v>43</v>
      </c>
      <c r="L392" s="21" t="s">
        <v>805</v>
      </c>
      <c r="M392" s="21" t="s">
        <v>3323</v>
      </c>
      <c r="N392" s="21" t="s">
        <v>3324</v>
      </c>
      <c r="O392" s="48" t="s">
        <v>3325</v>
      </c>
      <c r="P392" s="21" t="s">
        <v>75</v>
      </c>
      <c r="Q392" s="24" t="s">
        <v>49</v>
      </c>
      <c r="R392" s="21" t="s">
        <v>3326</v>
      </c>
      <c r="S392" s="21" t="s">
        <v>51</v>
      </c>
      <c r="T392" s="21" t="s">
        <v>52</v>
      </c>
      <c r="U392" s="21" t="s">
        <v>52</v>
      </c>
      <c r="V392" s="21" t="s">
        <v>52</v>
      </c>
      <c r="W392" s="45">
        <v>45920.0</v>
      </c>
      <c r="X392" s="49">
        <v>0.37569444444444444</v>
      </c>
      <c r="Y392" s="45">
        <v>45920.0</v>
      </c>
      <c r="Z392" s="49">
        <v>0.4465277777777778</v>
      </c>
      <c r="AA392" s="49">
        <v>0.46875</v>
      </c>
      <c r="AB392" s="25">
        <v>0.4930555555555556</v>
      </c>
      <c r="AC392" s="25">
        <v>0.625</v>
      </c>
      <c r="AD392" s="25">
        <v>0.6652777777777777</v>
      </c>
      <c r="AE392" s="45">
        <v>45920.0</v>
      </c>
      <c r="AF392" s="21" t="s">
        <v>3327</v>
      </c>
      <c r="AG392" s="21" t="s">
        <v>3328</v>
      </c>
      <c r="AH392" s="21" t="s">
        <v>3329</v>
      </c>
      <c r="AI392" s="26" t="str">
        <f>IFERROR(__xludf.DUMMYFUNCTION("IF(OR(W392="""",X392="""",AE392="""",AD392=""""),"""",
   TEXT(
     (
       (AE392+AD392 + IF(AE392+AD392 &lt; W392+X392,1,0)) - (W392+X392)
     )
     - IF(AND(AB392&lt;&gt;"""",AC392&lt;&gt;""""), 
          SUM(ARRAYFORMULA(SPLIT(AC392,"","") - SPLIT(AB392,"",""))"&amp;"), 
          0
       ),
     ""[hh]:mm""
   )
)
"),"03:47")</f>
        <v>03:47</v>
      </c>
      <c r="AJ392" s="55">
        <f t="shared" si="9"/>
        <v>0</v>
      </c>
      <c r="AK392" s="28" t="str">
        <f t="shared" si="10"/>
        <v>Pass</v>
      </c>
    </row>
    <row r="393">
      <c r="A393" s="45">
        <v>45920.0</v>
      </c>
      <c r="B393" s="49">
        <v>0.4986111111111111</v>
      </c>
      <c r="C393" s="45">
        <v>45920.0</v>
      </c>
      <c r="D393" s="49">
        <v>0.5041666666666667</v>
      </c>
      <c r="E393" s="21" t="s">
        <v>3330</v>
      </c>
      <c r="F393" s="21" t="s">
        <v>1064</v>
      </c>
      <c r="G393" s="21" t="s">
        <v>1065</v>
      </c>
      <c r="H393" s="21" t="s">
        <v>130</v>
      </c>
      <c r="I393" s="21" t="s">
        <v>131</v>
      </c>
      <c r="J393" s="21" t="s">
        <v>132</v>
      </c>
      <c r="K393" s="21" t="s">
        <v>43</v>
      </c>
      <c r="L393" s="21" t="s">
        <v>3331</v>
      </c>
      <c r="M393" s="21" t="s">
        <v>3332</v>
      </c>
      <c r="N393" s="21" t="s">
        <v>3333</v>
      </c>
      <c r="O393" s="48" t="s">
        <v>3334</v>
      </c>
      <c r="P393" s="21" t="s">
        <v>75</v>
      </c>
      <c r="Q393" s="24" t="s">
        <v>65</v>
      </c>
      <c r="R393" s="21" t="s">
        <v>3335</v>
      </c>
      <c r="S393" s="21" t="s">
        <v>51</v>
      </c>
      <c r="T393" s="21" t="s">
        <v>52</v>
      </c>
      <c r="U393" s="21" t="s">
        <v>52</v>
      </c>
      <c r="V393" s="21" t="s">
        <v>52</v>
      </c>
      <c r="W393" s="45">
        <v>45920.0</v>
      </c>
      <c r="X393" s="49">
        <v>0.5041666666666667</v>
      </c>
      <c r="Y393" s="45">
        <v>45920.0</v>
      </c>
      <c r="Z393" s="49">
        <v>0.6131944444444445</v>
      </c>
      <c r="AA393" s="49">
        <v>0.6145833333333334</v>
      </c>
      <c r="AB393" s="29"/>
      <c r="AC393" s="29"/>
      <c r="AD393" s="25">
        <v>0.6506944444444445</v>
      </c>
      <c r="AE393" s="45">
        <v>45920.0</v>
      </c>
      <c r="AF393" s="21" t="s">
        <v>2819</v>
      </c>
      <c r="AG393" s="21" t="s">
        <v>293</v>
      </c>
      <c r="AH393" s="21" t="s">
        <v>3336</v>
      </c>
      <c r="AI393" s="26" t="str">
        <f>IFERROR(__xludf.DUMMYFUNCTION("IF(OR(W393="""",X393="""",AE393="""",AD393=""""),"""",
   TEXT(
     (
       (AE393+AD393 + IF(AE393+AD393 &lt; W393+X393,1,0)) - (W393+X393)
     )
     - IF(AND(AB393&lt;&gt;"""",AC393&lt;&gt;""""), 
          SUM(ARRAYFORMULA(SPLIT(AC393,"","") - SPLIT(AB393,"",""))"&amp;"), 
          0
       ),
     ""[hh]:mm""
   )
)
"),"03:31")</f>
        <v>03:31</v>
      </c>
      <c r="AJ393" s="55">
        <f t="shared" si="9"/>
        <v>0</v>
      </c>
      <c r="AK393" s="28" t="str">
        <f t="shared" si="10"/>
        <v>Pass</v>
      </c>
    </row>
    <row r="394">
      <c r="A394" s="45">
        <v>45920.0</v>
      </c>
      <c r="B394" s="49">
        <v>0.6201388888888889</v>
      </c>
      <c r="C394" s="45">
        <v>45920.0</v>
      </c>
      <c r="D394" s="49">
        <v>0.6263888888888889</v>
      </c>
      <c r="E394" s="21" t="s">
        <v>3337</v>
      </c>
      <c r="F394" s="21" t="s">
        <v>3082</v>
      </c>
      <c r="G394" s="21" t="s">
        <v>3083</v>
      </c>
      <c r="H394" s="21" t="s">
        <v>377</v>
      </c>
      <c r="I394" s="21" t="s">
        <v>234</v>
      </c>
      <c r="J394" s="21" t="s">
        <v>42</v>
      </c>
      <c r="K394" s="21" t="s">
        <v>61</v>
      </c>
      <c r="L394" s="21" t="s">
        <v>183</v>
      </c>
      <c r="M394" s="21" t="s">
        <v>3338</v>
      </c>
      <c r="N394" s="21" t="s">
        <v>3339</v>
      </c>
      <c r="O394" s="48" t="s">
        <v>3340</v>
      </c>
      <c r="P394" s="21" t="s">
        <v>75</v>
      </c>
      <c r="Q394" s="24" t="s">
        <v>65</v>
      </c>
      <c r="R394" s="21" t="s">
        <v>3341</v>
      </c>
      <c r="S394" s="21" t="s">
        <v>51</v>
      </c>
      <c r="T394" s="21" t="s">
        <v>52</v>
      </c>
      <c r="U394" s="21" t="s">
        <v>52</v>
      </c>
      <c r="V394" s="21" t="s">
        <v>52</v>
      </c>
      <c r="W394" s="45">
        <v>45920.0</v>
      </c>
      <c r="X394" s="49">
        <v>0.6263888888888889</v>
      </c>
      <c r="Y394" s="45">
        <v>45920.0</v>
      </c>
      <c r="Z394" s="49">
        <v>0.6666666666666666</v>
      </c>
      <c r="AA394" s="49">
        <v>0.6875</v>
      </c>
      <c r="AB394" s="25">
        <v>0.6673611111111111</v>
      </c>
      <c r="AC394" s="25">
        <v>0.6875</v>
      </c>
      <c r="AD394" s="25">
        <v>0.7361111111111112</v>
      </c>
      <c r="AE394" s="45">
        <v>45920.0</v>
      </c>
      <c r="AF394" s="21" t="s">
        <v>2819</v>
      </c>
      <c r="AG394" s="21" t="s">
        <v>1368</v>
      </c>
      <c r="AH394" s="21" t="s">
        <v>3342</v>
      </c>
      <c r="AI394" s="26" t="str">
        <f>IFERROR(__xludf.DUMMYFUNCTION("IF(OR(W394="""",X394="""",AE394="""",AD394=""""),"""",
   TEXT(
     (
       (AE394+AD394 + IF(AE394+AD394 &lt; W394+X394,1,0)) - (W394+X394)
     )
     - IF(AND(AB394&lt;&gt;"""",AC394&lt;&gt;""""), 
          SUM(ARRAYFORMULA(SPLIT(AC394,"","") - SPLIT(AB394,"",""))"&amp;"), 
          0
       ),
     ""[hh]:mm""
   )
)
"),"02:09")</f>
        <v>02:09</v>
      </c>
      <c r="AJ394" s="55">
        <f t="shared" si="9"/>
        <v>0</v>
      </c>
      <c r="AK394" s="28" t="str">
        <f t="shared" si="10"/>
        <v>Pass</v>
      </c>
    </row>
    <row r="395">
      <c r="A395" s="18">
        <v>45919.0</v>
      </c>
      <c r="B395" s="20">
        <v>0.4756944444444444</v>
      </c>
      <c r="C395" s="18">
        <v>45919.0</v>
      </c>
      <c r="D395" s="20">
        <v>0.4777777777777778</v>
      </c>
      <c r="E395" s="22" t="s">
        <v>3343</v>
      </c>
      <c r="F395" s="22" t="s">
        <v>3344</v>
      </c>
      <c r="G395" s="22" t="s">
        <v>3345</v>
      </c>
      <c r="H395" s="22" t="s">
        <v>130</v>
      </c>
      <c r="I395" s="22" t="s">
        <v>234</v>
      </c>
      <c r="J395" s="22" t="s">
        <v>42</v>
      </c>
      <c r="K395" s="22" t="s">
        <v>43</v>
      </c>
      <c r="L395" s="22" t="s">
        <v>1794</v>
      </c>
      <c r="M395" s="22" t="s">
        <v>3346</v>
      </c>
      <c r="N395" s="22" t="s">
        <v>509</v>
      </c>
      <c r="O395" s="23" t="s">
        <v>3347</v>
      </c>
      <c r="P395" s="22" t="s">
        <v>75</v>
      </c>
      <c r="Q395" s="50" t="s">
        <v>65</v>
      </c>
      <c r="R395" s="22" t="s">
        <v>3348</v>
      </c>
      <c r="S395" s="22" t="s">
        <v>51</v>
      </c>
      <c r="T395" s="22" t="s">
        <v>52</v>
      </c>
      <c r="U395" s="22" t="s">
        <v>52</v>
      </c>
      <c r="V395" s="22" t="s">
        <v>52</v>
      </c>
      <c r="W395" s="18">
        <v>45921.0</v>
      </c>
      <c r="X395" s="20">
        <v>0.3333333333333333</v>
      </c>
      <c r="Y395" s="18">
        <v>45921.0</v>
      </c>
      <c r="Z395" s="20">
        <v>0.30694444444444446</v>
      </c>
      <c r="AA395" s="20">
        <v>0.3194444444444444</v>
      </c>
      <c r="AB395" s="54"/>
      <c r="AC395" s="54"/>
      <c r="AD395" s="51">
        <v>0.3680555555555556</v>
      </c>
      <c r="AE395" s="18">
        <v>45921.0</v>
      </c>
      <c r="AF395" s="22" t="s">
        <v>2744</v>
      </c>
      <c r="AG395" s="22" t="s">
        <v>583</v>
      </c>
      <c r="AH395" s="22" t="s">
        <v>3349</v>
      </c>
      <c r="AI395" s="26" t="str">
        <f>IFERROR(__xludf.DUMMYFUNCTION("IF(OR(W395="""",X395="""",AE395="""",AD395=""""),"""",
   TEXT(
     (
       (AE395+AD395 + IF(AE395+AD395 &lt; W395+X395,1,0)) - (W395+X395)
     )
     - IF(AND(AB395&lt;&gt;"""",AC395&lt;&gt;""""), 
          SUM(ARRAYFORMULA(SPLIT(AC395,"","") - SPLIT(AB395,"",""))"&amp;"), 
          0
       ),
     ""[hh]:mm""
   )
)
"),"00:50")</f>
        <v>00:50</v>
      </c>
      <c r="AJ395" s="55">
        <f t="shared" si="9"/>
        <v>0</v>
      </c>
      <c r="AK395" s="28" t="str">
        <f t="shared" si="10"/>
        <v>Pass</v>
      </c>
    </row>
    <row r="396">
      <c r="A396" s="18">
        <v>45920.0</v>
      </c>
      <c r="B396" s="20">
        <v>0.2222222222222222</v>
      </c>
      <c r="C396" s="18">
        <v>45920.0</v>
      </c>
      <c r="D396" s="20">
        <v>0.33055555555555555</v>
      </c>
      <c r="E396" s="22" t="s">
        <v>3350</v>
      </c>
      <c r="F396" s="22" t="s">
        <v>3351</v>
      </c>
      <c r="G396" s="22" t="s">
        <v>3352</v>
      </c>
      <c r="H396" s="22" t="s">
        <v>156</v>
      </c>
      <c r="I396" s="22" t="s">
        <v>131</v>
      </c>
      <c r="J396" s="22" t="s">
        <v>132</v>
      </c>
      <c r="K396" s="22" t="s">
        <v>43</v>
      </c>
      <c r="L396" s="22" t="s">
        <v>805</v>
      </c>
      <c r="M396" s="22" t="s">
        <v>3353</v>
      </c>
      <c r="N396" s="22" t="s">
        <v>3354</v>
      </c>
      <c r="O396" s="23" t="s">
        <v>3355</v>
      </c>
      <c r="P396" s="22" t="s">
        <v>75</v>
      </c>
      <c r="Q396" s="50" t="s">
        <v>65</v>
      </c>
      <c r="R396" s="22" t="s">
        <v>3356</v>
      </c>
      <c r="S396" s="22" t="s">
        <v>51</v>
      </c>
      <c r="T396" s="22" t="s">
        <v>2253</v>
      </c>
      <c r="U396" s="22" t="s">
        <v>3357</v>
      </c>
      <c r="V396" s="22" t="s">
        <v>3353</v>
      </c>
      <c r="W396" s="18">
        <v>45921.0</v>
      </c>
      <c r="X396" s="20">
        <v>0.31319444444444444</v>
      </c>
      <c r="Y396" s="18">
        <v>45921.0</v>
      </c>
      <c r="Z396" s="20">
        <v>0.3333333333333333</v>
      </c>
      <c r="AA396" s="20">
        <v>0.3333333333333333</v>
      </c>
      <c r="AB396" s="54"/>
      <c r="AC396" s="54"/>
      <c r="AD396" s="51">
        <v>0.39861111111111114</v>
      </c>
      <c r="AE396" s="18">
        <v>45921.0</v>
      </c>
      <c r="AF396" s="22" t="s">
        <v>3358</v>
      </c>
      <c r="AG396" s="22" t="s">
        <v>3359</v>
      </c>
      <c r="AH396" s="22" t="s">
        <v>3360</v>
      </c>
      <c r="AI396" s="26" t="str">
        <f>IFERROR(__xludf.DUMMYFUNCTION("IF(OR(W396="""",X396="""",AE396="""",AD396=""""),"""",
   TEXT(
     (
       (AE396+AD396 + IF(AE396+AD396 &lt; W396+X396,1,0)) - (W396+X396)
     )
     - IF(AND(AB396&lt;&gt;"""",AC396&lt;&gt;""""), 
          SUM(ARRAYFORMULA(SPLIT(AC396,"","") - SPLIT(AB396,"",""))"&amp;"), 
          0
       ),
     ""[hh]:mm""
   )
)
"),"02:03")</f>
        <v>02:03</v>
      </c>
      <c r="AJ396" s="55">
        <f t="shared" si="9"/>
        <v>0</v>
      </c>
      <c r="AK396" s="28" t="str">
        <f t="shared" si="10"/>
        <v>Pass</v>
      </c>
    </row>
    <row r="397">
      <c r="A397" s="45">
        <v>45920.0</v>
      </c>
      <c r="B397" s="49">
        <v>0.2777777777777778</v>
      </c>
      <c r="C397" s="45">
        <v>45920.0</v>
      </c>
      <c r="D397" s="49">
        <v>0.32916666666666666</v>
      </c>
      <c r="E397" s="21" t="s">
        <v>3361</v>
      </c>
      <c r="F397" s="21" t="s">
        <v>3362</v>
      </c>
      <c r="G397" s="21" t="s">
        <v>3363</v>
      </c>
      <c r="H397" s="21" t="s">
        <v>130</v>
      </c>
      <c r="I397" s="47"/>
      <c r="J397" s="21" t="s">
        <v>195</v>
      </c>
      <c r="K397" s="21" t="s">
        <v>2797</v>
      </c>
      <c r="L397" s="21" t="s">
        <v>2798</v>
      </c>
      <c r="M397" s="21" t="s">
        <v>3364</v>
      </c>
      <c r="N397" s="21" t="s">
        <v>3365</v>
      </c>
      <c r="O397" s="48" t="s">
        <v>3366</v>
      </c>
      <c r="P397" s="21" t="s">
        <v>75</v>
      </c>
      <c r="Q397" s="24" t="s">
        <v>49</v>
      </c>
      <c r="R397" s="21" t="s">
        <v>3367</v>
      </c>
      <c r="S397" s="21" t="s">
        <v>51</v>
      </c>
      <c r="T397" s="21" t="s">
        <v>3368</v>
      </c>
      <c r="U397" s="21" t="s">
        <v>3369</v>
      </c>
      <c r="V397" s="21" t="s">
        <v>3370</v>
      </c>
      <c r="W397" s="45">
        <v>45921.0</v>
      </c>
      <c r="X397" s="49">
        <v>0.41597222222222224</v>
      </c>
      <c r="Y397" s="45">
        <v>45921.0</v>
      </c>
      <c r="Z397" s="49">
        <v>0.5444444444444444</v>
      </c>
      <c r="AA397" s="49">
        <v>0.5465277777777777</v>
      </c>
      <c r="AB397" s="25">
        <v>0.5625</v>
      </c>
      <c r="AC397" s="25">
        <v>0.5833333333333334</v>
      </c>
      <c r="AD397" s="25">
        <v>0.5833333333333334</v>
      </c>
      <c r="AE397" s="45">
        <v>45921.0</v>
      </c>
      <c r="AF397" s="21" t="s">
        <v>3358</v>
      </c>
      <c r="AG397" s="21" t="s">
        <v>3371</v>
      </c>
      <c r="AH397" s="21" t="s">
        <v>3372</v>
      </c>
      <c r="AI397" s="26" t="str">
        <f>IFERROR(__xludf.DUMMYFUNCTION("IF(OR(W397="""",X397="""",AE397="""",AD397=""""),"""",
   TEXT(
     (
       (AE397+AD397 + IF(AE397+AD397 &lt; W397+X397,1,0)) - (W397+X397)
     )
     - IF(AND(AB397&lt;&gt;"""",AC397&lt;&gt;""""), 
          SUM(ARRAYFORMULA(SPLIT(AC397,"","") - SPLIT(AB397,"",""))"&amp;"), 
          0
       ),
     ""[hh]:mm""
   )
)
"),"03:31")</f>
        <v>03:31</v>
      </c>
      <c r="AJ397" s="55">
        <f t="shared" si="9"/>
        <v>0</v>
      </c>
      <c r="AK397" s="28" t="str">
        <f t="shared" si="10"/>
        <v>Pass</v>
      </c>
    </row>
    <row r="398">
      <c r="A398" s="45">
        <v>45921.0</v>
      </c>
      <c r="B398" s="49">
        <v>0.3888888888888889</v>
      </c>
      <c r="C398" s="45">
        <v>45921.0</v>
      </c>
      <c r="D398" s="49">
        <v>0.39444444444444443</v>
      </c>
      <c r="E398" s="21" t="s">
        <v>3373</v>
      </c>
      <c r="F398" s="21" t="s">
        <v>140</v>
      </c>
      <c r="G398" s="21" t="s">
        <v>141</v>
      </c>
      <c r="H398" s="21" t="s">
        <v>377</v>
      </c>
      <c r="I398" s="21" t="s">
        <v>991</v>
      </c>
      <c r="J398" s="21" t="s">
        <v>42</v>
      </c>
      <c r="K398" s="21" t="s">
        <v>386</v>
      </c>
      <c r="L398" s="21" t="s">
        <v>3374</v>
      </c>
      <c r="M398" s="21" t="s">
        <v>3375</v>
      </c>
      <c r="N398" s="21" t="s">
        <v>3376</v>
      </c>
      <c r="O398" s="48" t="s">
        <v>3377</v>
      </c>
      <c r="P398" s="21" t="s">
        <v>75</v>
      </c>
      <c r="Q398" s="24" t="s">
        <v>49</v>
      </c>
      <c r="R398" s="21" t="s">
        <v>3378</v>
      </c>
      <c r="S398" s="21" t="s">
        <v>51</v>
      </c>
      <c r="T398" s="21" t="s">
        <v>52</v>
      </c>
      <c r="U398" s="21" t="s">
        <v>52</v>
      </c>
      <c r="V398" s="21" t="s">
        <v>52</v>
      </c>
      <c r="W398" s="45">
        <v>45921.0</v>
      </c>
      <c r="X398" s="49">
        <v>0.39444444444444443</v>
      </c>
      <c r="Y398" s="45">
        <v>45921.0</v>
      </c>
      <c r="Z398" s="49">
        <v>0.4527777777777778</v>
      </c>
      <c r="AA398" s="49">
        <v>0.4548611111111111</v>
      </c>
      <c r="AB398" s="25">
        <v>0.5</v>
      </c>
      <c r="AC398" s="25">
        <v>0.5208333333333334</v>
      </c>
      <c r="AD398" s="25">
        <v>0.5208333333333334</v>
      </c>
      <c r="AE398" s="45">
        <v>45921.0</v>
      </c>
      <c r="AF398" s="21" t="s">
        <v>2744</v>
      </c>
      <c r="AG398" s="21" t="s">
        <v>162</v>
      </c>
      <c r="AH398" s="21" t="s">
        <v>1483</v>
      </c>
      <c r="AI398" s="26" t="str">
        <f>IFERROR(__xludf.DUMMYFUNCTION("IF(OR(W398="""",X398="""",AE398="""",AD398=""""),"""",
   TEXT(
     (
       (AE398+AD398 + IF(AE398+AD398 &lt; W398+X398,1,0)) - (W398+X398)
     )
     - IF(AND(AB398&lt;&gt;"""",AC398&lt;&gt;""""), 
          SUM(ARRAYFORMULA(SPLIT(AC398,"","") - SPLIT(AB398,"",""))"&amp;"), 
          0
       ),
     ""[hh]:mm""
   )
)
"),"02:32")</f>
        <v>02:32</v>
      </c>
      <c r="AJ398" s="55">
        <f t="shared" si="9"/>
        <v>0</v>
      </c>
      <c r="AK398" s="28" t="str">
        <f t="shared" si="10"/>
        <v>Pass</v>
      </c>
    </row>
    <row r="399">
      <c r="A399" s="45">
        <v>45921.0</v>
      </c>
      <c r="B399" s="49">
        <v>0.5277777777777778</v>
      </c>
      <c r="C399" s="45">
        <v>45921.0</v>
      </c>
      <c r="D399" s="49">
        <v>0.5277777777777778</v>
      </c>
      <c r="E399" s="21" t="s">
        <v>3379</v>
      </c>
      <c r="F399" s="21" t="s">
        <v>140</v>
      </c>
      <c r="G399" s="21" t="s">
        <v>141</v>
      </c>
      <c r="H399" s="47"/>
      <c r="I399" s="21" t="s">
        <v>60</v>
      </c>
      <c r="J399" s="21" t="s">
        <v>42</v>
      </c>
      <c r="K399" s="22" t="s">
        <v>43</v>
      </c>
      <c r="L399" s="21" t="s">
        <v>44</v>
      </c>
      <c r="M399" s="21" t="s">
        <v>3380</v>
      </c>
      <c r="N399" s="21" t="s">
        <v>3381</v>
      </c>
      <c r="O399" s="48" t="s">
        <v>3382</v>
      </c>
      <c r="P399" s="21" t="s">
        <v>48</v>
      </c>
      <c r="Q399" s="24" t="s">
        <v>65</v>
      </c>
      <c r="R399" s="21" t="s">
        <v>3383</v>
      </c>
      <c r="S399" s="21" t="s">
        <v>51</v>
      </c>
      <c r="T399" s="21" t="s">
        <v>52</v>
      </c>
      <c r="U399" s="21" t="s">
        <v>52</v>
      </c>
      <c r="V399" s="21" t="s">
        <v>52</v>
      </c>
      <c r="W399" s="45">
        <v>45921.0</v>
      </c>
      <c r="X399" s="49">
        <v>0.39444444444444443</v>
      </c>
      <c r="Y399" s="45">
        <v>45921.0</v>
      </c>
      <c r="Z399" s="49">
        <v>0.4527777777777778</v>
      </c>
      <c r="AA399" s="49">
        <v>0.5277777777777778</v>
      </c>
      <c r="AB399" s="29"/>
      <c r="AC399" s="29"/>
      <c r="AD399" s="25">
        <v>0.5625</v>
      </c>
      <c r="AE399" s="45">
        <v>45921.0</v>
      </c>
      <c r="AF399" s="21" t="s">
        <v>2711</v>
      </c>
      <c r="AG399" s="21" t="s">
        <v>162</v>
      </c>
      <c r="AH399" s="21" t="s">
        <v>1483</v>
      </c>
      <c r="AI399" s="26" t="str">
        <f>IFERROR(__xludf.DUMMYFUNCTION("IF(OR(W399="""",X399="""",AE399="""",AD399=""""),"""",
   TEXT(
     (
       (AE399+AD399 + IF(AE399+AD399 &lt; W399+X399,1,0)) - (W399+X399)
     )
     - IF(AND(AB399&lt;&gt;"""",AC399&lt;&gt;""""), 
          SUM(ARRAYFORMULA(SPLIT(AC399,"","") - SPLIT(AB399,"",""))"&amp;"), 
          0
       ),
     ""[hh]:mm""
   )
)
"),"04:02")</f>
        <v>04:02</v>
      </c>
      <c r="AJ399" s="55">
        <f t="shared" si="9"/>
        <v>0</v>
      </c>
      <c r="AK399" s="28" t="str">
        <f t="shared" si="10"/>
        <v>Pass</v>
      </c>
    </row>
    <row r="400">
      <c r="A400" s="45">
        <v>45922.0</v>
      </c>
      <c r="B400" s="49">
        <v>0.4583333333333333</v>
      </c>
      <c r="C400" s="45">
        <v>45922.0</v>
      </c>
      <c r="D400" s="49">
        <v>0.4625</v>
      </c>
      <c r="E400" s="21" t="s">
        <v>3384</v>
      </c>
      <c r="F400" s="21" t="s">
        <v>251</v>
      </c>
      <c r="G400" s="21" t="s">
        <v>1717</v>
      </c>
      <c r="H400" s="21" t="s">
        <v>454</v>
      </c>
      <c r="I400" s="21" t="s">
        <v>1055</v>
      </c>
      <c r="J400" s="21" t="s">
        <v>1056</v>
      </c>
      <c r="K400" s="21" t="s">
        <v>635</v>
      </c>
      <c r="L400" s="21" t="s">
        <v>3385</v>
      </c>
      <c r="M400" s="21" t="s">
        <v>3386</v>
      </c>
      <c r="N400" s="21" t="s">
        <v>3387</v>
      </c>
      <c r="O400" s="48" t="s">
        <v>3388</v>
      </c>
      <c r="P400" s="21" t="s">
        <v>75</v>
      </c>
      <c r="Q400" s="24" t="s">
        <v>65</v>
      </c>
      <c r="R400" s="21" t="s">
        <v>3389</v>
      </c>
      <c r="S400" s="21" t="s">
        <v>51</v>
      </c>
      <c r="T400" s="21" t="s">
        <v>52</v>
      </c>
      <c r="U400" s="21" t="s">
        <v>52</v>
      </c>
      <c r="V400" s="21" t="s">
        <v>52</v>
      </c>
      <c r="W400" s="45">
        <v>45922.0</v>
      </c>
      <c r="X400" s="49">
        <v>0.4625</v>
      </c>
      <c r="Y400" s="45">
        <v>45922.0</v>
      </c>
      <c r="Z400" s="49">
        <v>0.5604166666666667</v>
      </c>
      <c r="AA400" s="49">
        <v>0.5659722222222222</v>
      </c>
      <c r="AB400" s="25">
        <v>0.5763888888888888</v>
      </c>
      <c r="AC400" s="25">
        <v>0.5972222222222222</v>
      </c>
      <c r="AD400" s="25">
        <v>0.5972222222222222</v>
      </c>
      <c r="AE400" s="45">
        <v>45922.0</v>
      </c>
      <c r="AF400" s="21" t="s">
        <v>3327</v>
      </c>
      <c r="AG400" s="21" t="s">
        <v>313</v>
      </c>
      <c r="AH400" s="21" t="s">
        <v>1859</v>
      </c>
      <c r="AI400" s="26" t="str">
        <f>IFERROR(__xludf.DUMMYFUNCTION("IF(OR(W400="""",X400="""",AE400="""",AD400=""""),"""",
   TEXT(
     (
       (AE400+AD400 + IF(AE400+AD400 &lt; W400+X400,1,0)) - (W400+X400)
     )
     - IF(AND(AB400&lt;&gt;"""",AC400&lt;&gt;""""), 
          SUM(ARRAYFORMULA(SPLIT(AC400,"","") - SPLIT(AB400,"",""))"&amp;"), 
          0
       ),
     ""[hh]:mm""
   )
)
"),"02:44")</f>
        <v>02:44</v>
      </c>
      <c r="AJ400" s="55">
        <f t="shared" si="9"/>
        <v>0</v>
      </c>
      <c r="AK400" s="28" t="str">
        <f t="shared" si="10"/>
        <v>Pass</v>
      </c>
    </row>
    <row r="401">
      <c r="A401" s="45">
        <v>45922.0</v>
      </c>
      <c r="B401" s="49">
        <v>0.5013888888888889</v>
      </c>
      <c r="C401" s="45">
        <v>45922.0</v>
      </c>
      <c r="D401" s="49">
        <v>0.5395833333333333</v>
      </c>
      <c r="E401" s="21" t="s">
        <v>3390</v>
      </c>
      <c r="F401" s="21" t="s">
        <v>650</v>
      </c>
      <c r="G401" s="21" t="s">
        <v>651</v>
      </c>
      <c r="H401" s="21" t="s">
        <v>156</v>
      </c>
      <c r="I401" s="21" t="s">
        <v>616</v>
      </c>
      <c r="J401" s="21" t="s">
        <v>132</v>
      </c>
      <c r="K401" s="22" t="s">
        <v>43</v>
      </c>
      <c r="L401" s="21" t="s">
        <v>2663</v>
      </c>
      <c r="M401" s="21" t="s">
        <v>3391</v>
      </c>
      <c r="N401" s="21" t="s">
        <v>3392</v>
      </c>
      <c r="O401" s="48" t="s">
        <v>3393</v>
      </c>
      <c r="P401" s="21" t="s">
        <v>75</v>
      </c>
      <c r="Q401" s="24" t="s">
        <v>65</v>
      </c>
      <c r="R401" s="21" t="s">
        <v>3394</v>
      </c>
      <c r="S401" s="21" t="s">
        <v>51</v>
      </c>
      <c r="T401" s="21" t="s">
        <v>52</v>
      </c>
      <c r="U401" s="21" t="s">
        <v>52</v>
      </c>
      <c r="V401" s="21" t="s">
        <v>52</v>
      </c>
      <c r="W401" s="45">
        <v>45922.0</v>
      </c>
      <c r="X401" s="49">
        <v>0.5395833333333333</v>
      </c>
      <c r="Y401" s="45">
        <v>45922.0</v>
      </c>
      <c r="Z401" s="49">
        <v>0.5972222222222222</v>
      </c>
      <c r="AA401" s="49">
        <v>0.6041666666666666</v>
      </c>
      <c r="AB401" s="29"/>
      <c r="AC401" s="29"/>
      <c r="AD401" s="25">
        <v>0.6319444444444444</v>
      </c>
      <c r="AE401" s="45">
        <v>45922.0</v>
      </c>
      <c r="AF401" s="21" t="s">
        <v>2738</v>
      </c>
      <c r="AG401" s="21" t="s">
        <v>1582</v>
      </c>
      <c r="AH401" s="21" t="s">
        <v>3395</v>
      </c>
      <c r="AI401" s="26" t="str">
        <f>IFERROR(__xludf.DUMMYFUNCTION("IF(OR(W401="""",X401="""",AE401="""",AD401=""""),"""",
   TEXT(
     (
       (AE401+AD401 + IF(AE401+AD401 &lt; W401+X401,1,0)) - (W401+X401)
     )
     - IF(AND(AB401&lt;&gt;"""",AC401&lt;&gt;""""), 
          SUM(ARRAYFORMULA(SPLIT(AC401,"","") - SPLIT(AB401,"",""))"&amp;"), 
          0
       ),
     ""[hh]:mm""
   )
)
"),"02:13")</f>
        <v>02:13</v>
      </c>
      <c r="AJ401" s="55">
        <f t="shared" si="9"/>
        <v>0</v>
      </c>
      <c r="AK401" s="28" t="str">
        <f t="shared" si="10"/>
        <v>Pass</v>
      </c>
    </row>
    <row r="402">
      <c r="A402" s="45">
        <v>45922.0</v>
      </c>
      <c r="B402" s="49">
        <v>0.5715277777777777</v>
      </c>
      <c r="C402" s="45">
        <v>45922.0</v>
      </c>
      <c r="D402" s="49">
        <v>0.6236111111111111</v>
      </c>
      <c r="E402" s="21" t="s">
        <v>3396</v>
      </c>
      <c r="F402" s="21" t="s">
        <v>1353</v>
      </c>
      <c r="G402" s="21" t="s">
        <v>3397</v>
      </c>
      <c r="H402" s="21" t="s">
        <v>855</v>
      </c>
      <c r="I402" s="21" t="s">
        <v>2185</v>
      </c>
      <c r="J402" s="21" t="s">
        <v>644</v>
      </c>
      <c r="K402" s="21" t="s">
        <v>143</v>
      </c>
      <c r="L402" s="21" t="s">
        <v>3398</v>
      </c>
      <c r="M402" s="21" t="s">
        <v>3399</v>
      </c>
      <c r="N402" s="21" t="s">
        <v>3400</v>
      </c>
      <c r="O402" s="48" t="s">
        <v>3401</v>
      </c>
      <c r="P402" s="21" t="s">
        <v>187</v>
      </c>
      <c r="Q402" s="24" t="s">
        <v>65</v>
      </c>
      <c r="R402" s="21" t="s">
        <v>3402</v>
      </c>
      <c r="S402" s="21" t="s">
        <v>51</v>
      </c>
      <c r="T402" s="21" t="s">
        <v>52</v>
      </c>
      <c r="U402" s="21" t="s">
        <v>52</v>
      </c>
      <c r="V402" s="21" t="s">
        <v>52</v>
      </c>
      <c r="W402" s="45">
        <v>45922.0</v>
      </c>
      <c r="X402" s="49">
        <v>0.6236111111111111</v>
      </c>
      <c r="Y402" s="45">
        <v>45922.0</v>
      </c>
      <c r="Z402" s="49">
        <v>0.6180555555555556</v>
      </c>
      <c r="AA402" s="49">
        <v>0.6222222222222222</v>
      </c>
      <c r="AB402" s="29"/>
      <c r="AC402" s="29"/>
      <c r="AD402" s="25">
        <v>0.6527777777777778</v>
      </c>
      <c r="AE402" s="45">
        <v>45922.0</v>
      </c>
      <c r="AF402" s="21" t="s">
        <v>3403</v>
      </c>
      <c r="AG402" s="21" t="s">
        <v>78</v>
      </c>
      <c r="AH402" s="21" t="s">
        <v>3404</v>
      </c>
      <c r="AI402" s="26" t="str">
        <f>IFERROR(__xludf.DUMMYFUNCTION("IF(OR(W402="""",X402="""",AE402="""",AD402=""""),"""",
   TEXT(
     (
       (AE402+AD402 + IF(AE402+AD402 &lt; W402+X402,1,0)) - (W402+X402)
     )
     - IF(AND(AB402&lt;&gt;"""",AC402&lt;&gt;""""), 
          SUM(ARRAYFORMULA(SPLIT(AC402,"","") - SPLIT(AB402,"",""))"&amp;"), 
          0
       ),
     ""[hh]:mm""
   )
)
"),"00:42")</f>
        <v>00:42</v>
      </c>
      <c r="AJ402" s="55">
        <f t="shared" si="9"/>
        <v>0</v>
      </c>
      <c r="AK402" s="28" t="str">
        <f t="shared" si="10"/>
        <v>Pass</v>
      </c>
    </row>
    <row r="403">
      <c r="A403" s="45">
        <v>45922.0</v>
      </c>
      <c r="B403" s="49">
        <v>0.6451388888888889</v>
      </c>
      <c r="C403" s="45">
        <v>45922.0</v>
      </c>
      <c r="D403" s="49">
        <v>0.6569444444444444</v>
      </c>
      <c r="E403" s="21" t="s">
        <v>3405</v>
      </c>
      <c r="F403" s="21" t="s">
        <v>1353</v>
      </c>
      <c r="G403" s="21" t="s">
        <v>3397</v>
      </c>
      <c r="H403" s="21" t="s">
        <v>156</v>
      </c>
      <c r="I403" s="21" t="s">
        <v>131</v>
      </c>
      <c r="J403" s="21" t="s">
        <v>132</v>
      </c>
      <c r="K403" s="22" t="s">
        <v>43</v>
      </c>
      <c r="L403" s="21" t="s">
        <v>3406</v>
      </c>
      <c r="M403" s="21" t="s">
        <v>3407</v>
      </c>
      <c r="N403" s="21" t="s">
        <v>1623</v>
      </c>
      <c r="O403" s="48" t="s">
        <v>3408</v>
      </c>
      <c r="P403" s="21" t="s">
        <v>75</v>
      </c>
      <c r="Q403" s="24" t="s">
        <v>65</v>
      </c>
      <c r="R403" s="21" t="s">
        <v>3409</v>
      </c>
      <c r="S403" s="21" t="s">
        <v>51</v>
      </c>
      <c r="T403" s="21" t="s">
        <v>657</v>
      </c>
      <c r="U403" s="21" t="s">
        <v>3410</v>
      </c>
      <c r="V403" s="21" t="s">
        <v>3411</v>
      </c>
      <c r="W403" s="45">
        <v>45922.0</v>
      </c>
      <c r="X403" s="49">
        <v>0.6569444444444444</v>
      </c>
      <c r="Y403" s="45">
        <v>45922.0</v>
      </c>
      <c r="Z403" s="49">
        <v>0.6597222222222222</v>
      </c>
      <c r="AA403" s="49">
        <v>0.6631944444444444</v>
      </c>
      <c r="AB403" s="85">
        <v>0.6666666666666666</v>
      </c>
      <c r="AC403" s="25">
        <v>0.7847222222222222</v>
      </c>
      <c r="AD403" s="25">
        <v>0.7916666666666666</v>
      </c>
      <c r="AE403" s="45">
        <v>45922.0</v>
      </c>
      <c r="AF403" s="21" t="s">
        <v>2744</v>
      </c>
      <c r="AG403" s="21" t="s">
        <v>78</v>
      </c>
      <c r="AH403" s="21" t="s">
        <v>1941</v>
      </c>
      <c r="AI403" s="26" t="str">
        <f>IFERROR(__xludf.DUMMYFUNCTION("IF(OR(W403="""",X403="""",AE403="""",AD403=""""),"""",
   TEXT(
     (
       (AE403+AD403 + IF(AE403+AD403 &lt; W403+X403,1,0)) - (W403+X403)
     )
     - IF(AND(AB403&lt;&gt;"""",AC403&lt;&gt;""""), 
          SUM(ARRAYFORMULA(SPLIT(AC403,"","") - SPLIT(AB403,"",""))"&amp;"), 
          0
       ),
     ""[hh]:mm""
   )
)
"),"00:24")</f>
        <v>00:24</v>
      </c>
      <c r="AJ403" s="55">
        <f t="shared" si="9"/>
        <v>0</v>
      </c>
      <c r="AK403" s="28" t="str">
        <f t="shared" si="10"/>
        <v>Pass</v>
      </c>
    </row>
    <row r="404">
      <c r="A404" s="18">
        <v>45922.0</v>
      </c>
      <c r="B404" s="20">
        <v>0.7763888888888889</v>
      </c>
      <c r="C404" s="18">
        <v>45922.0</v>
      </c>
      <c r="D404" s="79">
        <v>0.37777777777777777</v>
      </c>
      <c r="E404" s="22" t="s">
        <v>3412</v>
      </c>
      <c r="F404" s="22" t="s">
        <v>1964</v>
      </c>
      <c r="G404" s="22" t="s">
        <v>1965</v>
      </c>
      <c r="H404" s="22" t="s">
        <v>3413</v>
      </c>
      <c r="I404" s="22" t="s">
        <v>856</v>
      </c>
      <c r="J404" s="22" t="s">
        <v>1084</v>
      </c>
      <c r="K404" s="22" t="s">
        <v>1936</v>
      </c>
      <c r="L404" s="22" t="s">
        <v>52</v>
      </c>
      <c r="M404" s="22" t="s">
        <v>52</v>
      </c>
      <c r="N404" s="22" t="s">
        <v>3414</v>
      </c>
      <c r="O404" s="23" t="s">
        <v>3415</v>
      </c>
      <c r="P404" s="22" t="s">
        <v>75</v>
      </c>
      <c r="Q404" s="50" t="s">
        <v>65</v>
      </c>
      <c r="R404" s="22" t="s">
        <v>3416</v>
      </c>
      <c r="S404" s="22" t="s">
        <v>51</v>
      </c>
      <c r="T404" s="22" t="s">
        <v>52</v>
      </c>
      <c r="U404" s="22" t="s">
        <v>52</v>
      </c>
      <c r="V404" s="22" t="s">
        <v>52</v>
      </c>
      <c r="W404" s="18">
        <v>45923.0</v>
      </c>
      <c r="X404" s="20">
        <v>0.4166666666666667</v>
      </c>
      <c r="Y404" s="18">
        <v>45923.0</v>
      </c>
      <c r="Z404" s="20">
        <v>0.5506944444444445</v>
      </c>
      <c r="AA404" s="20">
        <v>0.5625</v>
      </c>
      <c r="AB404" s="54"/>
      <c r="AC404" s="54"/>
      <c r="AD404" s="51">
        <v>0.625</v>
      </c>
      <c r="AE404" s="18">
        <v>45923.0</v>
      </c>
      <c r="AF404" s="22" t="s">
        <v>2730</v>
      </c>
      <c r="AG404" s="22" t="s">
        <v>239</v>
      </c>
      <c r="AH404" s="22" t="s">
        <v>3417</v>
      </c>
      <c r="AI404" s="26" t="str">
        <f>IFERROR(__xludf.DUMMYFUNCTION("IF(OR(W404="""",X404="""",AE404="""",AD404=""""),"""",
   TEXT(
     (
       (AE404+AD404 + IF(AE404+AD404 &lt; W404+X404,1,0)) - (W404+X404)
     )
     - IF(AND(AB404&lt;&gt;"""",AC404&lt;&gt;""""), 
          SUM(ARRAYFORMULA(SPLIT(AC404,"","") - SPLIT(AB404,"",""))"&amp;"), 
          0
       ),
     ""[hh]:mm""
   )
)
"),"05:00")</f>
        <v>05:00</v>
      </c>
      <c r="AJ404" s="55">
        <f t="shared" si="9"/>
        <v>0</v>
      </c>
      <c r="AK404" s="28" t="str">
        <f t="shared" si="10"/>
        <v>Pass</v>
      </c>
    </row>
    <row r="405">
      <c r="A405" s="18">
        <v>45922.0</v>
      </c>
      <c r="B405" s="20">
        <v>0.3763888888888889</v>
      </c>
      <c r="C405" s="18">
        <v>45922.0</v>
      </c>
      <c r="D405" s="20">
        <v>0.38055555555555554</v>
      </c>
      <c r="E405" s="22" t="s">
        <v>3418</v>
      </c>
      <c r="F405" s="22" t="s">
        <v>3265</v>
      </c>
      <c r="G405" s="22" t="s">
        <v>3266</v>
      </c>
      <c r="H405" s="22" t="s">
        <v>3413</v>
      </c>
      <c r="I405" s="22" t="s">
        <v>856</v>
      </c>
      <c r="J405" s="22" t="s">
        <v>1084</v>
      </c>
      <c r="K405" s="22" t="s">
        <v>2912</v>
      </c>
      <c r="L405" s="22" t="s">
        <v>2486</v>
      </c>
      <c r="M405" s="22">
        <v>8.63803030163276E14</v>
      </c>
      <c r="N405" s="22" t="s">
        <v>3419</v>
      </c>
      <c r="O405" s="23" t="s">
        <v>3420</v>
      </c>
      <c r="P405" s="22" t="s">
        <v>48</v>
      </c>
      <c r="Q405" s="50" t="s">
        <v>65</v>
      </c>
      <c r="R405" s="22" t="s">
        <v>3421</v>
      </c>
      <c r="S405" s="22" t="s">
        <v>51</v>
      </c>
      <c r="T405" s="22" t="s">
        <v>52</v>
      </c>
      <c r="U405" s="22" t="s">
        <v>52</v>
      </c>
      <c r="V405" s="22" t="s">
        <v>52</v>
      </c>
      <c r="W405" s="18">
        <v>45923.0</v>
      </c>
      <c r="X405" s="20">
        <v>0.4166666666666667</v>
      </c>
      <c r="Y405" s="18">
        <v>45923.0</v>
      </c>
      <c r="Z405" s="20">
        <v>0.6118055555555556</v>
      </c>
      <c r="AA405" s="20">
        <v>0.6180555555555556</v>
      </c>
      <c r="AB405" s="54"/>
      <c r="AC405" s="54"/>
      <c r="AD405" s="51">
        <v>0.6701388888888888</v>
      </c>
      <c r="AE405" s="18">
        <v>45923.0</v>
      </c>
      <c r="AF405" s="22" t="s">
        <v>2730</v>
      </c>
      <c r="AG405" s="22" t="s">
        <v>293</v>
      </c>
      <c r="AH405" s="22" t="s">
        <v>3422</v>
      </c>
      <c r="AI405" s="26" t="str">
        <f>IFERROR(__xludf.DUMMYFUNCTION("IF(OR(W405="""",X405="""",AE405="""",AD405=""""),"""",
   TEXT(
     (
       (AE405+AD405 + IF(AE405+AD405 &lt; W405+X405,1,0)) - (W405+X405)
     )
     - IF(AND(AB405&lt;&gt;"""",AC405&lt;&gt;""""), 
          SUM(ARRAYFORMULA(SPLIT(AC405,"","") - SPLIT(AB405,"",""))"&amp;"), 
          0
       ),
     ""[hh]:mm""
   )
)
"),"06:05")</f>
        <v>06:05</v>
      </c>
      <c r="AJ405" s="55">
        <f t="shared" si="9"/>
        <v>0</v>
      </c>
      <c r="AK405" s="28" t="str">
        <f t="shared" si="10"/>
        <v>Pass</v>
      </c>
    </row>
    <row r="406">
      <c r="A406" s="18">
        <v>45922.0</v>
      </c>
      <c r="B406" s="20">
        <v>0.7555555555555555</v>
      </c>
      <c r="C406" s="18">
        <v>45922.0</v>
      </c>
      <c r="D406" s="20">
        <v>0.7583333333333333</v>
      </c>
      <c r="E406" s="22" t="s">
        <v>3423</v>
      </c>
      <c r="F406" s="22" t="s">
        <v>3127</v>
      </c>
      <c r="G406" s="22" t="s">
        <v>3128</v>
      </c>
      <c r="H406" s="22" t="s">
        <v>156</v>
      </c>
      <c r="I406" s="22" t="s">
        <v>616</v>
      </c>
      <c r="J406" s="22" t="s">
        <v>132</v>
      </c>
      <c r="K406" s="22" t="s">
        <v>43</v>
      </c>
      <c r="L406" s="22" t="s">
        <v>805</v>
      </c>
      <c r="M406" s="22" t="s">
        <v>3424</v>
      </c>
      <c r="N406" s="22" t="s">
        <v>3425</v>
      </c>
      <c r="O406" s="23" t="s">
        <v>3426</v>
      </c>
      <c r="P406" s="22" t="s">
        <v>75</v>
      </c>
      <c r="Q406" s="50" t="s">
        <v>65</v>
      </c>
      <c r="R406" s="22" t="s">
        <v>3427</v>
      </c>
      <c r="S406" s="22" t="s">
        <v>51</v>
      </c>
      <c r="T406" s="22" t="s">
        <v>2253</v>
      </c>
      <c r="U406" s="22" t="s">
        <v>3428</v>
      </c>
      <c r="V406" s="22" t="s">
        <v>3424</v>
      </c>
      <c r="W406" s="18">
        <v>45923.0</v>
      </c>
      <c r="X406" s="20">
        <v>0.375</v>
      </c>
      <c r="Y406" s="18">
        <v>45923.0</v>
      </c>
      <c r="Z406" s="20">
        <v>0.7868055555555555</v>
      </c>
      <c r="AA406" s="20">
        <v>0.7979166666666667</v>
      </c>
      <c r="AB406" s="51">
        <v>0.375</v>
      </c>
      <c r="AC406" s="51">
        <v>0.5</v>
      </c>
      <c r="AD406" s="51">
        <v>0.8041666666666667</v>
      </c>
      <c r="AE406" s="18">
        <v>45923.0</v>
      </c>
      <c r="AF406" s="22" t="s">
        <v>3358</v>
      </c>
      <c r="AG406" s="22" t="s">
        <v>162</v>
      </c>
      <c r="AH406" s="22" t="s">
        <v>3429</v>
      </c>
      <c r="AI406" s="26" t="str">
        <f>IFERROR(__xludf.DUMMYFUNCTION("IF(OR(W406="""",X406="""",AE406="""",AD406=""""),"""",
   TEXT(
     (
       (AE406+AD406 + IF(AE406+AD406 &lt; W406+X406,1,0)) - (W406+X406)
     )
     - IF(AND(AB406&lt;&gt;"""",AC406&lt;&gt;""""), 
          SUM(ARRAYFORMULA(SPLIT(AC406,"","") - SPLIT(AB406,"",""))"&amp;"), 
          0
       ),
     ""[hh]:mm""
   )
)
"),"07:18")</f>
        <v>07:18</v>
      </c>
      <c r="AJ406" s="55">
        <f t="shared" si="9"/>
        <v>0</v>
      </c>
      <c r="AK406" s="28" t="str">
        <f t="shared" si="10"/>
        <v>Pass</v>
      </c>
    </row>
    <row r="407">
      <c r="A407" s="18">
        <v>45923.0</v>
      </c>
      <c r="B407" s="20">
        <v>0.07222222222222222</v>
      </c>
      <c r="C407" s="18">
        <v>45923.0</v>
      </c>
      <c r="D407" s="20">
        <v>0.29444444444444445</v>
      </c>
      <c r="E407" s="22" t="s">
        <v>3430</v>
      </c>
      <c r="F407" s="22" t="s">
        <v>3431</v>
      </c>
      <c r="G407" s="22" t="s">
        <v>3432</v>
      </c>
      <c r="H407" s="22" t="s">
        <v>1373</v>
      </c>
      <c r="I407" s="22" t="s">
        <v>1632</v>
      </c>
      <c r="J407" s="22" t="s">
        <v>1136</v>
      </c>
      <c r="K407" s="22" t="s">
        <v>43</v>
      </c>
      <c r="L407" s="22" t="s">
        <v>675</v>
      </c>
      <c r="M407" s="22">
        <v>2.02203280284E11</v>
      </c>
      <c r="N407" s="22" t="s">
        <v>3433</v>
      </c>
      <c r="O407" s="23" t="s">
        <v>3434</v>
      </c>
      <c r="P407" s="22" t="s">
        <v>75</v>
      </c>
      <c r="Q407" s="50" t="s">
        <v>65</v>
      </c>
      <c r="R407" s="22" t="s">
        <v>3435</v>
      </c>
      <c r="S407" s="22" t="s">
        <v>51</v>
      </c>
      <c r="T407" s="22" t="s">
        <v>3436</v>
      </c>
      <c r="U407" s="22" t="s">
        <v>52</v>
      </c>
      <c r="V407" s="22" t="s">
        <v>52</v>
      </c>
      <c r="W407" s="18">
        <v>45923.0</v>
      </c>
      <c r="X407" s="20">
        <v>0.34444444444444444</v>
      </c>
      <c r="Y407" s="18">
        <v>45923.0</v>
      </c>
      <c r="Z407" s="75">
        <v>0.8916666666666667</v>
      </c>
      <c r="AA407" s="75">
        <v>0.8944444444444445</v>
      </c>
      <c r="AB407" s="51">
        <v>0.34444444444444444</v>
      </c>
      <c r="AC407" s="51">
        <v>0.5</v>
      </c>
      <c r="AD407" s="77">
        <v>0.9166666666666666</v>
      </c>
      <c r="AE407" s="18">
        <v>45923.0</v>
      </c>
      <c r="AF407" s="22" t="s">
        <v>3218</v>
      </c>
      <c r="AG407" s="22" t="s">
        <v>162</v>
      </c>
      <c r="AH407" s="22" t="s">
        <v>3437</v>
      </c>
      <c r="AI407" s="26" t="str">
        <f>IFERROR(__xludf.DUMMYFUNCTION("IF(OR(W407="""",X407="""",AE407="""",AD407=""""),"""",
   TEXT(
     (
       (AE407+AD407 + IF(AE407+AD407 &lt; W407+X407,1,0)) - (W407+X407)
     )
     - IF(AND(AB407&lt;&gt;"""",AC407&lt;&gt;""""), 
          SUM(ARRAYFORMULA(SPLIT(AC407,"","") - SPLIT(AB407,"",""))"&amp;"), 
          0
       ),
     ""[hh]:mm""
   )
)
"),"10:00")</f>
        <v>10:00</v>
      </c>
      <c r="AJ407" s="55">
        <f t="shared" si="9"/>
        <v>0</v>
      </c>
      <c r="AK407" s="28" t="str">
        <f t="shared" si="10"/>
        <v>Pass</v>
      </c>
    </row>
    <row r="408">
      <c r="A408" s="18">
        <v>45923.0</v>
      </c>
      <c r="B408" s="20">
        <v>0.36527777777777776</v>
      </c>
      <c r="C408" s="18">
        <v>45923.0</v>
      </c>
      <c r="D408" s="20">
        <v>0.37222222222222223</v>
      </c>
      <c r="E408" s="22" t="s">
        <v>3438</v>
      </c>
      <c r="F408" s="22" t="s">
        <v>3439</v>
      </c>
      <c r="G408" s="22" t="s">
        <v>3440</v>
      </c>
      <c r="H408" s="22" t="s">
        <v>156</v>
      </c>
      <c r="I408" s="22" t="s">
        <v>616</v>
      </c>
      <c r="J408" s="22" t="s">
        <v>132</v>
      </c>
      <c r="K408" s="22" t="s">
        <v>61</v>
      </c>
      <c r="L408" s="22" t="s">
        <v>1699</v>
      </c>
      <c r="M408" s="22" t="s">
        <v>3441</v>
      </c>
      <c r="N408" s="22" t="s">
        <v>3442</v>
      </c>
      <c r="O408" s="23" t="s">
        <v>3443</v>
      </c>
      <c r="P408" s="22" t="s">
        <v>75</v>
      </c>
      <c r="Q408" s="50" t="s">
        <v>65</v>
      </c>
      <c r="R408" s="22" t="s">
        <v>3444</v>
      </c>
      <c r="S408" s="22" t="s">
        <v>51</v>
      </c>
      <c r="T408" s="22" t="s">
        <v>3445</v>
      </c>
      <c r="U408" s="22" t="s">
        <v>3446</v>
      </c>
      <c r="V408" s="22" t="s">
        <v>3441</v>
      </c>
      <c r="W408" s="18">
        <v>45923.0</v>
      </c>
      <c r="X408" s="20">
        <v>0.37222222222222223</v>
      </c>
      <c r="Y408" s="18">
        <v>45923.0</v>
      </c>
      <c r="Z408" s="20">
        <v>0.71875</v>
      </c>
      <c r="AA408" s="20">
        <v>0.7215277777777778</v>
      </c>
      <c r="AB408" s="51">
        <v>0.37222222222222223</v>
      </c>
      <c r="AC408" s="51">
        <v>0.5</v>
      </c>
      <c r="AD408" s="51">
        <v>0.7465277777777778</v>
      </c>
      <c r="AE408" s="18">
        <v>45923.0</v>
      </c>
      <c r="AF408" s="22" t="s">
        <v>2744</v>
      </c>
      <c r="AG408" s="22" t="s">
        <v>162</v>
      </c>
      <c r="AH408" s="22" t="s">
        <v>3447</v>
      </c>
      <c r="AI408" s="26" t="str">
        <f>IFERROR(__xludf.DUMMYFUNCTION("IF(OR(W408="""",X408="""",AE408="""",AD408=""""),"""",
   TEXT(
     (
       (AE408+AD408 + IF(AE408+AD408 &lt; W408+X408,1,0)) - (W408+X408)
     )
     - IF(AND(AB408&lt;&gt;"""",AC408&lt;&gt;""""), 
          SUM(ARRAYFORMULA(SPLIT(AC408,"","") - SPLIT(AB408,"",""))"&amp;"), 
          0
       ),
     ""[hh]:mm""
   )
)
"),"05:55")</f>
        <v>05:55</v>
      </c>
      <c r="AJ408" s="55">
        <f t="shared" si="9"/>
        <v>0</v>
      </c>
      <c r="AK408" s="28" t="str">
        <f t="shared" si="10"/>
        <v>Pass</v>
      </c>
    </row>
    <row r="409">
      <c r="A409" s="18">
        <v>45923.0</v>
      </c>
      <c r="B409" s="20">
        <v>0.47847222222222224</v>
      </c>
      <c r="C409" s="18">
        <v>45923.0</v>
      </c>
      <c r="D409" s="20">
        <v>0.48194444444444445</v>
      </c>
      <c r="E409" s="22" t="s">
        <v>3448</v>
      </c>
      <c r="F409" s="22" t="s">
        <v>3449</v>
      </c>
      <c r="G409" s="22" t="s">
        <v>3450</v>
      </c>
      <c r="H409" s="22" t="s">
        <v>3451</v>
      </c>
      <c r="I409" s="22" t="s">
        <v>1497</v>
      </c>
      <c r="J409" s="22" t="s">
        <v>95</v>
      </c>
      <c r="K409" s="22" t="s">
        <v>386</v>
      </c>
      <c r="L409" s="22" t="s">
        <v>2478</v>
      </c>
      <c r="M409" s="22" t="s">
        <v>3452</v>
      </c>
      <c r="N409" s="22" t="s">
        <v>3453</v>
      </c>
      <c r="O409" s="23" t="s">
        <v>3454</v>
      </c>
      <c r="P409" s="22" t="s">
        <v>187</v>
      </c>
      <c r="Q409" s="50" t="s">
        <v>49</v>
      </c>
      <c r="R409" s="22" t="s">
        <v>3455</v>
      </c>
      <c r="S409" s="22" t="s">
        <v>51</v>
      </c>
      <c r="T409" s="22" t="s">
        <v>52</v>
      </c>
      <c r="U409" s="22" t="s">
        <v>52</v>
      </c>
      <c r="V409" s="22" t="s">
        <v>52</v>
      </c>
      <c r="W409" s="18">
        <v>45923.0</v>
      </c>
      <c r="X409" s="20">
        <v>0.48194444444444445</v>
      </c>
      <c r="Y409" s="18">
        <v>45923.0</v>
      </c>
      <c r="Z409" s="20">
        <v>0.6333333333333333</v>
      </c>
      <c r="AA409" s="20">
        <v>0.6770833333333334</v>
      </c>
      <c r="AB409" s="50" t="s">
        <v>3456</v>
      </c>
      <c r="AC409" s="50" t="s">
        <v>3457</v>
      </c>
      <c r="AD409" s="51">
        <v>0.8229166666666666</v>
      </c>
      <c r="AE409" s="18">
        <v>45923.0</v>
      </c>
      <c r="AF409" s="22" t="s">
        <v>3458</v>
      </c>
      <c r="AG409" s="22" t="s">
        <v>583</v>
      </c>
      <c r="AH409" s="22" t="s">
        <v>3459</v>
      </c>
      <c r="AI409" s="26" t="str">
        <f>IFERROR(__xludf.DUMMYFUNCTION("IF(OR(W409="""",X409="""",AE409="""",AD409=""""),"""",
   TEXT(
     (
       (AE409+AD409 + IF(AE409+AD409 &lt; W409+X409,1,0)) - (W409+X409)
     )
     - IF(AND(AB409&lt;&gt;"""",AC409&lt;&gt;""""), 
          SUM(ARRAYFORMULA(SPLIT(AC409,"","") - SPLIT(AB409,"",""))"&amp;"), 
          0
       ),
     ""[hh]:mm""
   )
)
"),"05:14")</f>
        <v>05:14</v>
      </c>
      <c r="AJ409" s="55">
        <f t="shared" si="9"/>
        <v>0.05138888889</v>
      </c>
      <c r="AK409" s="28" t="str">
        <f t="shared" si="10"/>
        <v>Fail</v>
      </c>
    </row>
    <row r="410">
      <c r="A410" s="18">
        <v>45923.0</v>
      </c>
      <c r="B410" s="20">
        <v>0.5534722222222223</v>
      </c>
      <c r="C410" s="18">
        <v>45923.0</v>
      </c>
      <c r="D410" s="20">
        <v>0.5576388888888889</v>
      </c>
      <c r="E410" s="22" t="s">
        <v>3460</v>
      </c>
      <c r="F410" s="22" t="s">
        <v>3461</v>
      </c>
      <c r="G410" s="22" t="s">
        <v>3462</v>
      </c>
      <c r="H410" s="22" t="s">
        <v>377</v>
      </c>
      <c r="I410" s="22" t="s">
        <v>60</v>
      </c>
      <c r="J410" s="22" t="s">
        <v>42</v>
      </c>
      <c r="K410" s="22" t="s">
        <v>61</v>
      </c>
      <c r="L410" s="22" t="s">
        <v>183</v>
      </c>
      <c r="M410" s="22" t="s">
        <v>3463</v>
      </c>
      <c r="N410" s="22" t="s">
        <v>3464</v>
      </c>
      <c r="O410" s="23" t="s">
        <v>3465</v>
      </c>
      <c r="P410" s="22" t="s">
        <v>187</v>
      </c>
      <c r="Q410" s="50" t="s">
        <v>65</v>
      </c>
      <c r="R410" s="22" t="s">
        <v>3466</v>
      </c>
      <c r="S410" s="22" t="s">
        <v>51</v>
      </c>
      <c r="T410" s="22" t="s">
        <v>52</v>
      </c>
      <c r="U410" s="22" t="s">
        <v>52</v>
      </c>
      <c r="V410" s="22" t="s">
        <v>52</v>
      </c>
      <c r="W410" s="18">
        <v>45923.0</v>
      </c>
      <c r="X410" s="20">
        <v>0.5576388888888889</v>
      </c>
      <c r="Y410" s="18">
        <v>45923.0</v>
      </c>
      <c r="Z410" s="20">
        <v>0.5986111111111111</v>
      </c>
      <c r="AA410" s="20">
        <v>0.6284722222222222</v>
      </c>
      <c r="AB410" s="54"/>
      <c r="AC410" s="54"/>
      <c r="AD410" s="51">
        <v>0.6555555555555556</v>
      </c>
      <c r="AE410" s="18">
        <v>45923.0</v>
      </c>
      <c r="AF410" s="22" t="s">
        <v>2839</v>
      </c>
      <c r="AG410" s="22" t="s">
        <v>162</v>
      </c>
      <c r="AH410" s="22" t="s">
        <v>3467</v>
      </c>
      <c r="AI410" s="26" t="str">
        <f>IFERROR(__xludf.DUMMYFUNCTION("IF(OR(W410="""",X410="""",AE410="""",AD410=""""),"""",
   TEXT(
     (
       (AE410+AD410 + IF(AE410+AD410 &lt; W410+X410,1,0)) - (W410+X410)
     )
     - IF(AND(AB410&lt;&gt;"""",AC410&lt;&gt;""""), 
          SUM(ARRAYFORMULA(SPLIT(AC410,"","") - SPLIT(AB410,"",""))"&amp;"), 
          0
       ),
     ""[hh]:mm""
   )
)
"),"02:21")</f>
        <v>02:21</v>
      </c>
      <c r="AJ410" s="55">
        <f t="shared" si="9"/>
        <v>0</v>
      </c>
      <c r="AK410" s="28" t="str">
        <f t="shared" si="10"/>
        <v>Pass</v>
      </c>
    </row>
    <row r="411">
      <c r="A411" s="18">
        <v>45922.0</v>
      </c>
      <c r="B411" s="20">
        <v>0.4270833333333333</v>
      </c>
      <c r="C411" s="18">
        <v>45922.0</v>
      </c>
      <c r="D411" s="20">
        <v>0.44166666666666665</v>
      </c>
      <c r="E411" s="22" t="s">
        <v>3468</v>
      </c>
      <c r="F411" s="22" t="s">
        <v>3469</v>
      </c>
      <c r="G411" s="22" t="s">
        <v>3470</v>
      </c>
      <c r="H411" s="22" t="s">
        <v>3471</v>
      </c>
      <c r="I411" s="22" t="s">
        <v>815</v>
      </c>
      <c r="J411" s="22" t="s">
        <v>1084</v>
      </c>
      <c r="K411" s="22" t="s">
        <v>3472</v>
      </c>
      <c r="L411" s="22" t="s">
        <v>3473</v>
      </c>
      <c r="M411" s="22">
        <v>2.0230815431E10</v>
      </c>
      <c r="N411" s="22" t="s">
        <v>3474</v>
      </c>
      <c r="O411" s="23" t="s">
        <v>3475</v>
      </c>
      <c r="P411" s="22" t="s">
        <v>48</v>
      </c>
      <c r="Q411" s="50" t="s">
        <v>198</v>
      </c>
      <c r="R411" s="22" t="s">
        <v>3476</v>
      </c>
      <c r="S411" s="22" t="s">
        <v>51</v>
      </c>
      <c r="T411" s="22" t="s">
        <v>52</v>
      </c>
      <c r="U411" s="22" t="s">
        <v>52</v>
      </c>
      <c r="V411" s="22" t="s">
        <v>52</v>
      </c>
      <c r="W411" s="18">
        <v>45924.0</v>
      </c>
      <c r="X411" s="20">
        <v>0.4166666666666667</v>
      </c>
      <c r="Y411" s="18">
        <v>45924.0</v>
      </c>
      <c r="Z411" s="20">
        <v>0.3715277777777778</v>
      </c>
      <c r="AA411" s="20">
        <v>0.3888888888888889</v>
      </c>
      <c r="AB411" s="50" t="s">
        <v>3477</v>
      </c>
      <c r="AC411" s="50" t="s">
        <v>3478</v>
      </c>
      <c r="AD411" s="51">
        <v>0.6354166666666666</v>
      </c>
      <c r="AE411" s="18">
        <v>45924.0</v>
      </c>
      <c r="AF411" s="22" t="s">
        <v>2730</v>
      </c>
      <c r="AG411" s="22" t="s">
        <v>583</v>
      </c>
      <c r="AH411" s="22" t="s">
        <v>3479</v>
      </c>
      <c r="AI411" s="26" t="str">
        <f>IFERROR(__xludf.DUMMYFUNCTION("IF(OR(W411="""",X411="""",AE411="""",AD411=""""),"""",
   TEXT(
     (
       (AE411+AD411 + IF(AE411+AD411 &lt; W411+X411,1,0)) - (W411+X411)
     )
     - IF(AND(AB411&lt;&gt;"""",AC411&lt;&gt;""""), 
          SUM(ARRAYFORMULA(SPLIT(AC411,"","") - SPLIT(AB411,"",""))"&amp;"), 
          0
       ),
     ""[hh]:mm""
   )
)
"),"03:40")</f>
        <v>03:40</v>
      </c>
      <c r="AJ411" s="55">
        <f t="shared" si="9"/>
        <v>0</v>
      </c>
      <c r="AK411" s="28" t="str">
        <f t="shared" si="10"/>
        <v>Pass</v>
      </c>
    </row>
    <row r="412">
      <c r="A412" s="18">
        <v>45924.0</v>
      </c>
      <c r="B412" s="49">
        <v>0.3368055555555556</v>
      </c>
      <c r="C412" s="18">
        <v>45924.0</v>
      </c>
      <c r="D412" s="49">
        <v>0.3388888888888889</v>
      </c>
      <c r="E412" s="21" t="s">
        <v>3480</v>
      </c>
      <c r="F412" s="21" t="s">
        <v>3481</v>
      </c>
      <c r="G412" s="21" t="s">
        <v>3482</v>
      </c>
      <c r="H412" s="21" t="s">
        <v>3471</v>
      </c>
      <c r="I412" s="21" t="s">
        <v>815</v>
      </c>
      <c r="J412" s="21" t="s">
        <v>1084</v>
      </c>
      <c r="K412" s="21" t="s">
        <v>3472</v>
      </c>
      <c r="L412" s="21" t="s">
        <v>3473</v>
      </c>
      <c r="M412" s="21">
        <v>2.0230815316E10</v>
      </c>
      <c r="N412" s="21" t="s">
        <v>3483</v>
      </c>
      <c r="O412" s="48" t="s">
        <v>3484</v>
      </c>
      <c r="P412" s="21" t="s">
        <v>48</v>
      </c>
      <c r="Q412" s="24" t="s">
        <v>198</v>
      </c>
      <c r="R412" s="21" t="s">
        <v>3485</v>
      </c>
      <c r="S412" s="21" t="s">
        <v>51</v>
      </c>
      <c r="T412" s="21" t="s">
        <v>935</v>
      </c>
      <c r="U412" s="21" t="s">
        <v>3486</v>
      </c>
      <c r="V412" s="21" t="s">
        <v>3487</v>
      </c>
      <c r="W412" s="18">
        <v>45924.0</v>
      </c>
      <c r="X412" s="49">
        <v>0.4166666666666667</v>
      </c>
      <c r="Y412" s="18">
        <v>45924.0</v>
      </c>
      <c r="Z412" s="49">
        <v>0.4423611111111111</v>
      </c>
      <c r="AA412" s="49">
        <v>0.4444444444444444</v>
      </c>
      <c r="AB412" s="29"/>
      <c r="AC412" s="29"/>
      <c r="AD412" s="25">
        <v>0.5104166666666666</v>
      </c>
      <c r="AE412" s="45">
        <v>45924.0</v>
      </c>
      <c r="AF412" s="21" t="s">
        <v>2730</v>
      </c>
      <c r="AG412" s="21" t="s">
        <v>102</v>
      </c>
      <c r="AH412" s="21" t="s">
        <v>3488</v>
      </c>
      <c r="AI412" s="26" t="str">
        <f>IFERROR(__xludf.DUMMYFUNCTION("IF(OR(W412="""",X412="""",AE412="""",AD412=""""),"""",
   TEXT(
     (
       (AE412+AD412 + IF(AE412+AD412 &lt; W412+X412,1,0)) - (W412+X412)
     )
     - IF(AND(AB412&lt;&gt;"""",AC412&lt;&gt;""""), 
          SUM(ARRAYFORMULA(SPLIT(AC412,"","") - SPLIT(AB412,"",""))"&amp;"), 
          0
       ),
     ""[hh]:mm""
   )
)
"),"02:15")</f>
        <v>02:15</v>
      </c>
      <c r="AJ412" s="55">
        <f t="shared" si="9"/>
        <v>0</v>
      </c>
      <c r="AK412" s="28" t="str">
        <f t="shared" si="10"/>
        <v>Pass</v>
      </c>
    </row>
    <row r="413">
      <c r="A413" s="18">
        <v>45924.0</v>
      </c>
      <c r="B413" s="20">
        <v>0.3798611111111111</v>
      </c>
      <c r="C413" s="18">
        <v>45924.0</v>
      </c>
      <c r="D413" s="20">
        <v>0.3854166666666667</v>
      </c>
      <c r="E413" s="22" t="s">
        <v>3489</v>
      </c>
      <c r="F413" s="22" t="s">
        <v>3490</v>
      </c>
      <c r="G413" s="22" t="s">
        <v>3491</v>
      </c>
      <c r="H413" s="22" t="s">
        <v>318</v>
      </c>
      <c r="I413" s="22" t="s">
        <v>644</v>
      </c>
      <c r="J413" s="22" t="s">
        <v>644</v>
      </c>
      <c r="K413" s="22" t="s">
        <v>143</v>
      </c>
      <c r="L413" s="22" t="s">
        <v>3492</v>
      </c>
      <c r="M413" s="22" t="s">
        <v>3493</v>
      </c>
      <c r="N413" s="22" t="s">
        <v>3494</v>
      </c>
      <c r="O413" s="23" t="s">
        <v>3495</v>
      </c>
      <c r="P413" s="22" t="s">
        <v>75</v>
      </c>
      <c r="Q413" s="50" t="s">
        <v>65</v>
      </c>
      <c r="R413" s="22" t="s">
        <v>2926</v>
      </c>
      <c r="S413" s="22" t="s">
        <v>51</v>
      </c>
      <c r="T413" s="22" t="s">
        <v>3496</v>
      </c>
      <c r="U413" s="22" t="s">
        <v>3497</v>
      </c>
      <c r="V413" s="22" t="s">
        <v>3498</v>
      </c>
      <c r="W413" s="18">
        <v>45924.0</v>
      </c>
      <c r="X413" s="20">
        <v>0.3854166666666667</v>
      </c>
      <c r="Y413" s="18">
        <v>45924.0</v>
      </c>
      <c r="Z413" s="20">
        <v>0.5208333333333334</v>
      </c>
      <c r="AA413" s="20">
        <v>0.53125</v>
      </c>
      <c r="AB413" s="50" t="s">
        <v>3499</v>
      </c>
      <c r="AC413" s="50" t="s">
        <v>3500</v>
      </c>
      <c r="AD413" s="51">
        <v>0.875</v>
      </c>
      <c r="AE413" s="18">
        <v>45924.0</v>
      </c>
      <c r="AF413" s="22" t="s">
        <v>2744</v>
      </c>
      <c r="AG413" s="22" t="s">
        <v>3501</v>
      </c>
      <c r="AH413" s="22" t="s">
        <v>3502</v>
      </c>
      <c r="AI413" s="26" t="str">
        <f>IFERROR(__xludf.DUMMYFUNCTION("IF(OR(W413="""",X413="""",AE413="""",AD413=""""),"""",
   TEXT(
     (
       (AE413+AD413 + IF(AE413+AD413 &lt; W413+X413,1,0)) - (W413+X413)
     )
     - IF(AND(AB413&lt;&gt;"""",AC413&lt;&gt;""""), 
          SUM(ARRAYFORMULA(SPLIT(AC413,"","") - SPLIT(AB413,"",""))"&amp;"), 
          0
       ),
     ""[hh]:mm""
   )
)
"),"05:05")</f>
        <v>05:05</v>
      </c>
      <c r="AJ413" s="55">
        <f t="shared" si="9"/>
        <v>0</v>
      </c>
      <c r="AK413" s="28" t="str">
        <f t="shared" si="10"/>
        <v>Pass</v>
      </c>
    </row>
    <row r="414">
      <c r="A414" s="18">
        <v>45924.0</v>
      </c>
      <c r="B414" s="20">
        <v>0.39375</v>
      </c>
      <c r="C414" s="18">
        <v>45924.0</v>
      </c>
      <c r="D414" s="20">
        <v>0.4041666666666667</v>
      </c>
      <c r="E414" s="22" t="s">
        <v>3503</v>
      </c>
      <c r="F414" s="22" t="s">
        <v>1504</v>
      </c>
      <c r="G414" s="22" t="s">
        <v>1505</v>
      </c>
      <c r="H414" s="22" t="s">
        <v>3093</v>
      </c>
      <c r="I414" s="22" t="s">
        <v>856</v>
      </c>
      <c r="J414" s="22" t="s">
        <v>1084</v>
      </c>
      <c r="K414" s="22" t="s">
        <v>2912</v>
      </c>
      <c r="L414" s="22" t="s">
        <v>3504</v>
      </c>
      <c r="M414" s="22">
        <v>3.56053082428896E14</v>
      </c>
      <c r="N414" s="22" t="s">
        <v>3419</v>
      </c>
      <c r="O414" s="23" t="s">
        <v>3505</v>
      </c>
      <c r="P414" s="22" t="s">
        <v>48</v>
      </c>
      <c r="Q414" s="50" t="s">
        <v>198</v>
      </c>
      <c r="R414" s="22" t="s">
        <v>3506</v>
      </c>
      <c r="S414" s="22" t="s">
        <v>51</v>
      </c>
      <c r="T414" s="22" t="s">
        <v>52</v>
      </c>
      <c r="U414" s="22" t="s">
        <v>52</v>
      </c>
      <c r="V414" s="22" t="s">
        <v>52</v>
      </c>
      <c r="W414" s="18">
        <v>45924.0</v>
      </c>
      <c r="X414" s="20">
        <v>0.4041666666666667</v>
      </c>
      <c r="Y414" s="18">
        <v>45924.0</v>
      </c>
      <c r="Z414" s="20">
        <v>0.4097222222222222</v>
      </c>
      <c r="AA414" s="75">
        <v>0.4131944444444444</v>
      </c>
      <c r="AB414" s="54"/>
      <c r="AC414" s="54"/>
      <c r="AD414" s="51">
        <v>0.4270833333333333</v>
      </c>
      <c r="AE414" s="18">
        <v>45924.0</v>
      </c>
      <c r="AF414" s="22" t="s">
        <v>2730</v>
      </c>
      <c r="AG414" s="22" t="s">
        <v>1511</v>
      </c>
      <c r="AH414" s="22" t="s">
        <v>3507</v>
      </c>
      <c r="AI414" s="26" t="str">
        <f>IFERROR(__xludf.DUMMYFUNCTION("IF(OR(W414="""",X414="""",AE414="""",AD414=""""),"""",
   TEXT(
     (
       (AE414+AD414 + IF(AE414+AD414 &lt; W414+X414,1,0)) - (W414+X414)
     )
     - IF(AND(AB414&lt;&gt;"""",AC414&lt;&gt;""""), 
          SUM(ARRAYFORMULA(SPLIT(AC414,"","") - SPLIT(AB414,"",""))"&amp;"), 
          0
       ),
     ""[hh]:mm""
   )
)
"),"00:33")</f>
        <v>00:33</v>
      </c>
      <c r="AJ414" s="55">
        <f t="shared" si="9"/>
        <v>0</v>
      </c>
      <c r="AK414" s="28" t="str">
        <f t="shared" si="10"/>
        <v>Pass</v>
      </c>
    </row>
    <row r="415">
      <c r="A415" s="18">
        <v>45924.0</v>
      </c>
      <c r="B415" s="20">
        <v>0.59375</v>
      </c>
      <c r="C415" s="18">
        <v>45924.0</v>
      </c>
      <c r="D415" s="20">
        <v>0.5993055555555555</v>
      </c>
      <c r="E415" s="22" t="s">
        <v>3508</v>
      </c>
      <c r="F415" s="22" t="s">
        <v>1324</v>
      </c>
      <c r="G415" s="22" t="s">
        <v>1325</v>
      </c>
      <c r="H415" s="22" t="s">
        <v>2603</v>
      </c>
      <c r="I415" s="22" t="s">
        <v>1178</v>
      </c>
      <c r="J415" s="22" t="s">
        <v>1136</v>
      </c>
      <c r="K415" s="22" t="s">
        <v>61</v>
      </c>
      <c r="L415" s="22" t="s">
        <v>1179</v>
      </c>
      <c r="M415" s="22" t="s">
        <v>3509</v>
      </c>
      <c r="N415" s="22" t="s">
        <v>3510</v>
      </c>
      <c r="O415" s="23" t="s">
        <v>3511</v>
      </c>
      <c r="P415" s="22" t="s">
        <v>75</v>
      </c>
      <c r="Q415" s="50" t="s">
        <v>65</v>
      </c>
      <c r="R415" s="22" t="s">
        <v>3512</v>
      </c>
      <c r="S415" s="22" t="s">
        <v>51</v>
      </c>
      <c r="T415" s="22" t="s">
        <v>2637</v>
      </c>
      <c r="U415" s="22" t="s">
        <v>3513</v>
      </c>
      <c r="V415" s="22" t="s">
        <v>3509</v>
      </c>
      <c r="W415" s="18">
        <v>45924.0</v>
      </c>
      <c r="X415" s="20">
        <v>0.5993055555555555</v>
      </c>
      <c r="Y415" s="18">
        <v>45924.0</v>
      </c>
      <c r="Z415" s="20">
        <v>0.5833333333333334</v>
      </c>
      <c r="AA415" s="20">
        <v>0.5902777777777778</v>
      </c>
      <c r="AB415" s="50" t="s">
        <v>3514</v>
      </c>
      <c r="AC415" s="50" t="s">
        <v>3515</v>
      </c>
      <c r="AD415" s="51">
        <v>0.83125</v>
      </c>
      <c r="AE415" s="18">
        <v>45924.0</v>
      </c>
      <c r="AF415" s="22" t="s">
        <v>3516</v>
      </c>
      <c r="AG415" s="22" t="s">
        <v>293</v>
      </c>
      <c r="AH415" s="22" t="s">
        <v>3517</v>
      </c>
      <c r="AI415" s="26" t="str">
        <f>IFERROR(__xludf.DUMMYFUNCTION("IF(OR(W415="""",X415="""",AE415="""",AD415=""""),"""",
   TEXT(
     (
       (AE415+AD415 + IF(AE415+AD415 &lt; W415+X415,1,0)) - (W415+X415)
     )
     - IF(AND(AB415&lt;&gt;"""",AC415&lt;&gt;""""), 
          SUM(ARRAYFORMULA(SPLIT(AC415,"","") - SPLIT(AB415,"",""))"&amp;"), 
          0
       ),
     ""[hh]:mm""
   )
)
"),"00:52")</f>
        <v>00:52</v>
      </c>
      <c r="AJ415" s="55">
        <f t="shared" si="9"/>
        <v>0</v>
      </c>
      <c r="AK415" s="28" t="str">
        <f t="shared" si="10"/>
        <v>Pass</v>
      </c>
    </row>
    <row r="416">
      <c r="A416" s="18">
        <v>45924.0</v>
      </c>
      <c r="B416" s="20">
        <v>0.7180555555555556</v>
      </c>
      <c r="C416" s="18">
        <v>45924.0</v>
      </c>
      <c r="D416" s="20">
        <v>0.7277777777777777</v>
      </c>
      <c r="E416" s="22" t="s">
        <v>3518</v>
      </c>
      <c r="F416" s="22" t="s">
        <v>316</v>
      </c>
      <c r="G416" s="22" t="s">
        <v>317</v>
      </c>
      <c r="H416" s="22" t="s">
        <v>566</v>
      </c>
      <c r="I416" s="22" t="s">
        <v>644</v>
      </c>
      <c r="J416" s="22" t="s">
        <v>644</v>
      </c>
      <c r="K416" s="22" t="s">
        <v>333</v>
      </c>
      <c r="L416" s="22" t="s">
        <v>1441</v>
      </c>
      <c r="M416" s="22" t="s">
        <v>3519</v>
      </c>
      <c r="N416" s="22" t="s">
        <v>3520</v>
      </c>
      <c r="O416" s="23" t="s">
        <v>3521</v>
      </c>
      <c r="P416" s="22" t="s">
        <v>48</v>
      </c>
      <c r="Q416" s="50" t="s">
        <v>65</v>
      </c>
      <c r="R416" s="22" t="s">
        <v>3522</v>
      </c>
      <c r="S416" s="22" t="s">
        <v>51</v>
      </c>
      <c r="T416" s="22" t="s">
        <v>52</v>
      </c>
      <c r="U416" s="22" t="s">
        <v>52</v>
      </c>
      <c r="V416" s="22" t="s">
        <v>52</v>
      </c>
      <c r="W416" s="18">
        <v>45924.0</v>
      </c>
      <c r="X416" s="20">
        <v>0.7277777777777777</v>
      </c>
      <c r="Y416" s="18">
        <v>45924.0</v>
      </c>
      <c r="Z416" s="20">
        <v>0.7902777777777777</v>
      </c>
      <c r="AA416" s="20">
        <v>0.7916666666666666</v>
      </c>
      <c r="AB416" s="54"/>
      <c r="AC416" s="54"/>
      <c r="AD416" s="51">
        <v>0.8236111111111111</v>
      </c>
      <c r="AE416" s="18">
        <v>45924.0</v>
      </c>
      <c r="AF416" s="22" t="s">
        <v>2744</v>
      </c>
      <c r="AG416" s="22" t="s">
        <v>162</v>
      </c>
      <c r="AH416" s="22" t="s">
        <v>3523</v>
      </c>
      <c r="AI416" s="26" t="str">
        <f>IFERROR(__xludf.DUMMYFUNCTION("IF(OR(W416="""",X416="""",AE416="""",AD416=""""),"""",
   TEXT(
     (
       (AE416+AD416 + IF(AE416+AD416 &lt; W416+X416,1,0)) - (W416+X416)
     )
     - IF(AND(AB416&lt;&gt;"""",AC416&lt;&gt;""""), 
          SUM(ARRAYFORMULA(SPLIT(AC416,"","") - SPLIT(AB416,"",""))"&amp;"), 
          0
       ),
     ""[hh]:mm""
   )
)
"),"02:18")</f>
        <v>02:18</v>
      </c>
      <c r="AJ416" s="55">
        <f t="shared" si="9"/>
        <v>0</v>
      </c>
      <c r="AK416" s="28" t="str">
        <f t="shared" si="10"/>
        <v>Pass</v>
      </c>
    </row>
    <row r="417">
      <c r="A417" s="45">
        <v>45925.0</v>
      </c>
      <c r="B417" s="49">
        <v>0.3958333333333333</v>
      </c>
      <c r="C417" s="45">
        <v>45925.0</v>
      </c>
      <c r="D417" s="49">
        <v>0.39791666666666664</v>
      </c>
      <c r="E417" s="21" t="s">
        <v>3524</v>
      </c>
      <c r="F417" s="21" t="s">
        <v>251</v>
      </c>
      <c r="G417" s="21" t="s">
        <v>2150</v>
      </c>
      <c r="H417" s="21" t="s">
        <v>566</v>
      </c>
      <c r="I417" s="21" t="s">
        <v>856</v>
      </c>
      <c r="J417" s="21" t="s">
        <v>1084</v>
      </c>
      <c r="K417" s="21" t="s">
        <v>3525</v>
      </c>
      <c r="L417" s="21" t="s">
        <v>3526</v>
      </c>
      <c r="M417" s="21" t="s">
        <v>3527</v>
      </c>
      <c r="N417" s="21" t="s">
        <v>3528</v>
      </c>
      <c r="O417" s="48" t="s">
        <v>3529</v>
      </c>
      <c r="P417" s="21" t="s">
        <v>48</v>
      </c>
      <c r="Q417" s="24" t="s">
        <v>198</v>
      </c>
      <c r="R417" s="21" t="s">
        <v>3530</v>
      </c>
      <c r="S417" s="21" t="s">
        <v>51</v>
      </c>
      <c r="T417" s="21" t="s">
        <v>52</v>
      </c>
      <c r="U417" s="21" t="s">
        <v>52</v>
      </c>
      <c r="V417" s="21" t="s">
        <v>52</v>
      </c>
      <c r="W417" s="45">
        <v>45925.0</v>
      </c>
      <c r="X417" s="49">
        <v>0.39791666666666664</v>
      </c>
      <c r="Y417" s="45">
        <v>45925.0</v>
      </c>
      <c r="Z417" s="49">
        <v>0.48194444444444445</v>
      </c>
      <c r="AA417" s="49">
        <v>0.4847222222222222</v>
      </c>
      <c r="AB417" s="24" t="s">
        <v>3531</v>
      </c>
      <c r="AC417" s="24" t="s">
        <v>3532</v>
      </c>
      <c r="AD417" s="25">
        <v>0.625</v>
      </c>
      <c r="AE417" s="45">
        <v>45925.0</v>
      </c>
      <c r="AF417" s="21" t="s">
        <v>2730</v>
      </c>
      <c r="AG417" s="21" t="s">
        <v>313</v>
      </c>
      <c r="AH417" s="21" t="s">
        <v>3533</v>
      </c>
      <c r="AI417" s="26" t="str">
        <f>IFERROR(__xludf.DUMMYFUNCTION("IF(OR(W417="""",X417="""",AE417="""",AD417=""""),"""",
   TEXT(
     (
       (AE417+AD417 + IF(AE417+AD417 &lt; W417+X417,1,0)) - (W417+X417)
     )
     - IF(AND(AB417&lt;&gt;"""",AC417&lt;&gt;""""), 
          SUM(ARRAYFORMULA(SPLIT(AC417,"","") - SPLIT(AB417,"",""))"&amp;"), 
          0
       ),
     ""[hh]:mm""
   )
)
"),"03:00")</f>
        <v>03:00</v>
      </c>
      <c r="AJ417" s="55">
        <f t="shared" si="9"/>
        <v>0</v>
      </c>
      <c r="AK417" s="28" t="str">
        <f t="shared" si="10"/>
        <v>Pass</v>
      </c>
    </row>
    <row r="418">
      <c r="A418" s="45">
        <v>45925.0</v>
      </c>
      <c r="B418" s="49">
        <v>0.4270833333333333</v>
      </c>
      <c r="C418" s="45">
        <v>45925.0</v>
      </c>
      <c r="D418" s="49">
        <v>0.42916666666666664</v>
      </c>
      <c r="E418" s="21" t="s">
        <v>3534</v>
      </c>
      <c r="F418" s="21" t="s">
        <v>2702</v>
      </c>
      <c r="G418" s="21" t="s">
        <v>2703</v>
      </c>
      <c r="H418" s="21" t="s">
        <v>3535</v>
      </c>
      <c r="I418" s="21" t="s">
        <v>1326</v>
      </c>
      <c r="J418" s="21" t="s">
        <v>768</v>
      </c>
      <c r="K418" s="21" t="s">
        <v>769</v>
      </c>
      <c r="L418" s="21" t="s">
        <v>3536</v>
      </c>
      <c r="M418" s="21" t="s">
        <v>3537</v>
      </c>
      <c r="N418" s="21" t="s">
        <v>3538</v>
      </c>
      <c r="O418" s="48" t="s">
        <v>3539</v>
      </c>
      <c r="P418" s="21" t="s">
        <v>75</v>
      </c>
      <c r="Q418" s="24" t="s">
        <v>65</v>
      </c>
      <c r="R418" s="21" t="s">
        <v>3540</v>
      </c>
      <c r="S418" s="21" t="s">
        <v>51</v>
      </c>
      <c r="T418" s="21" t="s">
        <v>3541</v>
      </c>
      <c r="U418" s="21" t="s">
        <v>3542</v>
      </c>
      <c r="V418" s="21" t="s">
        <v>3537</v>
      </c>
      <c r="W418" s="45">
        <v>45925.0</v>
      </c>
      <c r="X418" s="49">
        <v>0.44583333333333336</v>
      </c>
      <c r="Y418" s="45">
        <v>45925.0</v>
      </c>
      <c r="Z418" s="49">
        <v>0.5916666666666667</v>
      </c>
      <c r="AA418" s="49">
        <v>0.5916666666666667</v>
      </c>
      <c r="AB418" s="25">
        <v>0.5958333333333333</v>
      </c>
      <c r="AC418" s="25">
        <v>0.6791666666666667</v>
      </c>
      <c r="AD418" s="25">
        <v>0.7020833333333333</v>
      </c>
      <c r="AE418" s="45">
        <v>45925.0</v>
      </c>
      <c r="AF418" s="21" t="s">
        <v>2819</v>
      </c>
      <c r="AG418" s="21" t="s">
        <v>293</v>
      </c>
      <c r="AH418" s="21" t="s">
        <v>3543</v>
      </c>
      <c r="AI418" s="26" t="str">
        <f>IFERROR(__xludf.DUMMYFUNCTION("IF(OR(W418="""",X418="""",AE418="""",AD418=""""),"""",
   TEXT(
     (
       (AE418+AD418 + IF(AE418+AD418 &lt; W418+X418,1,0)) - (W418+X418)
     )
     - IF(AND(AB418&lt;&gt;"""",AC418&lt;&gt;""""), 
          SUM(ARRAYFORMULA(SPLIT(AC418,"","") - SPLIT(AB418,"",""))"&amp;"), 
          0
       ),
     ""[hh]:mm""
   )
)
"),"04:09")</f>
        <v>04:09</v>
      </c>
      <c r="AJ418" s="55">
        <f t="shared" si="9"/>
        <v>0</v>
      </c>
      <c r="AK418" s="28" t="str">
        <f t="shared" si="10"/>
        <v>Pass</v>
      </c>
    </row>
    <row r="419">
      <c r="A419" s="45">
        <v>45925.0</v>
      </c>
      <c r="B419" s="49">
        <v>0.5888888888888889</v>
      </c>
      <c r="C419" s="45">
        <v>45925.0</v>
      </c>
      <c r="D419" s="49">
        <v>0.5951388888888889</v>
      </c>
      <c r="E419" s="21" t="s">
        <v>3544</v>
      </c>
      <c r="F419" s="21" t="s">
        <v>251</v>
      </c>
      <c r="G419" s="21" t="s">
        <v>2150</v>
      </c>
      <c r="H419" s="21" t="s">
        <v>142</v>
      </c>
      <c r="I419" s="21" t="s">
        <v>644</v>
      </c>
      <c r="J419" s="21" t="s">
        <v>644</v>
      </c>
      <c r="K419" s="21" t="s">
        <v>333</v>
      </c>
      <c r="L419" s="21" t="s">
        <v>3545</v>
      </c>
      <c r="M419" s="21" t="s">
        <v>3546</v>
      </c>
      <c r="N419" s="21" t="s">
        <v>3547</v>
      </c>
      <c r="O419" s="48" t="s">
        <v>3548</v>
      </c>
      <c r="P419" s="21" t="s">
        <v>187</v>
      </c>
      <c r="Q419" s="24" t="s">
        <v>65</v>
      </c>
      <c r="R419" s="21" t="s">
        <v>3549</v>
      </c>
      <c r="S419" s="21" t="s">
        <v>51</v>
      </c>
      <c r="T419" s="21" t="s">
        <v>52</v>
      </c>
      <c r="U419" s="21" t="s">
        <v>52</v>
      </c>
      <c r="V419" s="21" t="s">
        <v>52</v>
      </c>
      <c r="W419" s="45">
        <v>45925.0</v>
      </c>
      <c r="X419" s="49">
        <v>0.5951388888888889</v>
      </c>
      <c r="Y419" s="45">
        <v>45925.0</v>
      </c>
      <c r="Z419" s="49">
        <v>0.6305555555555555</v>
      </c>
      <c r="AA419" s="49">
        <v>0.6319444444444444</v>
      </c>
      <c r="AB419" s="29"/>
      <c r="AC419" s="29"/>
      <c r="AD419" s="25">
        <v>0.6875</v>
      </c>
      <c r="AE419" s="45">
        <v>45925.0</v>
      </c>
      <c r="AF419" s="21" t="s">
        <v>2744</v>
      </c>
      <c r="AG419" s="21" t="s">
        <v>313</v>
      </c>
      <c r="AH419" s="21" t="s">
        <v>3533</v>
      </c>
      <c r="AI419" s="26" t="str">
        <f>IFERROR(__xludf.DUMMYFUNCTION("IF(OR(W419="""",X419="""",AE419="""",AD419=""""),"""",
   TEXT(
     (
       (AE419+AD419 + IF(AE419+AD419 &lt; W419+X419,1,0)) - (W419+X419)
     )
     - IF(AND(AB419&lt;&gt;"""",AC419&lt;&gt;""""), 
          SUM(ARRAYFORMULA(SPLIT(AC419,"","") - SPLIT(AB419,"",""))"&amp;"), 
          0
       ),
     ""[hh]:mm""
   )
)
"),"02:13")</f>
        <v>02:13</v>
      </c>
      <c r="AJ419" s="55">
        <f t="shared" si="9"/>
        <v>0</v>
      </c>
      <c r="AK419" s="28" t="str">
        <f t="shared" si="10"/>
        <v>Pass</v>
      </c>
    </row>
    <row r="420">
      <c r="A420" s="45">
        <v>45925.0</v>
      </c>
      <c r="B420" s="49">
        <v>0.6090277777777777</v>
      </c>
      <c r="C420" s="45">
        <v>45925.0</v>
      </c>
      <c r="D420" s="49">
        <v>0.6180555555555556</v>
      </c>
      <c r="E420" s="21" t="s">
        <v>3550</v>
      </c>
      <c r="F420" s="21" t="s">
        <v>3551</v>
      </c>
      <c r="G420" s="21" t="s">
        <v>3552</v>
      </c>
      <c r="H420" s="21" t="s">
        <v>3553</v>
      </c>
      <c r="I420" s="21" t="s">
        <v>3554</v>
      </c>
      <c r="J420" s="21" t="s">
        <v>42</v>
      </c>
      <c r="K420" s="21" t="s">
        <v>3555</v>
      </c>
      <c r="L420" s="21" t="s">
        <v>3556</v>
      </c>
      <c r="M420" s="21" t="s">
        <v>3557</v>
      </c>
      <c r="N420" s="21" t="s">
        <v>3558</v>
      </c>
      <c r="O420" s="48" t="s">
        <v>3559</v>
      </c>
      <c r="P420" s="21" t="s">
        <v>75</v>
      </c>
      <c r="Q420" s="24" t="s">
        <v>65</v>
      </c>
      <c r="R420" s="21" t="s">
        <v>3560</v>
      </c>
      <c r="S420" s="21" t="s">
        <v>51</v>
      </c>
      <c r="T420" s="21" t="s">
        <v>52</v>
      </c>
      <c r="U420" s="21" t="s">
        <v>52</v>
      </c>
      <c r="V420" s="21" t="s">
        <v>52</v>
      </c>
      <c r="W420" s="45">
        <v>45925.0</v>
      </c>
      <c r="X420" s="49">
        <v>0.6180555555555556</v>
      </c>
      <c r="Y420" s="45">
        <v>45925.0</v>
      </c>
      <c r="Z420" s="49">
        <v>0.8222222222222222</v>
      </c>
      <c r="AA420" s="49">
        <v>0.8333333333333334</v>
      </c>
      <c r="AB420" s="29"/>
      <c r="AC420" s="29"/>
      <c r="AD420" s="25">
        <v>0.9097222222222222</v>
      </c>
      <c r="AE420" s="45">
        <v>45925.0</v>
      </c>
      <c r="AF420" s="21" t="s">
        <v>2744</v>
      </c>
      <c r="AG420" s="21" t="s">
        <v>583</v>
      </c>
      <c r="AH420" s="21" t="s">
        <v>3561</v>
      </c>
      <c r="AI420" s="26" t="str">
        <f>IFERROR(__xludf.DUMMYFUNCTION("IF(OR(W420="""",X420="""",AE420="""",AD420=""""),"""",
   TEXT(
     (
       (AE420+AD420 + IF(AE420+AD420 &lt; W420+X420,1,0)) - (W420+X420)
     )
     - IF(AND(AB420&lt;&gt;"""",AC420&lt;&gt;""""), 
          SUM(ARRAYFORMULA(SPLIT(AC420,"","") - SPLIT(AB420,"",""))"&amp;"), 
          0
       ),
     ""[hh]:mm""
   )
)
"),"07:00")</f>
        <v>07:00</v>
      </c>
      <c r="AJ420" s="55">
        <f t="shared" si="9"/>
        <v>0</v>
      </c>
      <c r="AK420" s="28" t="str">
        <f t="shared" si="10"/>
        <v>Pass</v>
      </c>
    </row>
    <row r="421">
      <c r="A421" s="45">
        <v>45925.0</v>
      </c>
      <c r="B421" s="49">
        <v>0.7263888888888889</v>
      </c>
      <c r="C421" s="45">
        <v>45925.0</v>
      </c>
      <c r="D421" s="49">
        <v>0.7326388888888888</v>
      </c>
      <c r="E421" s="21" t="s">
        <v>3562</v>
      </c>
      <c r="F421" s="21" t="s">
        <v>3232</v>
      </c>
      <c r="G421" s="21" t="s">
        <v>3563</v>
      </c>
      <c r="H421" s="21" t="s">
        <v>156</v>
      </c>
      <c r="I421" s="21" t="s">
        <v>131</v>
      </c>
      <c r="J421" s="21" t="s">
        <v>132</v>
      </c>
      <c r="K421" s="21" t="s">
        <v>43</v>
      </c>
      <c r="L421" s="21" t="s">
        <v>805</v>
      </c>
      <c r="M421" s="21" t="s">
        <v>3564</v>
      </c>
      <c r="N421" s="21" t="s">
        <v>3565</v>
      </c>
      <c r="O421" s="48" t="s">
        <v>3566</v>
      </c>
      <c r="P421" s="21" t="s">
        <v>75</v>
      </c>
      <c r="Q421" s="24" t="s">
        <v>65</v>
      </c>
      <c r="R421" s="21" t="s">
        <v>3567</v>
      </c>
      <c r="S421" s="21" t="s">
        <v>51</v>
      </c>
      <c r="T421" s="21" t="s">
        <v>657</v>
      </c>
      <c r="U421" s="21" t="s">
        <v>3568</v>
      </c>
      <c r="V421" s="21" t="s">
        <v>3564</v>
      </c>
      <c r="W421" s="45">
        <v>45925.0</v>
      </c>
      <c r="X421" s="49">
        <v>0.7326388888888888</v>
      </c>
      <c r="Y421" s="45">
        <v>45925.0</v>
      </c>
      <c r="Z421" s="49">
        <v>0.7847222222222222</v>
      </c>
      <c r="AA421" s="49">
        <v>0.7868055555555555</v>
      </c>
      <c r="AB421" s="29"/>
      <c r="AC421" s="29"/>
      <c r="AD421" s="25">
        <v>0.8</v>
      </c>
      <c r="AE421" s="45">
        <v>45925.0</v>
      </c>
      <c r="AF421" s="21" t="s">
        <v>2931</v>
      </c>
      <c r="AG421" s="21" t="s">
        <v>162</v>
      </c>
      <c r="AH421" s="21" t="s">
        <v>3569</v>
      </c>
      <c r="AI421" s="26" t="str">
        <f>IFERROR(__xludf.DUMMYFUNCTION("IF(OR(W421="""",X421="""",AE421="""",AD421=""""),"""",
   TEXT(
     (
       (AE421+AD421 + IF(AE421+AD421 &lt; W421+X421,1,0)) - (W421+X421)
     )
     - IF(AND(AB421&lt;&gt;"""",AC421&lt;&gt;""""), 
          SUM(ARRAYFORMULA(SPLIT(AC421,"","") - SPLIT(AB421,"",""))"&amp;"), 
          0
       ),
     ""[hh]:mm""
   )
)
"),"01:37")</f>
        <v>01:37</v>
      </c>
      <c r="AJ421" s="55">
        <f t="shared" si="9"/>
        <v>0</v>
      </c>
      <c r="AK421" s="28" t="str">
        <f t="shared" si="10"/>
        <v>Pass</v>
      </c>
    </row>
    <row r="422">
      <c r="A422" s="45">
        <v>45791.0</v>
      </c>
      <c r="B422" s="49">
        <v>0.4513888888888889</v>
      </c>
      <c r="C422" s="45">
        <v>45925.0</v>
      </c>
      <c r="D422" s="80">
        <v>0.6069444444444444</v>
      </c>
      <c r="E422" s="21" t="s">
        <v>3570</v>
      </c>
      <c r="F422" s="21" t="s">
        <v>3571</v>
      </c>
      <c r="G422" s="21" t="s">
        <v>3572</v>
      </c>
      <c r="H422" s="21" t="s">
        <v>3573</v>
      </c>
      <c r="I422" s="21" t="s">
        <v>3574</v>
      </c>
      <c r="J422" s="21" t="s">
        <v>42</v>
      </c>
      <c r="K422" s="47"/>
      <c r="L422" s="21" t="s">
        <v>3575</v>
      </c>
      <c r="M422" s="21" t="s">
        <v>3576</v>
      </c>
      <c r="N422" s="21" t="s">
        <v>3577</v>
      </c>
      <c r="O422" s="48" t="s">
        <v>3578</v>
      </c>
      <c r="P422" s="21" t="s">
        <v>75</v>
      </c>
      <c r="Q422" s="24" t="s">
        <v>49</v>
      </c>
      <c r="R422" s="21" t="s">
        <v>3579</v>
      </c>
      <c r="S422" s="21" t="s">
        <v>51</v>
      </c>
      <c r="T422" s="21" t="s">
        <v>169</v>
      </c>
      <c r="U422" s="21" t="s">
        <v>3580</v>
      </c>
      <c r="V422" s="21" t="s">
        <v>3576</v>
      </c>
      <c r="W422" s="45">
        <v>45926.0</v>
      </c>
      <c r="X422" s="49">
        <v>0.6388888888888888</v>
      </c>
      <c r="Y422" s="45">
        <v>45926.0</v>
      </c>
      <c r="Z422" s="49">
        <v>0.6854166666666667</v>
      </c>
      <c r="AA422" s="49">
        <v>0.6944444444444444</v>
      </c>
      <c r="AB422" s="29"/>
      <c r="AC422" s="29"/>
      <c r="AD422" s="25">
        <v>0.7986111111111112</v>
      </c>
      <c r="AE422" s="45">
        <v>45926.0</v>
      </c>
      <c r="AF422" s="21" t="s">
        <v>3581</v>
      </c>
      <c r="AG422" s="21" t="s">
        <v>583</v>
      </c>
      <c r="AH422" s="21" t="s">
        <v>3582</v>
      </c>
      <c r="AI422" s="62" t="str">
        <f>IFERROR(__xludf.DUMMYFUNCTION("IF(OR(W422="""",X422="""",AE422="""",AD422=""""),"""",
   TEXT(
     (
       (AE422+AD422 + IF(AE422+AD422 &lt; W422+X422,1,0)) - (W422+X422)
     )
     - IF(AND(AB422&lt;&gt;"""",AC422&lt;&gt;""""), 
          SUM(ARRAYFORMULA(SPLIT(AC422,"","") - SPLIT(AB422,"",""))"&amp;"), 
          0
       ),
     ""[hh]:mm""
   )
)
"),"03:50")</f>
        <v>03:50</v>
      </c>
      <c r="AJ422" s="27">
        <f t="shared" si="9"/>
        <v>0</v>
      </c>
      <c r="AK422" s="63" t="str">
        <f t="shared" si="10"/>
        <v>Pass</v>
      </c>
    </row>
    <row r="423">
      <c r="A423" s="45">
        <v>45854.0</v>
      </c>
      <c r="B423" s="49">
        <v>0.5965277777777778</v>
      </c>
      <c r="C423" s="45">
        <v>45854.0</v>
      </c>
      <c r="D423" s="49">
        <v>0.6236111111111111</v>
      </c>
      <c r="E423" s="21" t="s">
        <v>3583</v>
      </c>
      <c r="F423" s="21" t="s">
        <v>575</v>
      </c>
      <c r="G423" s="21" t="s">
        <v>3584</v>
      </c>
      <c r="H423" s="21" t="s">
        <v>3573</v>
      </c>
      <c r="I423" s="21" t="s">
        <v>3574</v>
      </c>
      <c r="J423" s="21" t="s">
        <v>42</v>
      </c>
      <c r="K423" s="21" t="s">
        <v>43</v>
      </c>
      <c r="L423" s="21" t="s">
        <v>3585</v>
      </c>
      <c r="M423" s="21" t="s">
        <v>3586</v>
      </c>
      <c r="N423" s="21" t="s">
        <v>3587</v>
      </c>
      <c r="O423" s="48" t="s">
        <v>3588</v>
      </c>
      <c r="P423" s="21" t="s">
        <v>75</v>
      </c>
      <c r="Q423" s="24" t="s">
        <v>49</v>
      </c>
      <c r="R423" s="21" t="s">
        <v>3589</v>
      </c>
      <c r="S423" s="21" t="s">
        <v>51</v>
      </c>
      <c r="T423" s="21" t="s">
        <v>169</v>
      </c>
      <c r="U423" s="21" t="s">
        <v>3586</v>
      </c>
      <c r="V423" s="21" t="s">
        <v>52</v>
      </c>
      <c r="W423" s="45">
        <v>45926.0</v>
      </c>
      <c r="X423" s="49">
        <v>0.3611111111111111</v>
      </c>
      <c r="Y423" s="45">
        <v>45926.0</v>
      </c>
      <c r="Z423" s="49">
        <v>0.5666666666666667</v>
      </c>
      <c r="AA423" s="49">
        <v>0.5694444444444444</v>
      </c>
      <c r="AB423" s="25">
        <v>0.5833333333333334</v>
      </c>
      <c r="AC423" s="25">
        <v>0.6354166666666666</v>
      </c>
      <c r="AD423" s="85">
        <v>0.6388888888888888</v>
      </c>
      <c r="AE423" s="45">
        <v>45926.0</v>
      </c>
      <c r="AF423" s="21" t="s">
        <v>3218</v>
      </c>
      <c r="AG423" s="21" t="s">
        <v>583</v>
      </c>
      <c r="AH423" s="21" t="s">
        <v>3590</v>
      </c>
      <c r="AI423" s="62" t="str">
        <f>IFERROR(__xludf.DUMMYFUNCTION("IF(OR(W423="""",X423="""",AE423="""",AD423=""""),"""",
   TEXT(
     (
       (AE423+AD423 + IF(AE423+AD423 &lt; W423+X423,1,0)) - (W423+X423)
     )
     - IF(AND(AB423&lt;&gt;"""",AC423&lt;&gt;""""), 
          SUM(ARRAYFORMULA(SPLIT(AC423,"","") - SPLIT(AB423,"",""))"&amp;"), 
          0
       ),
     ""[hh]:mm""
   )
)
"),"05:25")</f>
        <v>05:25</v>
      </c>
      <c r="AJ423" s="27">
        <f t="shared" si="9"/>
        <v>0.05902777778</v>
      </c>
      <c r="AK423" s="63" t="str">
        <f t="shared" si="10"/>
        <v>Fail</v>
      </c>
    </row>
    <row r="424">
      <c r="A424" s="45">
        <v>45926.0</v>
      </c>
      <c r="B424" s="49">
        <v>0.3215277777777778</v>
      </c>
      <c r="C424" s="45">
        <v>45926.0</v>
      </c>
      <c r="D424" s="49">
        <v>0.32430555555555557</v>
      </c>
      <c r="E424" s="21" t="s">
        <v>3591</v>
      </c>
      <c r="F424" s="21" t="s">
        <v>3481</v>
      </c>
      <c r="G424" s="21" t="s">
        <v>3482</v>
      </c>
      <c r="H424" s="21" t="s">
        <v>244</v>
      </c>
      <c r="I424" s="21" t="s">
        <v>60</v>
      </c>
      <c r="J424" s="21" t="s">
        <v>42</v>
      </c>
      <c r="K424" s="21" t="s">
        <v>43</v>
      </c>
      <c r="L424" s="21" t="s">
        <v>44</v>
      </c>
      <c r="M424" s="21" t="s">
        <v>3592</v>
      </c>
      <c r="N424" s="21" t="s">
        <v>3593</v>
      </c>
      <c r="O424" s="48" t="s">
        <v>3594</v>
      </c>
      <c r="P424" s="21" t="s">
        <v>48</v>
      </c>
      <c r="Q424" s="24" t="s">
        <v>49</v>
      </c>
      <c r="R424" s="21" t="s">
        <v>3595</v>
      </c>
      <c r="S424" s="21" t="s">
        <v>51</v>
      </c>
      <c r="T424" s="21" t="s">
        <v>52</v>
      </c>
      <c r="U424" s="21" t="s">
        <v>52</v>
      </c>
      <c r="V424" s="21" t="s">
        <v>52</v>
      </c>
      <c r="W424" s="45">
        <v>45926.0</v>
      </c>
      <c r="X424" s="49">
        <v>0.41458333333333336</v>
      </c>
      <c r="Y424" s="45">
        <v>45926.0</v>
      </c>
      <c r="Z424" s="49">
        <v>0.5104166666666666</v>
      </c>
      <c r="AA424" s="49">
        <v>0.5138888888888888</v>
      </c>
      <c r="AB424" s="25">
        <v>0.5625</v>
      </c>
      <c r="AC424" s="25">
        <v>0.5833333333333334</v>
      </c>
      <c r="AD424" s="25">
        <v>0.5833333333333334</v>
      </c>
      <c r="AE424" s="45">
        <v>45926.0</v>
      </c>
      <c r="AF424" s="21" t="s">
        <v>2819</v>
      </c>
      <c r="AG424" s="21" t="s">
        <v>102</v>
      </c>
      <c r="AH424" s="21" t="s">
        <v>3488</v>
      </c>
      <c r="AI424" s="62" t="str">
        <f>IFERROR(__xludf.DUMMYFUNCTION("IF(OR(W424="""",X424="""",AE424="""",AD424=""""),"""",
   TEXT(
     (
       (AE424+AD424 + IF(AE424+AD424 &lt; W424+X424,1,0)) - (W424+X424)
     )
     - IF(AND(AB424&lt;&gt;"""",AC424&lt;&gt;""""), 
          SUM(ARRAYFORMULA(SPLIT(AC424,"","") - SPLIT(AB424,"",""))"&amp;"), 
          0
       ),
     ""[hh]:mm""
   )
)
"),"03:33")</f>
        <v>03:33</v>
      </c>
      <c r="AJ424" s="27">
        <f t="shared" si="9"/>
        <v>0</v>
      </c>
      <c r="AK424" s="63" t="str">
        <f t="shared" si="10"/>
        <v>Pass</v>
      </c>
    </row>
    <row r="425">
      <c r="A425" s="45">
        <v>45926.0</v>
      </c>
      <c r="B425" s="49">
        <v>0.4444444444444444</v>
      </c>
      <c r="C425" s="45">
        <v>45926.0</v>
      </c>
      <c r="D425" s="49">
        <v>0.45416666666666666</v>
      </c>
      <c r="E425" s="21" t="s">
        <v>3596</v>
      </c>
      <c r="F425" s="21" t="s">
        <v>180</v>
      </c>
      <c r="G425" s="21" t="s">
        <v>181</v>
      </c>
      <c r="H425" s="21" t="s">
        <v>402</v>
      </c>
      <c r="I425" s="21" t="s">
        <v>60</v>
      </c>
      <c r="J425" s="21" t="s">
        <v>42</v>
      </c>
      <c r="K425" s="21" t="s">
        <v>1557</v>
      </c>
      <c r="L425" s="21" t="s">
        <v>3597</v>
      </c>
      <c r="M425" s="21" t="s">
        <v>184</v>
      </c>
      <c r="N425" s="21" t="s">
        <v>3598</v>
      </c>
      <c r="O425" s="48" t="s">
        <v>3599</v>
      </c>
      <c r="P425" s="21" t="s">
        <v>187</v>
      </c>
      <c r="Q425" s="24" t="s">
        <v>65</v>
      </c>
      <c r="R425" s="21" t="s">
        <v>3600</v>
      </c>
      <c r="S425" s="21" t="s">
        <v>51</v>
      </c>
      <c r="T425" s="21" t="s">
        <v>52</v>
      </c>
      <c r="U425" s="21" t="s">
        <v>52</v>
      </c>
      <c r="V425" s="21" t="s">
        <v>52</v>
      </c>
      <c r="W425" s="45">
        <v>45926.0</v>
      </c>
      <c r="X425" s="49">
        <v>0.45416666666666666</v>
      </c>
      <c r="Y425" s="45">
        <v>45926.0</v>
      </c>
      <c r="Z425" s="49">
        <v>0.5506944444444445</v>
      </c>
      <c r="AA425" s="49">
        <v>0.5555555555555556</v>
      </c>
      <c r="AB425" s="29"/>
      <c r="AC425" s="29"/>
      <c r="AD425" s="25">
        <v>0.5965277777777778</v>
      </c>
      <c r="AE425" s="45">
        <v>45926.0</v>
      </c>
      <c r="AF425" s="21" t="s">
        <v>2744</v>
      </c>
      <c r="AG425" s="21" t="s">
        <v>1117</v>
      </c>
      <c r="AH425" s="21" t="s">
        <v>3601</v>
      </c>
      <c r="AI425" s="62" t="str">
        <f>IFERROR(__xludf.DUMMYFUNCTION("IF(OR(W425="""",X425="""",AE425="""",AD425=""""),"""",
   TEXT(
     (
       (AE425+AD425 + IF(AE425+AD425 &lt; W425+X425,1,0)) - (W425+X425)
     )
     - IF(AND(AB425&lt;&gt;"""",AC425&lt;&gt;""""), 
          SUM(ARRAYFORMULA(SPLIT(AC425,"","") - SPLIT(AB425,"",""))"&amp;"), 
          0
       ),
     ""[hh]:mm""
   )
)
"),"03:25")</f>
        <v>03:25</v>
      </c>
      <c r="AJ425" s="27">
        <f t="shared" si="9"/>
        <v>0</v>
      </c>
      <c r="AK425" s="63" t="str">
        <f t="shared" si="10"/>
        <v>Pass</v>
      </c>
    </row>
    <row r="426">
      <c r="A426" s="45">
        <v>45926.0</v>
      </c>
      <c r="B426" s="49">
        <v>0.5201388888888889</v>
      </c>
      <c r="C426" s="45">
        <v>45926.0</v>
      </c>
      <c r="D426" s="49">
        <v>0.5208333333333334</v>
      </c>
      <c r="E426" s="21" t="s">
        <v>3602</v>
      </c>
      <c r="F426" s="21" t="s">
        <v>3603</v>
      </c>
      <c r="G426" s="21" t="s">
        <v>3604</v>
      </c>
      <c r="H426" s="21" t="s">
        <v>566</v>
      </c>
      <c r="I426" s="21" t="s">
        <v>1055</v>
      </c>
      <c r="J426" s="21" t="s">
        <v>1056</v>
      </c>
      <c r="K426" s="21" t="s">
        <v>635</v>
      </c>
      <c r="L426" s="21" t="s">
        <v>3605</v>
      </c>
      <c r="M426" s="21" t="s">
        <v>3606</v>
      </c>
      <c r="N426" s="21" t="s">
        <v>3607</v>
      </c>
      <c r="O426" s="48" t="s">
        <v>3608</v>
      </c>
      <c r="P426" s="21" t="s">
        <v>48</v>
      </c>
      <c r="Q426" s="24" t="s">
        <v>65</v>
      </c>
      <c r="R426" s="21" t="s">
        <v>3609</v>
      </c>
      <c r="S426" s="21" t="s">
        <v>51</v>
      </c>
      <c r="T426" s="21" t="s">
        <v>52</v>
      </c>
      <c r="U426" s="21" t="s">
        <v>52</v>
      </c>
      <c r="V426" s="21" t="s">
        <v>52</v>
      </c>
      <c r="W426" s="45">
        <v>45926.0</v>
      </c>
      <c r="X426" s="49">
        <v>0.5208333333333334</v>
      </c>
      <c r="Y426" s="45">
        <v>45926.0</v>
      </c>
      <c r="Z426" s="49">
        <v>0.5902777777777778</v>
      </c>
      <c r="AA426" s="49">
        <v>0.5916666666666667</v>
      </c>
      <c r="AB426" s="29"/>
      <c r="AC426" s="29"/>
      <c r="AD426" s="25">
        <v>0.625</v>
      </c>
      <c r="AE426" s="45">
        <v>45926.0</v>
      </c>
      <c r="AF426" s="21" t="s">
        <v>2819</v>
      </c>
      <c r="AG426" s="21" t="s">
        <v>162</v>
      </c>
      <c r="AH426" s="21" t="s">
        <v>3610</v>
      </c>
      <c r="AI426" s="62" t="str">
        <f>IFERROR(__xludf.DUMMYFUNCTION("IF(OR(W426="""",X426="""",AE426="""",AD426=""""),"""",
   TEXT(
     (
       (AE426+AD426 + IF(AE426+AD426 &lt; W426+X426,1,0)) - (W426+X426)
     )
     - IF(AND(AB426&lt;&gt;"""",AC426&lt;&gt;""""), 
          SUM(ARRAYFORMULA(SPLIT(AC426,"","") - SPLIT(AB426,"",""))"&amp;"), 
          0
       ),
     ""[hh]:mm""
   )
)
"),"02:30")</f>
        <v>02:30</v>
      </c>
      <c r="AJ426" s="27">
        <f t="shared" si="9"/>
        <v>0</v>
      </c>
      <c r="AK426" s="63" t="str">
        <f t="shared" si="10"/>
        <v>Pass</v>
      </c>
    </row>
    <row r="427">
      <c r="A427" s="45">
        <v>45926.0</v>
      </c>
      <c r="B427" s="49">
        <v>0.5145833333333333</v>
      </c>
      <c r="C427" s="45">
        <v>45926.0</v>
      </c>
      <c r="D427" s="49">
        <v>0.5173611111111112</v>
      </c>
      <c r="E427" s="21" t="s">
        <v>3611</v>
      </c>
      <c r="F427" s="21" t="s">
        <v>2309</v>
      </c>
      <c r="G427" s="21" t="s">
        <v>3612</v>
      </c>
      <c r="H427" s="21" t="s">
        <v>130</v>
      </c>
      <c r="I427" s="21" t="s">
        <v>60</v>
      </c>
      <c r="J427" s="21" t="s">
        <v>42</v>
      </c>
      <c r="K427" s="21" t="s">
        <v>61</v>
      </c>
      <c r="L427" s="21" t="s">
        <v>183</v>
      </c>
      <c r="M427" s="21" t="s">
        <v>3613</v>
      </c>
      <c r="N427" s="21" t="s">
        <v>3614</v>
      </c>
      <c r="O427" s="48" t="s">
        <v>3615</v>
      </c>
      <c r="P427" s="21" t="s">
        <v>75</v>
      </c>
      <c r="Q427" s="24" t="s">
        <v>49</v>
      </c>
      <c r="R427" s="21" t="s">
        <v>3616</v>
      </c>
      <c r="S427" s="21" t="s">
        <v>51</v>
      </c>
      <c r="T427" s="21" t="s">
        <v>52</v>
      </c>
      <c r="U427" s="21" t="s">
        <v>52</v>
      </c>
      <c r="V427" s="21" t="s">
        <v>52</v>
      </c>
      <c r="W427" s="45">
        <v>45926.0</v>
      </c>
      <c r="X427" s="49">
        <v>0.5145833333333333</v>
      </c>
      <c r="Y427" s="45">
        <v>45926.0</v>
      </c>
      <c r="Z427" s="49">
        <v>0.5486111111111112</v>
      </c>
      <c r="AA427" s="49">
        <v>0.5486111111111112</v>
      </c>
      <c r="AB427" s="29"/>
      <c r="AC427" s="29"/>
      <c r="AD427" s="25">
        <v>0.5847222222222223</v>
      </c>
      <c r="AE427" s="45">
        <v>45926.0</v>
      </c>
      <c r="AF427" s="21" t="s">
        <v>2819</v>
      </c>
      <c r="AG427" s="21" t="s">
        <v>3617</v>
      </c>
      <c r="AH427" s="21" t="s">
        <v>3618</v>
      </c>
      <c r="AI427" s="62" t="str">
        <f>IFERROR(__xludf.DUMMYFUNCTION("IF(OR(W427="""",X427="""",AE427="""",AD427=""""),"""",
   TEXT(
     (
       (AE427+AD427 + IF(AE427+AD427 &lt; W427+X427,1,0)) - (W427+X427)
     )
     - IF(AND(AB427&lt;&gt;"""",AC427&lt;&gt;""""), 
          SUM(ARRAYFORMULA(SPLIT(AC427,"","") - SPLIT(AB427,"",""))"&amp;"), 
          0
       ),
     ""[hh]:mm""
   )
)
"),"01:41")</f>
        <v>01:41</v>
      </c>
      <c r="AJ427" s="27">
        <f t="shared" si="9"/>
        <v>0</v>
      </c>
      <c r="AK427" s="63" t="str">
        <f t="shared" si="10"/>
        <v>Pass</v>
      </c>
    </row>
    <row r="428">
      <c r="A428" s="45">
        <v>45926.0</v>
      </c>
      <c r="B428" s="49">
        <v>0.5145833333333333</v>
      </c>
      <c r="C428" s="45">
        <v>45926.0</v>
      </c>
      <c r="D428" s="49">
        <v>0.5173611111111112</v>
      </c>
      <c r="E428" s="21" t="s">
        <v>3619</v>
      </c>
      <c r="F428" s="21" t="s">
        <v>2309</v>
      </c>
      <c r="G428" s="21" t="s">
        <v>3612</v>
      </c>
      <c r="H428" s="21" t="s">
        <v>130</v>
      </c>
      <c r="I428" s="21" t="s">
        <v>234</v>
      </c>
      <c r="J428" s="21" t="s">
        <v>42</v>
      </c>
      <c r="K428" s="21" t="s">
        <v>61</v>
      </c>
      <c r="L428" s="21" t="s">
        <v>183</v>
      </c>
      <c r="M428" s="21" t="s">
        <v>3620</v>
      </c>
      <c r="N428" s="21" t="s">
        <v>3318</v>
      </c>
      <c r="O428" s="48" t="s">
        <v>3621</v>
      </c>
      <c r="P428" s="21" t="s">
        <v>75</v>
      </c>
      <c r="Q428" s="24" t="s">
        <v>49</v>
      </c>
      <c r="R428" s="21" t="s">
        <v>3616</v>
      </c>
      <c r="S428" s="21" t="s">
        <v>51</v>
      </c>
      <c r="T428" s="21" t="s">
        <v>52</v>
      </c>
      <c r="U428" s="21" t="s">
        <v>52</v>
      </c>
      <c r="V428" s="21" t="s">
        <v>52</v>
      </c>
      <c r="W428" s="45">
        <v>45926.0</v>
      </c>
      <c r="X428" s="49">
        <v>0.5145833333333333</v>
      </c>
      <c r="Y428" s="45">
        <v>45926.0</v>
      </c>
      <c r="Z428" s="49">
        <v>0.5486111111111112</v>
      </c>
      <c r="AA428" s="49">
        <v>0.5486111111111112</v>
      </c>
      <c r="AB428" s="29"/>
      <c r="AC428" s="29"/>
      <c r="AD428" s="25">
        <v>0.5847222222222223</v>
      </c>
      <c r="AE428" s="45">
        <v>45926.0</v>
      </c>
      <c r="AF428" s="21" t="s">
        <v>2744</v>
      </c>
      <c r="AG428" s="21" t="s">
        <v>3617</v>
      </c>
      <c r="AH428" s="21" t="s">
        <v>3618</v>
      </c>
      <c r="AI428" s="62" t="str">
        <f>IFERROR(__xludf.DUMMYFUNCTION("IF(OR(W428="""",X428="""",AE428="""",AD428=""""),"""",
   TEXT(
     (
       (AE428+AD428 + IF(AE428+AD428 &lt; W428+X428,1,0)) - (W428+X428)
     )
     - IF(AND(AB428&lt;&gt;"""",AC428&lt;&gt;""""), 
          SUM(ARRAYFORMULA(SPLIT(AC428,"","") - SPLIT(AB428,"",""))"&amp;"), 
          0
       ),
     ""[hh]:mm""
   )
)
"),"01:41")</f>
        <v>01:41</v>
      </c>
      <c r="AJ428" s="27">
        <f t="shared" si="9"/>
        <v>0</v>
      </c>
      <c r="AK428" s="63" t="str">
        <f t="shared" si="10"/>
        <v>Pass</v>
      </c>
    </row>
    <row r="429">
      <c r="A429" s="45">
        <v>45910.0</v>
      </c>
      <c r="B429" s="49">
        <v>0.50625</v>
      </c>
      <c r="C429" s="45">
        <v>45911.0</v>
      </c>
      <c r="D429" s="80">
        <v>0.3034722222222222</v>
      </c>
      <c r="E429" s="21" t="s">
        <v>3622</v>
      </c>
      <c r="F429" s="21" t="s">
        <v>278</v>
      </c>
      <c r="G429" s="21" t="s">
        <v>3623</v>
      </c>
      <c r="H429" s="21" t="s">
        <v>1287</v>
      </c>
      <c r="I429" s="21" t="s">
        <v>616</v>
      </c>
      <c r="J429" s="21" t="s">
        <v>132</v>
      </c>
      <c r="K429" s="21" t="s">
        <v>61</v>
      </c>
      <c r="L429" s="21" t="s">
        <v>3624</v>
      </c>
      <c r="M429" s="21" t="s">
        <v>3625</v>
      </c>
      <c r="N429" s="21" t="s">
        <v>3626</v>
      </c>
      <c r="O429" s="48" t="s">
        <v>3627</v>
      </c>
      <c r="P429" s="21" t="s">
        <v>75</v>
      </c>
      <c r="Q429" s="24" t="s">
        <v>65</v>
      </c>
      <c r="R429" s="21" t="s">
        <v>3628</v>
      </c>
      <c r="S429" s="21" t="s">
        <v>51</v>
      </c>
      <c r="T429" s="21" t="s">
        <v>657</v>
      </c>
      <c r="U429" s="21" t="s">
        <v>3629</v>
      </c>
      <c r="V429" s="21" t="s">
        <v>3630</v>
      </c>
      <c r="W429" s="45">
        <v>45926.0</v>
      </c>
      <c r="X429" s="49">
        <v>0.5625</v>
      </c>
      <c r="Y429" s="45">
        <v>45926.0</v>
      </c>
      <c r="Z429" s="49">
        <v>0.5694444444444444</v>
      </c>
      <c r="AA429" s="49">
        <v>0.5729166666666666</v>
      </c>
      <c r="AB429" s="29"/>
      <c r="AC429" s="29"/>
      <c r="AD429" s="25">
        <v>0.6666666666666666</v>
      </c>
      <c r="AE429" s="45">
        <v>45926.0</v>
      </c>
      <c r="AF429" s="21" t="s">
        <v>3358</v>
      </c>
      <c r="AG429" s="21" t="s">
        <v>284</v>
      </c>
      <c r="AH429" s="21" t="s">
        <v>3631</v>
      </c>
      <c r="AI429" s="62" t="str">
        <f>IFERROR(__xludf.DUMMYFUNCTION("IF(OR(W429="""",X429="""",AE429="""",AD429=""""),"""",
   TEXT(
     (
       (AE429+AD429 + IF(AE429+AD429 &lt; W429+X429,1,0)) - (W429+X429)
     )
     - IF(AND(AB429&lt;&gt;"""",AC429&lt;&gt;""""), 
          SUM(ARRAYFORMULA(SPLIT(AC429,"","") - SPLIT(AB429,"",""))"&amp;"), 
          0
       ),
     ""[hh]:mm""
   )
)
"),"02:30")</f>
        <v>02:30</v>
      </c>
      <c r="AJ429" s="27">
        <f t="shared" si="9"/>
        <v>0</v>
      </c>
      <c r="AK429" s="63" t="str">
        <f t="shared" si="10"/>
        <v>Pass</v>
      </c>
    </row>
    <row r="430">
      <c r="A430" s="45">
        <v>45919.0</v>
      </c>
      <c r="B430" s="49">
        <v>0.45</v>
      </c>
      <c r="C430" s="45">
        <v>45919.0</v>
      </c>
      <c r="D430" s="49">
        <v>0.4652777777777778</v>
      </c>
      <c r="E430" s="21" t="s">
        <v>3632</v>
      </c>
      <c r="F430" s="21" t="s">
        <v>3633</v>
      </c>
      <c r="G430" s="21" t="s">
        <v>3634</v>
      </c>
      <c r="H430" s="21" t="s">
        <v>1744</v>
      </c>
      <c r="I430" s="21" t="s">
        <v>1745</v>
      </c>
      <c r="J430" s="21" t="s">
        <v>1745</v>
      </c>
      <c r="K430" s="21" t="s">
        <v>635</v>
      </c>
      <c r="L430" s="21" t="s">
        <v>3635</v>
      </c>
      <c r="M430" s="21">
        <v>3.55758533346833E14</v>
      </c>
      <c r="N430" s="21" t="s">
        <v>3636</v>
      </c>
      <c r="O430" s="48" t="s">
        <v>3637</v>
      </c>
      <c r="P430" s="21" t="s">
        <v>75</v>
      </c>
      <c r="Q430" s="24" t="s">
        <v>198</v>
      </c>
      <c r="R430" s="21" t="s">
        <v>3638</v>
      </c>
      <c r="S430" s="21" t="s">
        <v>51</v>
      </c>
      <c r="T430" s="21" t="s">
        <v>52</v>
      </c>
      <c r="U430" s="21" t="s">
        <v>52</v>
      </c>
      <c r="V430" s="21" t="s">
        <v>52</v>
      </c>
      <c r="W430" s="45">
        <v>45926.0</v>
      </c>
      <c r="X430" s="49">
        <v>0.4652777777777778</v>
      </c>
      <c r="Y430" s="45">
        <v>45926.0</v>
      </c>
      <c r="Z430" s="49">
        <v>0.5166666666666667</v>
      </c>
      <c r="AA430" s="49">
        <v>0.5291666666666667</v>
      </c>
      <c r="AB430" s="29"/>
      <c r="AC430" s="29"/>
      <c r="AD430" s="25">
        <v>0.5486111111111112</v>
      </c>
      <c r="AE430" s="45">
        <v>45926.0</v>
      </c>
      <c r="AF430" s="21" t="s">
        <v>2730</v>
      </c>
      <c r="AG430" s="21" t="s">
        <v>113</v>
      </c>
      <c r="AH430" s="21" t="s">
        <v>3639</v>
      </c>
      <c r="AI430" s="62" t="str">
        <f>IFERROR(__xludf.DUMMYFUNCTION("IF(OR(W430="""",X430="""",AE430="""",AD430=""""),"""",
   TEXT(
     (
       (AE430+AD430 + IF(AE430+AD430 &lt; W430+X430,1,0)) - (W430+X430)
     )
     - IF(AND(AB430&lt;&gt;"""",AC430&lt;&gt;""""), 
          SUM(ARRAYFORMULA(SPLIT(AC430,"","") - SPLIT(AB430,"",""))"&amp;"), 
          0
       ),
     ""[hh]:mm""
   )
)
"),"02:00")</f>
        <v>02:00</v>
      </c>
      <c r="AJ430" s="27">
        <f t="shared" si="9"/>
        <v>0</v>
      </c>
      <c r="AK430" s="63" t="str">
        <f t="shared" si="10"/>
        <v>Pass</v>
      </c>
    </row>
    <row r="431">
      <c r="A431" s="45">
        <v>45926.0</v>
      </c>
      <c r="B431" s="49">
        <v>0.6208333333333333</v>
      </c>
      <c r="C431" s="45">
        <v>45926.0</v>
      </c>
      <c r="D431" s="49">
        <v>0.6277777777777778</v>
      </c>
      <c r="E431" s="21" t="s">
        <v>3640</v>
      </c>
      <c r="F431" s="21" t="s">
        <v>3490</v>
      </c>
      <c r="G431" s="21" t="s">
        <v>3641</v>
      </c>
      <c r="H431" s="21" t="s">
        <v>343</v>
      </c>
      <c r="I431" s="21" t="s">
        <v>644</v>
      </c>
      <c r="J431" s="21" t="s">
        <v>644</v>
      </c>
      <c r="K431" s="21" t="s">
        <v>143</v>
      </c>
      <c r="L431" s="21" t="s">
        <v>1498</v>
      </c>
      <c r="M431" s="21" t="s">
        <v>3493</v>
      </c>
      <c r="N431" s="21" t="s">
        <v>3642</v>
      </c>
      <c r="O431" s="48" t="s">
        <v>3643</v>
      </c>
      <c r="P431" s="21" t="s">
        <v>187</v>
      </c>
      <c r="Q431" s="24" t="s">
        <v>65</v>
      </c>
      <c r="R431" s="21" t="s">
        <v>3644</v>
      </c>
      <c r="S431" s="21" t="s">
        <v>51</v>
      </c>
      <c r="T431" s="21" t="s">
        <v>52</v>
      </c>
      <c r="U431" s="21" t="s">
        <v>52</v>
      </c>
      <c r="V431" s="21" t="s">
        <v>52</v>
      </c>
      <c r="W431" s="45">
        <v>45926.0</v>
      </c>
      <c r="X431" s="49">
        <v>0.6277777777777778</v>
      </c>
      <c r="Y431" s="45">
        <v>45926.0</v>
      </c>
      <c r="Z431" s="49">
        <v>0.7083333333333334</v>
      </c>
      <c r="AA431" s="49">
        <v>0.7090277777777778</v>
      </c>
      <c r="AB431" s="29"/>
      <c r="AC431" s="29"/>
      <c r="AD431" s="25">
        <v>0.7326388888888888</v>
      </c>
      <c r="AE431" s="45">
        <v>45926.0</v>
      </c>
      <c r="AF431" s="21" t="s">
        <v>2719</v>
      </c>
      <c r="AG431" s="21" t="s">
        <v>67</v>
      </c>
      <c r="AH431" s="21" t="s">
        <v>3645</v>
      </c>
      <c r="AI431" s="62" t="str">
        <f>IFERROR(__xludf.DUMMYFUNCTION("IF(OR(W431="""",X431="""",AE431="""",AD431=""""),"""",
   TEXT(
     (
       (AE431+AD431 + IF(AE431+AD431 &lt; W431+X431,1,0)) - (W431+X431)
     )
     - IF(AND(AB431&lt;&gt;"""",AC431&lt;&gt;""""), 
          SUM(ARRAYFORMULA(SPLIT(AC431,"","") - SPLIT(AB431,"",""))"&amp;"), 
          0
       ),
     ""[hh]:mm""
   )
)
"),"02:31")</f>
        <v>02:31</v>
      </c>
      <c r="AJ431" s="27">
        <f t="shared" si="9"/>
        <v>0</v>
      </c>
      <c r="AK431" s="63" t="str">
        <f t="shared" si="10"/>
        <v>Pass</v>
      </c>
    </row>
    <row r="432">
      <c r="A432" s="45">
        <v>45926.0</v>
      </c>
      <c r="B432" s="49">
        <v>0.6729166666666667</v>
      </c>
      <c r="C432" s="45">
        <v>45926.0</v>
      </c>
      <c r="D432" s="49">
        <v>0.6763888888888889</v>
      </c>
      <c r="E432" s="21" t="s">
        <v>3646</v>
      </c>
      <c r="F432" s="21" t="s">
        <v>3647</v>
      </c>
      <c r="G432" s="21" t="s">
        <v>3648</v>
      </c>
      <c r="H432" s="21" t="s">
        <v>3471</v>
      </c>
      <c r="I432" s="21" t="s">
        <v>95</v>
      </c>
      <c r="J432" s="21" t="s">
        <v>95</v>
      </c>
      <c r="K432" s="21" t="s">
        <v>143</v>
      </c>
      <c r="L432" s="21" t="s">
        <v>144</v>
      </c>
      <c r="M432" s="21" t="s">
        <v>3649</v>
      </c>
      <c r="N432" s="21" t="s">
        <v>3650</v>
      </c>
      <c r="O432" s="48" t="s">
        <v>3651</v>
      </c>
      <c r="P432" s="21" t="s">
        <v>187</v>
      </c>
      <c r="Q432" s="24" t="s">
        <v>49</v>
      </c>
      <c r="R432" s="21" t="s">
        <v>3652</v>
      </c>
      <c r="S432" s="21" t="s">
        <v>51</v>
      </c>
      <c r="T432" s="21" t="s">
        <v>52</v>
      </c>
      <c r="U432" s="21" t="s">
        <v>52</v>
      </c>
      <c r="V432" s="21" t="s">
        <v>52</v>
      </c>
      <c r="W432" s="45">
        <v>45926.0</v>
      </c>
      <c r="X432" s="49">
        <v>0.6763888888888889</v>
      </c>
      <c r="Y432" s="45">
        <v>45926.0</v>
      </c>
      <c r="Z432" s="49">
        <v>0.7243055555555555</v>
      </c>
      <c r="AA432" s="49">
        <v>0.7256944444444444</v>
      </c>
      <c r="AB432" s="29"/>
      <c r="AC432" s="29"/>
      <c r="AD432" s="25">
        <v>0.7638888888888888</v>
      </c>
      <c r="AE432" s="45">
        <v>45926.0</v>
      </c>
      <c r="AF432" s="21" t="s">
        <v>2719</v>
      </c>
      <c r="AG432" s="21" t="s">
        <v>102</v>
      </c>
      <c r="AH432" s="21" t="s">
        <v>3653</v>
      </c>
      <c r="AI432" s="62" t="str">
        <f>IFERROR(__xludf.DUMMYFUNCTION("IF(OR(W432="""",X432="""",AE432="""",AD432=""""),"""",
   TEXT(
     (
       (AE432+AD432 + IF(AE432+AD432 &lt; W432+X432,1,0)) - (W432+X432)
     )
     - IF(AND(AB432&lt;&gt;"""",AC432&lt;&gt;""""), 
          SUM(ARRAYFORMULA(SPLIT(AC432,"","") - SPLIT(AB432,"",""))"&amp;"), 
          0
       ),
     ""[hh]:mm""
   )
)
"),"02:06")</f>
        <v>02:06</v>
      </c>
      <c r="AJ432" s="27">
        <f t="shared" si="9"/>
        <v>0</v>
      </c>
      <c r="AK432" s="63" t="str">
        <f t="shared" si="10"/>
        <v>Pass</v>
      </c>
    </row>
    <row r="433">
      <c r="A433" s="18">
        <v>45926.0</v>
      </c>
      <c r="B433" s="20">
        <v>0.6868055555555556</v>
      </c>
      <c r="C433" s="18">
        <v>45926.0</v>
      </c>
      <c r="D433" s="20">
        <v>0.6902777777777778</v>
      </c>
      <c r="E433" s="22" t="s">
        <v>3654</v>
      </c>
      <c r="F433" s="22" t="s">
        <v>3655</v>
      </c>
      <c r="G433" s="22" t="s">
        <v>3656</v>
      </c>
      <c r="H433" s="22" t="s">
        <v>566</v>
      </c>
      <c r="I433" s="22" t="s">
        <v>234</v>
      </c>
      <c r="J433" s="22" t="s">
        <v>42</v>
      </c>
      <c r="K433" s="22" t="s">
        <v>61</v>
      </c>
      <c r="L433" s="22" t="s">
        <v>183</v>
      </c>
      <c r="M433" s="22" t="s">
        <v>3657</v>
      </c>
      <c r="N433" s="22" t="s">
        <v>3658</v>
      </c>
      <c r="O433" s="23" t="s">
        <v>3659</v>
      </c>
      <c r="P433" s="22" t="s">
        <v>48</v>
      </c>
      <c r="Q433" s="50" t="s">
        <v>65</v>
      </c>
      <c r="R433" s="22" t="s">
        <v>3660</v>
      </c>
      <c r="S433" s="22" t="s">
        <v>51</v>
      </c>
      <c r="T433" s="22" t="s">
        <v>52</v>
      </c>
      <c r="U433" s="22" t="s">
        <v>52</v>
      </c>
      <c r="V433" s="22" t="s">
        <v>52</v>
      </c>
      <c r="W433" s="18">
        <v>45927.0</v>
      </c>
      <c r="X433" s="20">
        <v>0.4583333333333333</v>
      </c>
      <c r="Y433" s="18">
        <v>45927.0</v>
      </c>
      <c r="Z433" s="20">
        <v>0.46875</v>
      </c>
      <c r="AA433" s="20">
        <v>0.4791666666666667</v>
      </c>
      <c r="AB433" s="54"/>
      <c r="AC433" s="54"/>
      <c r="AD433" s="51">
        <v>0.5347222222222222</v>
      </c>
      <c r="AE433" s="18">
        <v>45927.0</v>
      </c>
      <c r="AF433" s="22" t="s">
        <v>2828</v>
      </c>
      <c r="AG433" s="22" t="s">
        <v>593</v>
      </c>
      <c r="AH433" s="22" t="s">
        <v>3661</v>
      </c>
      <c r="AI433" s="26" t="str">
        <f>IFERROR(__xludf.DUMMYFUNCTION("IF(OR(W433="""",X433="""",AE433="""",AD433=""""),"""",
   TEXT(
     (
       (AE433+AD433 + IF(AE433+AD433 &lt; W433+X433,1,0)) - (W433+X433)
     )
     - IF(AND(AB433&lt;&gt;"""",AC433&lt;&gt;""""), 
          SUM(ARRAYFORMULA(SPLIT(AC433,"","") - SPLIT(AB433,"",""))"&amp;"), 
          0
       ),
     ""[hh]:mm""
   )
)
"),"01:50")</f>
        <v>01:50</v>
      </c>
      <c r="AJ433" s="55">
        <f t="shared" si="9"/>
        <v>0</v>
      </c>
      <c r="AK433" s="28" t="str">
        <f t="shared" si="10"/>
        <v>Pass</v>
      </c>
    </row>
    <row r="434">
      <c r="A434" s="18">
        <v>45927.0</v>
      </c>
      <c r="B434" s="20">
        <v>0.43680555555555556</v>
      </c>
      <c r="C434" s="18">
        <v>45927.0</v>
      </c>
      <c r="D434" s="20">
        <v>0.44722222222222224</v>
      </c>
      <c r="E434" s="22" t="s">
        <v>3662</v>
      </c>
      <c r="F434" s="22" t="s">
        <v>3633</v>
      </c>
      <c r="G434" s="22" t="s">
        <v>3634</v>
      </c>
      <c r="H434" s="22" t="s">
        <v>244</v>
      </c>
      <c r="I434" s="22" t="s">
        <v>95</v>
      </c>
      <c r="J434" s="22" t="s">
        <v>95</v>
      </c>
      <c r="K434" s="22" t="s">
        <v>386</v>
      </c>
      <c r="L434" s="22" t="s">
        <v>3663</v>
      </c>
      <c r="M434" s="22" t="s">
        <v>3664</v>
      </c>
      <c r="N434" s="22" t="s">
        <v>3665</v>
      </c>
      <c r="O434" s="23" t="s">
        <v>3666</v>
      </c>
      <c r="P434" s="22" t="s">
        <v>48</v>
      </c>
      <c r="Q434" s="50" t="s">
        <v>49</v>
      </c>
      <c r="R434" s="22" t="s">
        <v>3667</v>
      </c>
      <c r="S434" s="22" t="s">
        <v>51</v>
      </c>
      <c r="T434" s="22" t="s">
        <v>52</v>
      </c>
      <c r="U434" s="22" t="s">
        <v>52</v>
      </c>
      <c r="V434" s="22" t="s">
        <v>52</v>
      </c>
      <c r="W434" s="18">
        <v>45927.0</v>
      </c>
      <c r="X434" s="20">
        <v>0.44722222222222224</v>
      </c>
      <c r="Y434" s="18">
        <v>45927.0</v>
      </c>
      <c r="Z434" s="20">
        <v>0.5097222222222222</v>
      </c>
      <c r="AA434" s="20">
        <v>0.5097222222222222</v>
      </c>
      <c r="AB434" s="54"/>
      <c r="AC434" s="54"/>
      <c r="AD434" s="51">
        <v>0.5416666666666666</v>
      </c>
      <c r="AE434" s="18">
        <v>45927.0</v>
      </c>
      <c r="AF434" s="22" t="s">
        <v>2931</v>
      </c>
      <c r="AG434" s="22" t="s">
        <v>1321</v>
      </c>
      <c r="AH434" s="22" t="s">
        <v>3668</v>
      </c>
      <c r="AI434" s="26" t="str">
        <f>IFERROR(__xludf.DUMMYFUNCTION("IF(OR(W434="""",X434="""",AE434="""",AD434=""""),"""",
   TEXT(
     (
       (AE434+AD434 + IF(AE434+AD434 &lt; W434+X434,1,0)) - (W434+X434)
     )
     - IF(AND(AB434&lt;&gt;"""",AC434&lt;&gt;""""), 
          SUM(ARRAYFORMULA(SPLIT(AC434,"","") - SPLIT(AB434,"",""))"&amp;"), 
          0
       ),
     ""[hh]:mm""
   )
)
"),"02:16")</f>
        <v>02:16</v>
      </c>
      <c r="AJ434" s="55">
        <f t="shared" si="9"/>
        <v>0</v>
      </c>
      <c r="AK434" s="28" t="str">
        <f t="shared" si="10"/>
        <v>Pass</v>
      </c>
    </row>
    <row r="435">
      <c r="A435" s="45">
        <v>45927.0</v>
      </c>
      <c r="B435" s="49">
        <v>0.9284722222222223</v>
      </c>
      <c r="C435" s="45">
        <v>45928.0</v>
      </c>
      <c r="D435" s="80">
        <v>0.34444444444444444</v>
      </c>
      <c r="E435" s="21" t="s">
        <v>3669</v>
      </c>
      <c r="F435" s="21" t="s">
        <v>1485</v>
      </c>
      <c r="G435" s="21" t="s">
        <v>1486</v>
      </c>
      <c r="H435" s="21" t="s">
        <v>855</v>
      </c>
      <c r="I435" s="21" t="s">
        <v>3670</v>
      </c>
      <c r="J435" s="21" t="s">
        <v>644</v>
      </c>
      <c r="K435" s="21" t="s">
        <v>3671</v>
      </c>
      <c r="L435" s="21" t="s">
        <v>3672</v>
      </c>
      <c r="M435" s="21" t="s">
        <v>52</v>
      </c>
      <c r="N435" s="21" t="s">
        <v>3673</v>
      </c>
      <c r="O435" s="48" t="s">
        <v>3674</v>
      </c>
      <c r="P435" s="21" t="s">
        <v>48</v>
      </c>
      <c r="Q435" s="24" t="s">
        <v>65</v>
      </c>
      <c r="R435" s="21" t="s">
        <v>3675</v>
      </c>
      <c r="S435" s="21" t="s">
        <v>51</v>
      </c>
      <c r="T435" s="21" t="s">
        <v>52</v>
      </c>
      <c r="U435" s="21" t="s">
        <v>52</v>
      </c>
      <c r="V435" s="21" t="s">
        <v>52</v>
      </c>
      <c r="W435" s="45">
        <v>45928.0</v>
      </c>
      <c r="X435" s="49">
        <v>0.34444444444444444</v>
      </c>
      <c r="Y435" s="45">
        <v>45928.0</v>
      </c>
      <c r="Z435" s="49">
        <v>0.4583333333333333</v>
      </c>
      <c r="AA435" s="49">
        <v>0.4652777777777778</v>
      </c>
      <c r="AB435" s="25">
        <v>0.4791666666666667</v>
      </c>
      <c r="AC435" s="25">
        <v>0.5</v>
      </c>
      <c r="AD435" s="85">
        <v>0.5</v>
      </c>
      <c r="AE435" s="45">
        <v>45928.0</v>
      </c>
      <c r="AF435" s="21" t="s">
        <v>2711</v>
      </c>
      <c r="AG435" s="21" t="s">
        <v>1492</v>
      </c>
      <c r="AH435" s="21" t="s">
        <v>1493</v>
      </c>
      <c r="AI435" s="62" t="str">
        <f>IFERROR(__xludf.DUMMYFUNCTION("IF(OR(W435="""",X435="""",AE435="""",AD435=""""),"""",
   TEXT(
     (
       (AE435+AD435 + IF(AE435+AD435 &lt; W435+X435,1,0)) - (W435+X435)
     )
     - IF(AND(AB435&lt;&gt;"""",AC435&lt;&gt;""""), 
          SUM(ARRAYFORMULA(SPLIT(AC435,"","") - SPLIT(AB435,"",""))"&amp;"), 
          0
       ),
     ""[hh]:mm""
   )
)
"),"03:14")</f>
        <v>03:14</v>
      </c>
      <c r="AJ435" s="27">
        <f t="shared" si="9"/>
        <v>0</v>
      </c>
      <c r="AK435" s="63" t="str">
        <f t="shared" si="10"/>
        <v>Pass</v>
      </c>
    </row>
    <row r="436">
      <c r="A436" s="45">
        <v>45928.0</v>
      </c>
      <c r="B436" s="49">
        <v>0.46944444444444444</v>
      </c>
      <c r="C436" s="45">
        <v>45928.0</v>
      </c>
      <c r="D436" s="49">
        <v>0.48055555555555557</v>
      </c>
      <c r="E436" s="21" t="s">
        <v>3676</v>
      </c>
      <c r="F436" s="21" t="s">
        <v>2831</v>
      </c>
      <c r="G436" s="21" t="s">
        <v>2832</v>
      </c>
      <c r="H436" s="21" t="s">
        <v>746</v>
      </c>
      <c r="I436" s="21" t="s">
        <v>1632</v>
      </c>
      <c r="J436" s="21" t="s">
        <v>1136</v>
      </c>
      <c r="K436" s="21" t="s">
        <v>61</v>
      </c>
      <c r="L436" s="21" t="s">
        <v>1179</v>
      </c>
      <c r="M436" s="21" t="s">
        <v>3677</v>
      </c>
      <c r="N436" s="21" t="s">
        <v>1633</v>
      </c>
      <c r="O436" s="48" t="s">
        <v>3678</v>
      </c>
      <c r="P436" s="21" t="s">
        <v>75</v>
      </c>
      <c r="Q436" s="24" t="s">
        <v>65</v>
      </c>
      <c r="R436" s="21" t="s">
        <v>3679</v>
      </c>
      <c r="S436" s="21" t="s">
        <v>51</v>
      </c>
      <c r="T436" s="21" t="s">
        <v>52</v>
      </c>
      <c r="U436" s="21" t="s">
        <v>52</v>
      </c>
      <c r="V436" s="21" t="s">
        <v>52</v>
      </c>
      <c r="W436" s="45">
        <v>45928.0</v>
      </c>
      <c r="X436" s="49">
        <v>0.48055555555555557</v>
      </c>
      <c r="Y436" s="45">
        <v>45928.0</v>
      </c>
      <c r="Z436" s="49">
        <v>0.5798611111111112</v>
      </c>
      <c r="AA436" s="49">
        <v>0.5833333333333334</v>
      </c>
      <c r="AB436" s="29"/>
      <c r="AC436" s="29"/>
      <c r="AD436" s="25">
        <v>0.5972222222222222</v>
      </c>
      <c r="AE436" s="45">
        <v>45928.0</v>
      </c>
      <c r="AF436" s="21" t="s">
        <v>2931</v>
      </c>
      <c r="AG436" s="21" t="s">
        <v>54</v>
      </c>
      <c r="AH436" s="21" t="s">
        <v>3680</v>
      </c>
      <c r="AI436" s="62" t="str">
        <f>IFERROR(__xludf.DUMMYFUNCTION("IF(OR(W436="""",X436="""",AE436="""",AD436=""""),"""",
   TEXT(
     (
       (AE436+AD436 + IF(AE436+AD436 &lt; W436+X436,1,0)) - (W436+X436)
     )
     - IF(AND(AB436&lt;&gt;"""",AC436&lt;&gt;""""), 
          SUM(ARRAYFORMULA(SPLIT(AC436,"","") - SPLIT(AB436,"",""))"&amp;"), 
          0
       ),
     ""[hh]:mm""
   )
)
"),"02:48")</f>
        <v>02:48</v>
      </c>
      <c r="AJ436" s="27">
        <f t="shared" si="9"/>
        <v>0</v>
      </c>
      <c r="AK436" s="63" t="str">
        <f t="shared" si="10"/>
        <v>Pass</v>
      </c>
    </row>
    <row r="437">
      <c r="A437" s="45">
        <v>45928.0</v>
      </c>
      <c r="B437" s="49">
        <v>0.6590277777777778</v>
      </c>
      <c r="C437" s="45">
        <v>45928.0</v>
      </c>
      <c r="D437" s="49">
        <v>0.6645833333333333</v>
      </c>
      <c r="E437" s="21" t="s">
        <v>3681</v>
      </c>
      <c r="F437" s="21" t="s">
        <v>1448</v>
      </c>
      <c r="G437" s="21" t="s">
        <v>3682</v>
      </c>
      <c r="H437" s="21" t="s">
        <v>3683</v>
      </c>
      <c r="I437" s="21" t="s">
        <v>234</v>
      </c>
      <c r="J437" s="21" t="s">
        <v>42</v>
      </c>
      <c r="K437" s="21" t="s">
        <v>61</v>
      </c>
      <c r="L437" s="21" t="s">
        <v>183</v>
      </c>
      <c r="M437" s="21" t="s">
        <v>3684</v>
      </c>
      <c r="N437" s="21" t="s">
        <v>3685</v>
      </c>
      <c r="O437" s="48" t="s">
        <v>3686</v>
      </c>
      <c r="P437" s="21" t="s">
        <v>75</v>
      </c>
      <c r="Q437" s="24" t="s">
        <v>65</v>
      </c>
      <c r="R437" s="21" t="s">
        <v>3687</v>
      </c>
      <c r="S437" s="21" t="s">
        <v>51</v>
      </c>
      <c r="T437" s="21" t="s">
        <v>52</v>
      </c>
      <c r="U437" s="21" t="s">
        <v>52</v>
      </c>
      <c r="V437" s="21" t="s">
        <v>52</v>
      </c>
      <c r="W437" s="45">
        <v>45928.0</v>
      </c>
      <c r="X437" s="49">
        <v>0.6645833333333333</v>
      </c>
      <c r="Y437" s="45">
        <v>45928.0</v>
      </c>
      <c r="Z437" s="49">
        <v>0.71875</v>
      </c>
      <c r="AA437" s="49">
        <v>0.7222222222222222</v>
      </c>
      <c r="AB437" s="25">
        <v>0.7430555555555556</v>
      </c>
      <c r="AC437" s="25">
        <v>0.7638888888888888</v>
      </c>
      <c r="AD437" s="25">
        <v>0.7638888888888888</v>
      </c>
      <c r="AE437" s="45">
        <v>45928.0</v>
      </c>
      <c r="AF437" s="21" t="s">
        <v>2971</v>
      </c>
      <c r="AG437" s="21" t="s">
        <v>54</v>
      </c>
      <c r="AH437" s="21" t="s">
        <v>1455</v>
      </c>
      <c r="AI437" s="62" t="str">
        <f>IFERROR(__xludf.DUMMYFUNCTION("IF(OR(W437="""",X437="""",AE437="""",AD437=""""),"""",
   TEXT(
     (
       (AE437+AD437 + IF(AE437+AD437 &lt; W437+X437,1,0)) - (W437+X437)
     )
     - IF(AND(AB437&lt;&gt;"""",AC437&lt;&gt;""""), 
          SUM(ARRAYFORMULA(SPLIT(AC437,"","") - SPLIT(AB437,"",""))"&amp;"), 
          0
       ),
     ""[hh]:mm""
   )
)
"),"01:53")</f>
        <v>01:53</v>
      </c>
      <c r="AJ437" s="27">
        <f t="shared" si="9"/>
        <v>0</v>
      </c>
      <c r="AK437" s="63" t="str">
        <f t="shared" si="10"/>
        <v>Pass</v>
      </c>
    </row>
    <row r="438">
      <c r="A438" s="45">
        <v>45929.0</v>
      </c>
      <c r="B438" s="49">
        <v>0.28055555555555556</v>
      </c>
      <c r="C438" s="45">
        <v>45929.0</v>
      </c>
      <c r="D438" s="49">
        <v>0.34791666666666665</v>
      </c>
      <c r="E438" s="21" t="s">
        <v>3688</v>
      </c>
      <c r="F438" s="21" t="s">
        <v>3241</v>
      </c>
      <c r="G438" s="21" t="s">
        <v>3242</v>
      </c>
      <c r="H438" s="21" t="s">
        <v>855</v>
      </c>
      <c r="I438" s="21" t="s">
        <v>95</v>
      </c>
      <c r="J438" s="21" t="s">
        <v>95</v>
      </c>
      <c r="K438" s="21" t="s">
        <v>143</v>
      </c>
      <c r="L438" s="21" t="s">
        <v>3689</v>
      </c>
      <c r="M438" s="21">
        <v>4.3399141888E10</v>
      </c>
      <c r="N438" s="21" t="s">
        <v>3690</v>
      </c>
      <c r="O438" s="48" t="s">
        <v>3691</v>
      </c>
      <c r="P438" s="21" t="s">
        <v>48</v>
      </c>
      <c r="Q438" s="24" t="s">
        <v>49</v>
      </c>
      <c r="R438" s="21" t="s">
        <v>3692</v>
      </c>
      <c r="S438" s="21" t="s">
        <v>51</v>
      </c>
      <c r="T438" s="21" t="s">
        <v>52</v>
      </c>
      <c r="U438" s="21" t="s">
        <v>52</v>
      </c>
      <c r="V438" s="21" t="s">
        <v>52</v>
      </c>
      <c r="W438" s="45">
        <v>45929.0</v>
      </c>
      <c r="X438" s="49">
        <v>0.34791666666666665</v>
      </c>
      <c r="Y438" s="45">
        <v>45929.0</v>
      </c>
      <c r="Z438" s="49">
        <v>0.4375</v>
      </c>
      <c r="AA438" s="49">
        <v>0.4409722222222222</v>
      </c>
      <c r="AB438" s="24" t="s">
        <v>3693</v>
      </c>
      <c r="AC438" s="24" t="s">
        <v>3694</v>
      </c>
      <c r="AD438" s="25">
        <v>0.6041666666666666</v>
      </c>
      <c r="AE438" s="45">
        <v>45929.0</v>
      </c>
      <c r="AF438" s="21" t="s">
        <v>3218</v>
      </c>
      <c r="AG438" s="21" t="s">
        <v>3695</v>
      </c>
      <c r="AH438" s="21" t="s">
        <v>3696</v>
      </c>
      <c r="AI438" s="62" t="str">
        <f>IFERROR(__xludf.DUMMYFUNCTION("IF(OR(W438="""",X438="""",AE438="""",AD438=""""),"""",
   TEXT(
     (
       (AE438+AD438 + IF(AE438+AD438 &lt; W438+X438,1,0)) - (W438+X438)
     )
     - IF(AND(AB438&lt;&gt;"""",AC438&lt;&gt;""""), 
          SUM(ARRAYFORMULA(SPLIT(AC438,"","") - SPLIT(AB438,"",""))"&amp;"), 
          0
       ),
     ""[hh]:mm""
   )
)
"),"03:59")</f>
        <v>03:59</v>
      </c>
      <c r="AJ438" s="27">
        <f t="shared" si="9"/>
        <v>0</v>
      </c>
      <c r="AK438" s="63" t="str">
        <f t="shared" si="10"/>
        <v>Pass</v>
      </c>
    </row>
    <row r="439">
      <c r="A439" s="45">
        <v>45929.0</v>
      </c>
      <c r="B439" s="49">
        <v>0.3770833333333333</v>
      </c>
      <c r="C439" s="45">
        <v>45929.0</v>
      </c>
      <c r="D439" s="49">
        <v>0.38263888888888886</v>
      </c>
      <c r="E439" s="21" t="s">
        <v>3697</v>
      </c>
      <c r="F439" s="21" t="s">
        <v>180</v>
      </c>
      <c r="G439" s="21" t="s">
        <v>181</v>
      </c>
      <c r="H439" s="21" t="s">
        <v>182</v>
      </c>
      <c r="I439" s="21" t="s">
        <v>60</v>
      </c>
      <c r="J439" s="21" t="s">
        <v>42</v>
      </c>
      <c r="K439" s="21" t="s">
        <v>61</v>
      </c>
      <c r="L439" s="21" t="s">
        <v>84</v>
      </c>
      <c r="M439" s="21" t="s">
        <v>2524</v>
      </c>
      <c r="N439" s="21" t="s">
        <v>3698</v>
      </c>
      <c r="O439" s="48" t="s">
        <v>3699</v>
      </c>
      <c r="P439" s="21" t="s">
        <v>75</v>
      </c>
      <c r="Q439" s="24" t="s">
        <v>65</v>
      </c>
      <c r="R439" s="21" t="s">
        <v>3700</v>
      </c>
      <c r="S439" s="21" t="s">
        <v>51</v>
      </c>
      <c r="T439" s="21" t="s">
        <v>52</v>
      </c>
      <c r="U439" s="21" t="s">
        <v>52</v>
      </c>
      <c r="V439" s="21" t="s">
        <v>52</v>
      </c>
      <c r="W439" s="45">
        <v>45929.0</v>
      </c>
      <c r="X439" s="49">
        <v>0.38263888888888886</v>
      </c>
      <c r="Y439" s="45">
        <v>45929.0</v>
      </c>
      <c r="Z439" s="49">
        <v>0.475</v>
      </c>
      <c r="AA439" s="49">
        <v>0.475</v>
      </c>
      <c r="AB439" s="29"/>
      <c r="AC439" s="29"/>
      <c r="AD439" s="25">
        <v>0.7222222222222222</v>
      </c>
      <c r="AE439" s="45">
        <v>45929.0</v>
      </c>
      <c r="AF439" s="21" t="s">
        <v>2931</v>
      </c>
      <c r="AG439" s="21" t="s">
        <v>3701</v>
      </c>
      <c r="AH439" s="21" t="s">
        <v>189</v>
      </c>
      <c r="AI439" s="62" t="str">
        <f>IFERROR(__xludf.DUMMYFUNCTION("IF(OR(W439="""",X439="""",AE439="""",AD439=""""),"""",
   TEXT(
     (
       (AE439+AD439 + IF(AE439+AD439 &lt; W439+X439,1,0)) - (W439+X439)
     )
     - IF(AND(AB439&lt;&gt;"""",AC439&lt;&gt;""""), 
          SUM(ARRAYFORMULA(SPLIT(AC439,"","") - SPLIT(AB439,"",""))"&amp;"), 
          0
       ),
     ""[hh]:mm""
   )
)
"),"08:09")</f>
        <v>08:09</v>
      </c>
      <c r="AJ439" s="27">
        <f t="shared" si="9"/>
        <v>0</v>
      </c>
      <c r="AK439" s="63" t="str">
        <f t="shared" si="10"/>
        <v>Pass</v>
      </c>
    </row>
    <row r="440">
      <c r="A440" s="18">
        <v>45929.0</v>
      </c>
      <c r="B440" s="20">
        <v>0.37916666666666665</v>
      </c>
      <c r="C440" s="18">
        <v>45929.0</v>
      </c>
      <c r="D440" s="20">
        <v>0.38819444444444445</v>
      </c>
      <c r="E440" s="22" t="s">
        <v>3702</v>
      </c>
      <c r="F440" s="22" t="s">
        <v>251</v>
      </c>
      <c r="G440" s="22" t="s">
        <v>1717</v>
      </c>
      <c r="H440" s="22" t="s">
        <v>746</v>
      </c>
      <c r="I440" s="22" t="s">
        <v>2651</v>
      </c>
      <c r="J440" s="22" t="s">
        <v>1136</v>
      </c>
      <c r="K440" s="22" t="s">
        <v>43</v>
      </c>
      <c r="L440" s="22" t="s">
        <v>1666</v>
      </c>
      <c r="M440" s="22">
        <v>2.02406280274E11</v>
      </c>
      <c r="N440" s="22" t="s">
        <v>3703</v>
      </c>
      <c r="O440" s="23" t="s">
        <v>3704</v>
      </c>
      <c r="P440" s="22" t="s">
        <v>75</v>
      </c>
      <c r="Q440" s="50" t="s">
        <v>49</v>
      </c>
      <c r="R440" s="22" t="s">
        <v>3705</v>
      </c>
      <c r="S440" s="22" t="s">
        <v>51</v>
      </c>
      <c r="T440" s="22" t="s">
        <v>52</v>
      </c>
      <c r="U440" s="22" t="s">
        <v>52</v>
      </c>
      <c r="V440" s="22" t="s">
        <v>52</v>
      </c>
      <c r="W440" s="18">
        <v>45929.0</v>
      </c>
      <c r="X440" s="20">
        <v>0.4263888888888889</v>
      </c>
      <c r="Y440" s="18">
        <v>45929.0</v>
      </c>
      <c r="Z440" s="75">
        <v>0.45694444444444443</v>
      </c>
      <c r="AA440" s="20">
        <v>0.4597222222222222</v>
      </c>
      <c r="AB440" s="54"/>
      <c r="AC440" s="54"/>
      <c r="AD440" s="51">
        <v>0.5555555555555556</v>
      </c>
      <c r="AE440" s="18">
        <v>45929.0</v>
      </c>
      <c r="AF440" s="22" t="s">
        <v>2839</v>
      </c>
      <c r="AG440" s="22" t="s">
        <v>313</v>
      </c>
      <c r="AH440" s="22" t="s">
        <v>417</v>
      </c>
      <c r="AI440" s="62" t="str">
        <f>IFERROR(__xludf.DUMMYFUNCTION("IF(OR(W440="""",X440="""",AE440="""",AD440=""""),"""",
   TEXT(
     (
       (AE440+AD440 + IF(AE440+AD440 &lt; W440+X440,1,0)) - (W440+X440)
     )
     - IF(AND(AB440&lt;&gt;"""",AC440&lt;&gt;""""), 
          SUM(ARRAYFORMULA(SPLIT(AC440,"","") - SPLIT(AB440,"",""))"&amp;"), 
          0
       ),
     ""[hh]:mm""
   )
)
"),"03:06")</f>
        <v>03:06</v>
      </c>
      <c r="AJ440" s="27">
        <f t="shared" si="9"/>
        <v>0</v>
      </c>
      <c r="AK440" s="63" t="str">
        <f t="shared" si="10"/>
        <v>Pass</v>
      </c>
    </row>
    <row r="441">
      <c r="A441" s="45">
        <v>45918.0</v>
      </c>
      <c r="B441" s="49">
        <v>0.9993055555555556</v>
      </c>
      <c r="C441" s="45">
        <v>45919.0</v>
      </c>
      <c r="D441" s="80">
        <v>0.3020833333333333</v>
      </c>
      <c r="E441" s="21" t="s">
        <v>3706</v>
      </c>
      <c r="F441" s="21" t="s">
        <v>3707</v>
      </c>
      <c r="G441" s="21" t="s">
        <v>3708</v>
      </c>
      <c r="H441" s="21" t="s">
        <v>182</v>
      </c>
      <c r="I441" s="21" t="s">
        <v>2185</v>
      </c>
      <c r="J441" s="21" t="s">
        <v>644</v>
      </c>
      <c r="K441" s="21" t="s">
        <v>143</v>
      </c>
      <c r="L441" s="21" t="s">
        <v>1592</v>
      </c>
      <c r="M441" s="21" t="s">
        <v>3709</v>
      </c>
      <c r="N441" s="21" t="s">
        <v>3710</v>
      </c>
      <c r="O441" s="48" t="s">
        <v>3711</v>
      </c>
      <c r="P441" s="21" t="s">
        <v>187</v>
      </c>
      <c r="Q441" s="24" t="s">
        <v>65</v>
      </c>
      <c r="R441" s="21" t="s">
        <v>3712</v>
      </c>
      <c r="S441" s="21" t="s">
        <v>51</v>
      </c>
      <c r="T441" s="21" t="s">
        <v>52</v>
      </c>
      <c r="U441" s="21" t="s">
        <v>52</v>
      </c>
      <c r="V441" s="21" t="s">
        <v>52</v>
      </c>
      <c r="W441" s="45">
        <v>45929.0</v>
      </c>
      <c r="X441" s="49">
        <v>0.6743055555555556</v>
      </c>
      <c r="Y441" s="45">
        <v>45929.0</v>
      </c>
      <c r="Z441" s="49">
        <v>0.7458333333333333</v>
      </c>
      <c r="AA441" s="49">
        <v>0.7486111111111111</v>
      </c>
      <c r="AB441" s="29"/>
      <c r="AC441" s="29"/>
      <c r="AD441" s="25">
        <v>0.7847222222222222</v>
      </c>
      <c r="AE441" s="45">
        <v>45929.0</v>
      </c>
      <c r="AF441" s="21" t="s">
        <v>2931</v>
      </c>
      <c r="AG441" s="21" t="s">
        <v>3713</v>
      </c>
      <c r="AH441" s="21" t="s">
        <v>3714</v>
      </c>
      <c r="AI441" s="62" t="str">
        <f>IFERROR(__xludf.DUMMYFUNCTION("IF(OR(W441="""",X441="""",AE441="""",AD441=""""),"""",
   TEXT(
     (
       (AE441+AD441 + IF(AE441+AD441 &lt; W441+X441,1,0)) - (W441+X441)
     )
     - IF(AND(AB441&lt;&gt;"""",AC441&lt;&gt;""""), 
          SUM(ARRAYFORMULA(SPLIT(AC441,"","") - SPLIT(AB441,"",""))"&amp;"), 
          0
       ),
     ""[hh]:mm""
   )
)
"),"02:39")</f>
        <v>02:39</v>
      </c>
      <c r="AJ441" s="27">
        <f t="shared" si="9"/>
        <v>0</v>
      </c>
      <c r="AK441" s="63" t="str">
        <f t="shared" si="10"/>
        <v>Pass</v>
      </c>
    </row>
    <row r="442">
      <c r="A442" s="45">
        <v>45921.0</v>
      </c>
      <c r="B442" s="49">
        <v>0.675</v>
      </c>
      <c r="C442" s="45">
        <v>45921.0</v>
      </c>
      <c r="D442" s="49">
        <v>0.6847222222222222</v>
      </c>
      <c r="E442" s="21" t="s">
        <v>3715</v>
      </c>
      <c r="F442" s="21" t="s">
        <v>3082</v>
      </c>
      <c r="G442" s="21" t="s">
        <v>3083</v>
      </c>
      <c r="H442" s="21" t="s">
        <v>244</v>
      </c>
      <c r="I442" s="21" t="s">
        <v>95</v>
      </c>
      <c r="J442" s="21" t="s">
        <v>95</v>
      </c>
      <c r="K442" s="21" t="s">
        <v>3716</v>
      </c>
      <c r="L442" s="21" t="s">
        <v>3717</v>
      </c>
      <c r="M442" s="21" t="s">
        <v>3086</v>
      </c>
      <c r="N442" s="21" t="s">
        <v>3718</v>
      </c>
      <c r="O442" s="48" t="s">
        <v>3719</v>
      </c>
      <c r="P442" s="21" t="s">
        <v>48</v>
      </c>
      <c r="Q442" s="24" t="s">
        <v>65</v>
      </c>
      <c r="R442" s="21" t="s">
        <v>3720</v>
      </c>
      <c r="S442" s="21" t="s">
        <v>51</v>
      </c>
      <c r="T442" s="21" t="s">
        <v>52</v>
      </c>
      <c r="U442" s="21" t="s">
        <v>52</v>
      </c>
      <c r="V442" s="21" t="s">
        <v>52</v>
      </c>
      <c r="W442" s="45">
        <v>45929.0</v>
      </c>
      <c r="X442" s="49">
        <v>0.7145833333333333</v>
      </c>
      <c r="Y442" s="45">
        <v>45929.0</v>
      </c>
      <c r="Z442" s="49">
        <v>0.775</v>
      </c>
      <c r="AA442" s="49">
        <v>0.78125</v>
      </c>
      <c r="AB442" s="29"/>
      <c r="AC442" s="29"/>
      <c r="AD442" s="25">
        <v>0.8611111111111112</v>
      </c>
      <c r="AE442" s="45">
        <v>45929.0</v>
      </c>
      <c r="AF442" s="21" t="s">
        <v>2931</v>
      </c>
      <c r="AG442" s="21" t="s">
        <v>151</v>
      </c>
      <c r="AH442" s="21" t="s">
        <v>3721</v>
      </c>
      <c r="AI442" s="62" t="str">
        <f>IFERROR(__xludf.DUMMYFUNCTION("IF(OR(W442="""",X442="""",AE442="""",AD442=""""),"""",
   TEXT(
     (
       (AE442+AD442 + IF(AE442+AD442 &lt; W442+X442,1,0)) - (W442+X442)
     )
     - IF(AND(AB442&lt;&gt;"""",AC442&lt;&gt;""""), 
          SUM(ARRAYFORMULA(SPLIT(AC442,"","") - SPLIT(AB442,"",""))"&amp;"), 
          0
       ),
     ""[hh]:mm""
   )
)
"),"03:31")</f>
        <v>03:31</v>
      </c>
      <c r="AJ442" s="27">
        <f t="shared" si="9"/>
        <v>0</v>
      </c>
      <c r="AK442" s="63" t="str">
        <f t="shared" si="10"/>
        <v>Pass</v>
      </c>
    </row>
    <row r="443">
      <c r="A443" s="45">
        <v>45929.0</v>
      </c>
      <c r="B443" s="49">
        <v>0.4673611111111111</v>
      </c>
      <c r="C443" s="45">
        <v>45929.0</v>
      </c>
      <c r="D443" s="49">
        <v>0.4722222222222222</v>
      </c>
      <c r="E443" s="21" t="s">
        <v>3722</v>
      </c>
      <c r="F443" s="21" t="s">
        <v>3344</v>
      </c>
      <c r="G443" s="21" t="s">
        <v>3345</v>
      </c>
      <c r="H443" s="21" t="s">
        <v>156</v>
      </c>
      <c r="I443" s="21" t="s">
        <v>131</v>
      </c>
      <c r="J443" s="21" t="s">
        <v>132</v>
      </c>
      <c r="K443" s="21" t="s">
        <v>43</v>
      </c>
      <c r="L443" s="21" t="s">
        <v>805</v>
      </c>
      <c r="M443" s="21" t="s">
        <v>3346</v>
      </c>
      <c r="N443" s="21" t="s">
        <v>3723</v>
      </c>
      <c r="O443" s="48" t="s">
        <v>3724</v>
      </c>
      <c r="P443" s="21" t="s">
        <v>75</v>
      </c>
      <c r="Q443" s="24" t="s">
        <v>65</v>
      </c>
      <c r="R443" s="21" t="s">
        <v>3725</v>
      </c>
      <c r="S443" s="21" t="s">
        <v>51</v>
      </c>
      <c r="T443" s="21" t="s">
        <v>52</v>
      </c>
      <c r="U443" s="21" t="s">
        <v>52</v>
      </c>
      <c r="V443" s="21" t="s">
        <v>52</v>
      </c>
      <c r="W443" s="45">
        <v>45929.0</v>
      </c>
      <c r="X443" s="49">
        <v>0.4722222222222222</v>
      </c>
      <c r="Y443" s="45">
        <v>45929.0</v>
      </c>
      <c r="Z443" s="49">
        <v>0.6284722222222222</v>
      </c>
      <c r="AA443" s="49">
        <v>0.6388888888888888</v>
      </c>
      <c r="AB443" s="29"/>
      <c r="AC443" s="29"/>
      <c r="AD443" s="25">
        <v>0.8402777777777778</v>
      </c>
      <c r="AE443" s="45">
        <v>45929.0</v>
      </c>
      <c r="AF443" s="21" t="s">
        <v>2931</v>
      </c>
      <c r="AG443" s="21" t="s">
        <v>583</v>
      </c>
      <c r="AH443" s="21" t="s">
        <v>3726</v>
      </c>
      <c r="AI443" s="62" t="str">
        <f>IFERROR(__xludf.DUMMYFUNCTION("IF(OR(W443="""",X443="""",AE443="""",AD443=""""),"""",
   TEXT(
     (
       (AE443+AD443 + IF(AE443+AD443 &lt; W443+X443,1,0)) - (W443+X443)
     )
     - IF(AND(AB443&lt;&gt;"""",AC443&lt;&gt;""""), 
          SUM(ARRAYFORMULA(SPLIT(AC443,"","") - SPLIT(AB443,"",""))"&amp;"), 
          0
       ),
     ""[hh]:mm""
   )
)
"),"08:50")</f>
        <v>08:50</v>
      </c>
      <c r="AJ443" s="27">
        <f t="shared" si="9"/>
        <v>0</v>
      </c>
      <c r="AK443" s="63" t="str">
        <f t="shared" si="10"/>
        <v>Pass</v>
      </c>
    </row>
    <row r="444">
      <c r="A444" s="45">
        <v>45929.0</v>
      </c>
      <c r="B444" s="49">
        <v>0.4673611111111111</v>
      </c>
      <c r="C444" s="45">
        <v>45929.0</v>
      </c>
      <c r="D444" s="49">
        <v>0.4722222222222222</v>
      </c>
      <c r="E444" s="21" t="s">
        <v>3727</v>
      </c>
      <c r="F444" s="21" t="s">
        <v>3344</v>
      </c>
      <c r="G444" s="21" t="s">
        <v>3345</v>
      </c>
      <c r="H444" s="21" t="s">
        <v>756</v>
      </c>
      <c r="I444" s="21" t="s">
        <v>234</v>
      </c>
      <c r="J444" s="21" t="s">
        <v>42</v>
      </c>
      <c r="K444" s="21" t="s">
        <v>61</v>
      </c>
      <c r="L444" s="21" t="s">
        <v>183</v>
      </c>
      <c r="M444" s="21" t="s">
        <v>3728</v>
      </c>
      <c r="N444" s="21" t="s">
        <v>3729</v>
      </c>
      <c r="O444" s="48" t="s">
        <v>3730</v>
      </c>
      <c r="P444" s="21" t="s">
        <v>48</v>
      </c>
      <c r="Q444" s="24" t="s">
        <v>65</v>
      </c>
      <c r="R444" s="21" t="s">
        <v>3731</v>
      </c>
      <c r="S444" s="21" t="s">
        <v>51</v>
      </c>
      <c r="T444" s="21" t="s">
        <v>52</v>
      </c>
      <c r="U444" s="21" t="s">
        <v>52</v>
      </c>
      <c r="V444" s="21" t="s">
        <v>52</v>
      </c>
      <c r="W444" s="45">
        <v>45929.0</v>
      </c>
      <c r="X444" s="49">
        <v>0.4722222222222222</v>
      </c>
      <c r="Y444" s="45">
        <v>45929.0</v>
      </c>
      <c r="Z444" s="49">
        <v>0.6284722222222222</v>
      </c>
      <c r="AA444" s="49">
        <v>0.6388888888888888</v>
      </c>
      <c r="AB444" s="29"/>
      <c r="AC444" s="29"/>
      <c r="AD444" s="25">
        <v>0.8263888888888888</v>
      </c>
      <c r="AE444" s="45">
        <v>45929.0</v>
      </c>
      <c r="AF444" s="21" t="s">
        <v>2931</v>
      </c>
      <c r="AG444" s="21" t="s">
        <v>583</v>
      </c>
      <c r="AH444" s="21" t="s">
        <v>3726</v>
      </c>
      <c r="AI444" s="62" t="str">
        <f>IFERROR(__xludf.DUMMYFUNCTION("IF(OR(W444="""",X444="""",AE444="""",AD444=""""),"""",
   TEXT(
     (
       (AE444+AD444 + IF(AE444+AD444 &lt; W444+X444,1,0)) - (W444+X444)
     )
     - IF(AND(AB444&lt;&gt;"""",AC444&lt;&gt;""""), 
          SUM(ARRAYFORMULA(SPLIT(AC444,"","") - SPLIT(AB444,"",""))"&amp;"), 
          0
       ),
     ""[hh]:mm""
   )
)
"),"08:30")</f>
        <v>08:30</v>
      </c>
      <c r="AJ444" s="27">
        <f t="shared" si="9"/>
        <v>0</v>
      </c>
      <c r="AK444" s="63" t="str">
        <f t="shared" si="10"/>
        <v>Pass</v>
      </c>
    </row>
    <row r="445">
      <c r="A445" s="18">
        <v>45929.0</v>
      </c>
      <c r="B445" s="20">
        <v>0.8486111111111111</v>
      </c>
      <c r="C445" s="18">
        <v>45929.0</v>
      </c>
      <c r="D445" s="20">
        <v>0.85625</v>
      </c>
      <c r="E445" s="22" t="s">
        <v>3732</v>
      </c>
      <c r="F445" s="22" t="s">
        <v>3733</v>
      </c>
      <c r="G445" s="22" t="s">
        <v>3734</v>
      </c>
      <c r="H445" s="22" t="s">
        <v>566</v>
      </c>
      <c r="I445" s="22" t="s">
        <v>567</v>
      </c>
      <c r="J445" s="22" t="s">
        <v>567</v>
      </c>
      <c r="K445" s="22" t="s">
        <v>568</v>
      </c>
      <c r="L445" s="22" t="s">
        <v>3735</v>
      </c>
      <c r="M445" s="22" t="s">
        <v>3736</v>
      </c>
      <c r="N445" s="22" t="s">
        <v>3737</v>
      </c>
      <c r="O445" s="23" t="s">
        <v>3738</v>
      </c>
      <c r="P445" s="22" t="s">
        <v>48</v>
      </c>
      <c r="Q445" s="50" t="s">
        <v>65</v>
      </c>
      <c r="R445" s="22" t="s">
        <v>3739</v>
      </c>
      <c r="S445" s="22" t="s">
        <v>51</v>
      </c>
      <c r="T445" s="22" t="s">
        <v>52</v>
      </c>
      <c r="U445" s="22" t="s">
        <v>52</v>
      </c>
      <c r="V445" s="22" t="s">
        <v>52</v>
      </c>
      <c r="W445" s="18">
        <v>45930.0</v>
      </c>
      <c r="X445" s="20">
        <v>0.36666666666666664</v>
      </c>
      <c r="Y445" s="18">
        <v>45930.0</v>
      </c>
      <c r="Z445" s="20">
        <v>0.4791666666666667</v>
      </c>
      <c r="AA445" s="20">
        <v>0.48194444444444445</v>
      </c>
      <c r="AB445" s="54"/>
      <c r="AC445" s="54"/>
      <c r="AD445" s="51">
        <v>0.5055555555555555</v>
      </c>
      <c r="AE445" s="18">
        <v>45930.0</v>
      </c>
      <c r="AF445" s="22" t="s">
        <v>2711</v>
      </c>
      <c r="AG445" s="22" t="s">
        <v>162</v>
      </c>
      <c r="AH445" s="22" t="s">
        <v>3740</v>
      </c>
      <c r="AI445" s="26" t="str">
        <f>IFERROR(__xludf.DUMMYFUNCTION("IF(OR(W445="""",X445="""",AE445="""",AD445=""""),"""",
   TEXT(
     (
       (AE445+AD445 + IF(AE445+AD445 &lt; W445+X445,1,0)) - (W445+X445)
     )
     - IF(AND(AB445&lt;&gt;"""",AC445&lt;&gt;""""), 
          SUM(ARRAYFORMULA(SPLIT(AC445,"","") - SPLIT(AB445,"",""))"&amp;"), 
          0
       ),
     ""[hh]:mm""
   )
)
"),"03:20")</f>
        <v>03:20</v>
      </c>
      <c r="AJ445" s="55">
        <f t="shared" si="9"/>
        <v>0</v>
      </c>
      <c r="AK445" s="28" t="str">
        <f t="shared" si="10"/>
        <v>Pass</v>
      </c>
    </row>
    <row r="446">
      <c r="A446" s="18">
        <v>45929.0</v>
      </c>
      <c r="B446" s="20">
        <v>0.9972222222222222</v>
      </c>
      <c r="C446" s="18">
        <v>45930.0</v>
      </c>
      <c r="D446" s="79">
        <v>0.36736111111111114</v>
      </c>
      <c r="E446" s="22" t="s">
        <v>3741</v>
      </c>
      <c r="F446" s="22" t="s">
        <v>3742</v>
      </c>
      <c r="G446" s="22" t="s">
        <v>3743</v>
      </c>
      <c r="H446" s="22" t="s">
        <v>1610</v>
      </c>
      <c r="I446" s="22" t="s">
        <v>1612</v>
      </c>
      <c r="J446" s="22" t="s">
        <v>1612</v>
      </c>
      <c r="K446" s="22" t="s">
        <v>143</v>
      </c>
      <c r="L446" s="22" t="s">
        <v>1613</v>
      </c>
      <c r="M446" s="22" t="s">
        <v>3744</v>
      </c>
      <c r="N446" s="22" t="s">
        <v>3745</v>
      </c>
      <c r="O446" s="23" t="s">
        <v>3746</v>
      </c>
      <c r="P446" s="22" t="s">
        <v>187</v>
      </c>
      <c r="Q446" s="50" t="s">
        <v>65</v>
      </c>
      <c r="R446" s="22" t="s">
        <v>3747</v>
      </c>
      <c r="S446" s="22" t="s">
        <v>51</v>
      </c>
      <c r="T446" s="22" t="s">
        <v>52</v>
      </c>
      <c r="U446" s="22" t="s">
        <v>52</v>
      </c>
      <c r="V446" s="22" t="s">
        <v>52</v>
      </c>
      <c r="W446" s="18">
        <v>45930.0</v>
      </c>
      <c r="X446" s="20">
        <v>0.36736111111111114</v>
      </c>
      <c r="Y446" s="18">
        <v>45930.0</v>
      </c>
      <c r="Z446" s="20">
        <v>0.4895833333333333</v>
      </c>
      <c r="AA446" s="20">
        <v>0.5</v>
      </c>
      <c r="AB446" s="54"/>
      <c r="AC446" s="54"/>
      <c r="AD446" s="51">
        <v>0.5625</v>
      </c>
      <c r="AE446" s="18">
        <v>45930.0</v>
      </c>
      <c r="AF446" s="22" t="s">
        <v>2711</v>
      </c>
      <c r="AG446" s="22" t="s">
        <v>2320</v>
      </c>
      <c r="AH446" s="22" t="s">
        <v>3748</v>
      </c>
      <c r="AI446" s="26" t="str">
        <f>IFERROR(__xludf.DUMMYFUNCTION("IF(OR(W446="""",X446="""",AE446="""",AD446=""""),"""",
   TEXT(
     (
       (AE446+AD446 + IF(AE446+AD446 &lt; W446+X446,1,0)) - (W446+X446)
     )
     - IF(AND(AB446&lt;&gt;"""",AC446&lt;&gt;""""), 
          SUM(ARRAYFORMULA(SPLIT(AC446,"","") - SPLIT(AB446,"",""))"&amp;"), 
          0
       ),
     ""[hh]:mm""
   )
)
"),"04:41")</f>
        <v>04:41</v>
      </c>
      <c r="AJ446" s="55">
        <f t="shared" si="9"/>
        <v>0</v>
      </c>
      <c r="AK446" s="28" t="str">
        <f t="shared" si="10"/>
        <v>Pass</v>
      </c>
    </row>
    <row r="447">
      <c r="A447" s="18">
        <v>45930.0</v>
      </c>
      <c r="B447" s="20">
        <v>0.3020833333333333</v>
      </c>
      <c r="C447" s="18">
        <v>45930.0</v>
      </c>
      <c r="D447" s="20">
        <v>0.36875</v>
      </c>
      <c r="E447" s="22" t="s">
        <v>3749</v>
      </c>
      <c r="F447" s="22" t="s">
        <v>1045</v>
      </c>
      <c r="G447" s="22" t="s">
        <v>1046</v>
      </c>
      <c r="H447" s="22" t="s">
        <v>156</v>
      </c>
      <c r="I447" s="22" t="s">
        <v>616</v>
      </c>
      <c r="J447" s="22" t="s">
        <v>132</v>
      </c>
      <c r="K447" s="22" t="s">
        <v>43</v>
      </c>
      <c r="L447" s="22" t="s">
        <v>204</v>
      </c>
      <c r="M447" s="22" t="s">
        <v>3750</v>
      </c>
      <c r="N447" s="22" t="s">
        <v>3751</v>
      </c>
      <c r="O447" s="23" t="s">
        <v>3752</v>
      </c>
      <c r="P447" s="22" t="s">
        <v>75</v>
      </c>
      <c r="Q447" s="50" t="s">
        <v>65</v>
      </c>
      <c r="R447" s="22" t="s">
        <v>3753</v>
      </c>
      <c r="S447" s="22" t="s">
        <v>51</v>
      </c>
      <c r="T447" s="22" t="s">
        <v>52</v>
      </c>
      <c r="U447" s="22" t="s">
        <v>52</v>
      </c>
      <c r="V447" s="22" t="s">
        <v>52</v>
      </c>
      <c r="W447" s="18">
        <v>45930.0</v>
      </c>
      <c r="X447" s="20">
        <v>0.36875</v>
      </c>
      <c r="Y447" s="18">
        <v>45930.0</v>
      </c>
      <c r="Z447" s="20">
        <v>0.4395833333333333</v>
      </c>
      <c r="AA447" s="20">
        <v>0.4583333333333333</v>
      </c>
      <c r="AB447" s="51">
        <v>0.4395833333333333</v>
      </c>
      <c r="AC447" s="51">
        <v>0.4583333333333333</v>
      </c>
      <c r="AD447" s="51">
        <v>0.4895833333333333</v>
      </c>
      <c r="AE447" s="18">
        <v>45930.0</v>
      </c>
      <c r="AF447" s="22" t="s">
        <v>2819</v>
      </c>
      <c r="AG447" s="22" t="s">
        <v>1117</v>
      </c>
      <c r="AH447" s="22" t="s">
        <v>3754</v>
      </c>
      <c r="AI447" s="26" t="str">
        <f>IFERROR(__xludf.DUMMYFUNCTION("IF(OR(W447="""",X447="""",AE447="""",AD447=""""),"""",
   TEXT(
     (
       (AE447+AD447 + IF(AE447+AD447 &lt; W447+X447,1,0)) - (W447+X447)
     )
     - IF(AND(AB447&lt;&gt;"""",AC447&lt;&gt;""""), 
          SUM(ARRAYFORMULA(SPLIT(AC447,"","") - SPLIT(AB447,"",""))"&amp;"), 
          0
       ),
     ""[hh]:mm""
   )
)
"),"02:27")</f>
        <v>02:27</v>
      </c>
      <c r="AJ447" s="55">
        <f t="shared" si="9"/>
        <v>0</v>
      </c>
      <c r="AK447" s="28" t="str">
        <f t="shared" si="10"/>
        <v>Pass</v>
      </c>
    </row>
    <row r="448">
      <c r="A448" s="18">
        <v>45930.0</v>
      </c>
      <c r="B448" s="20">
        <v>0.31875</v>
      </c>
      <c r="C448" s="18">
        <v>45930.0</v>
      </c>
      <c r="D448" s="20">
        <v>0.3680555555555556</v>
      </c>
      <c r="E448" s="22" t="s">
        <v>3755</v>
      </c>
      <c r="F448" s="22" t="s">
        <v>3756</v>
      </c>
      <c r="G448" s="22" t="s">
        <v>3757</v>
      </c>
      <c r="H448" s="22" t="s">
        <v>566</v>
      </c>
      <c r="I448" s="22" t="s">
        <v>815</v>
      </c>
      <c r="J448" s="22" t="s">
        <v>1084</v>
      </c>
      <c r="K448" s="22" t="s">
        <v>3758</v>
      </c>
      <c r="L448" s="22" t="s">
        <v>3759</v>
      </c>
      <c r="M448" s="22" t="s">
        <v>3760</v>
      </c>
      <c r="N448" s="22" t="s">
        <v>3761</v>
      </c>
      <c r="O448" s="23" t="s">
        <v>3762</v>
      </c>
      <c r="P448" s="22" t="s">
        <v>48</v>
      </c>
      <c r="Q448" s="50" t="s">
        <v>198</v>
      </c>
      <c r="R448" s="22" t="s">
        <v>3763</v>
      </c>
      <c r="S448" s="22" t="s">
        <v>51</v>
      </c>
      <c r="T448" s="22" t="s">
        <v>52</v>
      </c>
      <c r="U448" s="22" t="s">
        <v>52</v>
      </c>
      <c r="V448" s="22" t="s">
        <v>52</v>
      </c>
      <c r="W448" s="18">
        <v>45930.0</v>
      </c>
      <c r="X448" s="20">
        <v>0.3680555555555556</v>
      </c>
      <c r="Y448" s="18">
        <v>45930.0</v>
      </c>
      <c r="Z448" s="20">
        <v>0.6875</v>
      </c>
      <c r="AA448" s="20">
        <v>0.7013888888888888</v>
      </c>
      <c r="AB448" s="54"/>
      <c r="AC448" s="54"/>
      <c r="AD448" s="51">
        <v>0.7840277777777778</v>
      </c>
      <c r="AE448" s="18">
        <v>45930.0</v>
      </c>
      <c r="AF448" s="22" t="s">
        <v>2918</v>
      </c>
      <c r="AG448" s="22" t="s">
        <v>239</v>
      </c>
      <c r="AH448" s="22" t="s">
        <v>3764</v>
      </c>
      <c r="AI448" s="62" t="str">
        <f>IFERROR(__xludf.DUMMYFUNCTION("IF(OR(W448="""",X448="""",AE448="""",AD448=""""),"""",
   TEXT(
     (
       (AE448+AD448 + IF(AE448+AD448 &lt; W448+X448,1,0)) - (W448+X448)
     )
     - IF(AND(AB448&lt;&gt;"""",AC448&lt;&gt;""""), 
          SUM(ARRAYFORMULA(SPLIT(AC448,"","") - SPLIT(AB448,"",""))"&amp;"), 
          0
       ),
     ""[hh]:mm""
   )
)
"),"09:59")</f>
        <v>09:59</v>
      </c>
      <c r="AJ448" s="27">
        <f t="shared" si="9"/>
        <v>0</v>
      </c>
      <c r="AK448" s="63" t="str">
        <f t="shared" si="10"/>
        <v>Pass</v>
      </c>
    </row>
    <row r="449">
      <c r="A449" s="18">
        <v>45930.0</v>
      </c>
      <c r="B449" s="20">
        <v>0.33611111111111114</v>
      </c>
      <c r="C449" s="18">
        <v>45930.0</v>
      </c>
      <c r="D449" s="20">
        <v>0.3680555555555556</v>
      </c>
      <c r="E449" s="22" t="s">
        <v>3765</v>
      </c>
      <c r="F449" s="22" t="s">
        <v>3221</v>
      </c>
      <c r="G449" s="22" t="s">
        <v>3222</v>
      </c>
      <c r="H449" s="22" t="s">
        <v>566</v>
      </c>
      <c r="I449" s="22" t="s">
        <v>815</v>
      </c>
      <c r="J449" s="22" t="s">
        <v>1084</v>
      </c>
      <c r="K449" s="22" t="s">
        <v>1085</v>
      </c>
      <c r="L449" s="22" t="s">
        <v>52</v>
      </c>
      <c r="M449" s="22" t="s">
        <v>3766</v>
      </c>
      <c r="N449" s="22" t="s">
        <v>3767</v>
      </c>
      <c r="O449" s="23" t="s">
        <v>3768</v>
      </c>
      <c r="P449" s="22" t="s">
        <v>48</v>
      </c>
      <c r="Q449" s="50" t="s">
        <v>198</v>
      </c>
      <c r="R449" s="22" t="s">
        <v>3769</v>
      </c>
      <c r="S449" s="22" t="s">
        <v>51</v>
      </c>
      <c r="T449" s="22" t="s">
        <v>52</v>
      </c>
      <c r="U449" s="22" t="s">
        <v>52</v>
      </c>
      <c r="V449" s="22" t="s">
        <v>52</v>
      </c>
      <c r="W449" s="18">
        <v>45930.0</v>
      </c>
      <c r="X449" s="20">
        <v>0.3680555555555556</v>
      </c>
      <c r="Y449" s="18">
        <v>45930.0</v>
      </c>
      <c r="Z449" s="20">
        <v>0.4444444444444444</v>
      </c>
      <c r="AA449" s="20">
        <v>0.4513888888888889</v>
      </c>
      <c r="AB449" s="51">
        <v>0.5</v>
      </c>
      <c r="AC449" s="51">
        <v>0.5416666666666666</v>
      </c>
      <c r="AD449" s="51">
        <v>0.5555555555555556</v>
      </c>
      <c r="AE449" s="18">
        <v>45930.0</v>
      </c>
      <c r="AF449" s="22" t="s">
        <v>2918</v>
      </c>
      <c r="AG449" s="22" t="s">
        <v>54</v>
      </c>
      <c r="AH449" s="22" t="s">
        <v>3770</v>
      </c>
      <c r="AI449" s="62" t="str">
        <f>IFERROR(__xludf.DUMMYFUNCTION("IF(OR(W449="""",X449="""",AE449="""",AD449=""""),"""",
   TEXT(
     (
       (AE449+AD449 + IF(AE449+AD449 &lt; W449+X449,1,0)) - (W449+X449)
     )
     - IF(AND(AB449&lt;&gt;"""",AC449&lt;&gt;""""), 
          SUM(ARRAYFORMULA(SPLIT(AC449,"","") - SPLIT(AB449,"",""))"&amp;"), 
          0
       ),
     ""[hh]:mm""
   )
)
"),"03:30")</f>
        <v>03:30</v>
      </c>
      <c r="AJ449" s="27">
        <f t="shared" si="9"/>
        <v>0</v>
      </c>
      <c r="AK449" s="63" t="str">
        <f t="shared" si="10"/>
        <v>Pass</v>
      </c>
    </row>
    <row r="450">
      <c r="A450" s="18">
        <v>45930.0</v>
      </c>
      <c r="B450" s="20">
        <v>0.38819444444444445</v>
      </c>
      <c r="C450" s="18">
        <v>45930.0</v>
      </c>
      <c r="D450" s="20">
        <v>0.40208333333333335</v>
      </c>
      <c r="E450" s="22" t="s">
        <v>3771</v>
      </c>
      <c r="F450" s="22" t="s">
        <v>3772</v>
      </c>
      <c r="G450" s="22" t="s">
        <v>3773</v>
      </c>
      <c r="H450" s="22" t="s">
        <v>566</v>
      </c>
      <c r="I450" s="22" t="s">
        <v>60</v>
      </c>
      <c r="J450" s="22" t="s">
        <v>42</v>
      </c>
      <c r="K450" s="22" t="s">
        <v>61</v>
      </c>
      <c r="L450" s="22" t="s">
        <v>183</v>
      </c>
      <c r="M450" s="22" t="s">
        <v>3774</v>
      </c>
      <c r="N450" s="22" t="s">
        <v>3775</v>
      </c>
      <c r="O450" s="23" t="s">
        <v>3776</v>
      </c>
      <c r="P450" s="22" t="s">
        <v>48</v>
      </c>
      <c r="Q450" s="50" t="s">
        <v>65</v>
      </c>
      <c r="R450" s="22" t="s">
        <v>3777</v>
      </c>
      <c r="S450" s="22" t="s">
        <v>51</v>
      </c>
      <c r="T450" s="22" t="s">
        <v>52</v>
      </c>
      <c r="U450" s="22" t="s">
        <v>52</v>
      </c>
      <c r="V450" s="22" t="s">
        <v>52</v>
      </c>
      <c r="W450" s="18">
        <v>45930.0</v>
      </c>
      <c r="X450" s="20">
        <v>0.40208333333333335</v>
      </c>
      <c r="Y450" s="18">
        <v>45930.0</v>
      </c>
      <c r="Z450" s="20">
        <v>0.4423611111111111</v>
      </c>
      <c r="AA450" s="20">
        <v>0.4583333333333333</v>
      </c>
      <c r="AB450" s="51">
        <v>0.4423611111111111</v>
      </c>
      <c r="AC450" s="51">
        <v>0.4583333333333333</v>
      </c>
      <c r="AD450" s="51">
        <v>0.4722222222222222</v>
      </c>
      <c r="AE450" s="18">
        <v>45930.0</v>
      </c>
      <c r="AF450" s="22" t="s">
        <v>2819</v>
      </c>
      <c r="AG450" s="22" t="s">
        <v>879</v>
      </c>
      <c r="AH450" s="22" t="s">
        <v>3778</v>
      </c>
      <c r="AI450" s="62" t="str">
        <f>IFERROR(__xludf.DUMMYFUNCTION("IF(OR(W450="""",X450="""",AE450="""",AD450=""""),"""",
   TEXT(
     (
       (AE450+AD450 + IF(AE450+AD450 &lt; W450+X450,1,0)) - (W450+X450)
     )
     - IF(AND(AB450&lt;&gt;"""",AC450&lt;&gt;""""), 
          SUM(ARRAYFORMULA(SPLIT(AC450,"","") - SPLIT(AB450,"",""))"&amp;"), 
          0
       ),
     ""[hh]:mm""
   )
)
"),"01:18")</f>
        <v>01:18</v>
      </c>
      <c r="AJ450" s="27">
        <f t="shared" si="9"/>
        <v>0</v>
      </c>
      <c r="AK450" s="63" t="str">
        <f t="shared" si="10"/>
        <v>Pass</v>
      </c>
    </row>
    <row r="451">
      <c r="A451" s="18">
        <v>45930.0</v>
      </c>
      <c r="B451" s="20">
        <v>0.4270833333333333</v>
      </c>
      <c r="C451" s="18">
        <v>45930.0</v>
      </c>
      <c r="D451" s="20">
        <v>0.4395833333333333</v>
      </c>
      <c r="E451" s="22" t="s">
        <v>3779</v>
      </c>
      <c r="F451" s="22" t="s">
        <v>3780</v>
      </c>
      <c r="G451" s="22" t="s">
        <v>3781</v>
      </c>
      <c r="H451" s="22" t="s">
        <v>1450</v>
      </c>
      <c r="I451" s="22" t="s">
        <v>1178</v>
      </c>
      <c r="J451" s="22" t="s">
        <v>1136</v>
      </c>
      <c r="K451" s="22" t="s">
        <v>43</v>
      </c>
      <c r="L451" s="22" t="s">
        <v>1666</v>
      </c>
      <c r="M451" s="22">
        <v>2.01902250024E11</v>
      </c>
      <c r="N451" s="22" t="s">
        <v>3782</v>
      </c>
      <c r="O451" s="23" t="s">
        <v>3783</v>
      </c>
      <c r="P451" s="22" t="s">
        <v>75</v>
      </c>
      <c r="Q451" s="50" t="s">
        <v>49</v>
      </c>
      <c r="R451" s="22" t="s">
        <v>3784</v>
      </c>
      <c r="S451" s="22" t="s">
        <v>51</v>
      </c>
      <c r="T451" s="22" t="s">
        <v>2655</v>
      </c>
      <c r="U451" s="22">
        <v>2.02408290279E11</v>
      </c>
      <c r="V451" s="22">
        <v>2.01902250024E11</v>
      </c>
      <c r="W451" s="18">
        <v>45930.0</v>
      </c>
      <c r="X451" s="20">
        <v>0.4395833333333333</v>
      </c>
      <c r="Y451" s="18">
        <v>45930.0</v>
      </c>
      <c r="Z451" s="20">
        <v>0.6770833333333334</v>
      </c>
      <c r="AA451" s="20">
        <v>0.7013888888888888</v>
      </c>
      <c r="AB451" s="51">
        <v>0.4583333333333333</v>
      </c>
      <c r="AC451" s="51">
        <v>0.6972222222222222</v>
      </c>
      <c r="AD451" s="51">
        <v>0.7569444444444444</v>
      </c>
      <c r="AE451" s="18">
        <v>45930.0</v>
      </c>
      <c r="AF451" s="22" t="s">
        <v>2744</v>
      </c>
      <c r="AG451" s="22" t="s">
        <v>102</v>
      </c>
      <c r="AH451" s="22" t="s">
        <v>3785</v>
      </c>
      <c r="AI451" s="62" t="str">
        <f>IFERROR(__xludf.DUMMYFUNCTION("IF(OR(W451="""",X451="""",AE451="""",AD451=""""),"""",
   TEXT(
     (
       (AE451+AD451 + IF(AE451+AD451 &lt; W451+X451,1,0)) - (W451+X451)
     )
     - IF(AND(AB451&lt;&gt;"""",AC451&lt;&gt;""""), 
          SUM(ARRAYFORMULA(SPLIT(AC451,"","") - SPLIT(AB451,"",""))"&amp;"), 
          0
       ),
     ""[hh]:mm""
   )
)
"),"01:53")</f>
        <v>01:53</v>
      </c>
      <c r="AJ451" s="27">
        <f t="shared" si="9"/>
        <v>0</v>
      </c>
      <c r="AK451" s="63" t="str">
        <f t="shared" si="10"/>
        <v>Pass</v>
      </c>
    </row>
    <row r="452">
      <c r="A452" s="18">
        <v>45930.0</v>
      </c>
      <c r="B452" s="20">
        <v>0.4270833333333333</v>
      </c>
      <c r="C452" s="18">
        <v>45930.0</v>
      </c>
      <c r="D452" s="20">
        <v>0.4395833333333333</v>
      </c>
      <c r="E452" s="22" t="s">
        <v>3786</v>
      </c>
      <c r="F452" s="22" t="s">
        <v>3780</v>
      </c>
      <c r="G452" s="22" t="s">
        <v>3781</v>
      </c>
      <c r="H452" s="22" t="s">
        <v>746</v>
      </c>
      <c r="I452" s="22" t="s">
        <v>1632</v>
      </c>
      <c r="J452" s="22" t="s">
        <v>1136</v>
      </c>
      <c r="K452" s="22" t="s">
        <v>43</v>
      </c>
      <c r="L452" s="22" t="s">
        <v>1666</v>
      </c>
      <c r="M452" s="22">
        <v>2.01902250049E11</v>
      </c>
      <c r="N452" s="22" t="s">
        <v>3787</v>
      </c>
      <c r="O452" s="23" t="s">
        <v>3788</v>
      </c>
      <c r="P452" s="22" t="s">
        <v>75</v>
      </c>
      <c r="Q452" s="50" t="s">
        <v>49</v>
      </c>
      <c r="R452" s="22" t="s">
        <v>3789</v>
      </c>
      <c r="S452" s="22" t="s">
        <v>51</v>
      </c>
      <c r="T452" s="22" t="s">
        <v>2655</v>
      </c>
      <c r="U452" s="22">
        <v>2.02407290484E11</v>
      </c>
      <c r="V452" s="22">
        <v>2.01902250049E11</v>
      </c>
      <c r="W452" s="18">
        <v>45930.0</v>
      </c>
      <c r="X452" s="20">
        <v>0.4395833333333333</v>
      </c>
      <c r="Y452" s="18">
        <v>45930.0</v>
      </c>
      <c r="Z452" s="20">
        <v>0.6770833333333334</v>
      </c>
      <c r="AA452" s="20">
        <v>0.7013888888888888</v>
      </c>
      <c r="AB452" s="51">
        <v>0.4583333333333333</v>
      </c>
      <c r="AC452" s="51">
        <v>0.6972222222222222</v>
      </c>
      <c r="AD452" s="51">
        <v>0.7569444444444444</v>
      </c>
      <c r="AE452" s="18">
        <v>45930.0</v>
      </c>
      <c r="AF452" s="22" t="s">
        <v>2744</v>
      </c>
      <c r="AG452" s="22" t="s">
        <v>102</v>
      </c>
      <c r="AH452" s="22" t="s">
        <v>3785</v>
      </c>
      <c r="AI452" s="62" t="str">
        <f>IFERROR(__xludf.DUMMYFUNCTION("IF(OR(W452="""",X452="""",AE452="""",AD452=""""),"""",
   TEXT(
     (
       (AE452+AD452 + IF(AE452+AD452 &lt; W452+X452,1,0)) - (W452+X452)
     )
     - IF(AND(AB452&lt;&gt;"""",AC452&lt;&gt;""""), 
          SUM(ARRAYFORMULA(SPLIT(AC452,"","") - SPLIT(AB452,"",""))"&amp;"), 
          0
       ),
     ""[hh]:mm""
   )
)
"),"01:53")</f>
        <v>01:53</v>
      </c>
      <c r="AJ452" s="27">
        <f t="shared" si="9"/>
        <v>0</v>
      </c>
      <c r="AK452" s="63" t="str">
        <f t="shared" si="10"/>
        <v>Pass</v>
      </c>
    </row>
    <row r="453">
      <c r="A453" s="18">
        <v>45930.0</v>
      </c>
      <c r="B453" s="20">
        <v>0.5340277777777778</v>
      </c>
      <c r="C453" s="18">
        <v>45930.0</v>
      </c>
      <c r="D453" s="20">
        <v>0.5479166666666667</v>
      </c>
      <c r="E453" s="22" t="s">
        <v>3790</v>
      </c>
      <c r="F453" s="22" t="s">
        <v>3791</v>
      </c>
      <c r="G453" s="22" t="s">
        <v>3792</v>
      </c>
      <c r="H453" s="22" t="s">
        <v>1373</v>
      </c>
      <c r="I453" s="22" t="s">
        <v>644</v>
      </c>
      <c r="J453" s="22" t="s">
        <v>644</v>
      </c>
      <c r="K453" s="22" t="s">
        <v>143</v>
      </c>
      <c r="L453" s="22" t="s">
        <v>3793</v>
      </c>
      <c r="M453" s="22" t="s">
        <v>3794</v>
      </c>
      <c r="N453" s="22" t="s">
        <v>3795</v>
      </c>
      <c r="O453" s="23" t="s">
        <v>3796</v>
      </c>
      <c r="P453" s="22" t="s">
        <v>48</v>
      </c>
      <c r="Q453" s="50" t="s">
        <v>65</v>
      </c>
      <c r="R453" s="22" t="s">
        <v>3053</v>
      </c>
      <c r="S453" s="22" t="s">
        <v>51</v>
      </c>
      <c r="T453" s="22" t="s">
        <v>52</v>
      </c>
      <c r="U453" s="22" t="s">
        <v>52</v>
      </c>
      <c r="V453" s="22" t="s">
        <v>52</v>
      </c>
      <c r="W453" s="18">
        <v>45930.0</v>
      </c>
      <c r="X453" s="20">
        <v>0.5479166666666667</v>
      </c>
      <c r="Y453" s="18">
        <v>45930.0</v>
      </c>
      <c r="Z453" s="20">
        <v>0.6395833333333333</v>
      </c>
      <c r="AA453" s="20">
        <v>0.6409722222222223</v>
      </c>
      <c r="AB453" s="51">
        <v>0.6458333333333334</v>
      </c>
      <c r="AC453" s="51">
        <v>0.7083333333333334</v>
      </c>
      <c r="AD453" s="51">
        <v>0.7229166666666667</v>
      </c>
      <c r="AE453" s="18">
        <v>45930.0</v>
      </c>
      <c r="AF453" s="22" t="s">
        <v>2839</v>
      </c>
      <c r="AG453" s="22" t="s">
        <v>293</v>
      </c>
      <c r="AH453" s="22" t="s">
        <v>3797</v>
      </c>
      <c r="AI453" s="62" t="str">
        <f>IFERROR(__xludf.DUMMYFUNCTION("IF(OR(W453="""",X453="""",AE453="""",AD453=""""),"""",
   TEXT(
     (
       (AE453+AD453 + IF(AE453+AD453 &lt; W453+X453,1,0)) - (W453+X453)
     )
     - IF(AND(AB453&lt;&gt;"""",AC453&lt;&gt;""""), 
          SUM(ARRAYFORMULA(SPLIT(AC453,"","") - SPLIT(AB453,"",""))"&amp;"), 
          0
       ),
     ""[hh]:mm""
   )
)
"),"02:42")</f>
        <v>02:42</v>
      </c>
      <c r="AJ453" s="27">
        <f t="shared" si="9"/>
        <v>0</v>
      </c>
      <c r="AK453" s="63" t="str">
        <f t="shared" si="10"/>
        <v>Pass</v>
      </c>
    </row>
    <row r="454">
      <c r="A454" s="18">
        <v>45931.0</v>
      </c>
      <c r="B454" s="20">
        <v>0.35138888888888886</v>
      </c>
      <c r="C454" s="18">
        <v>45931.0</v>
      </c>
      <c r="D454" s="20">
        <v>0.35555555555555557</v>
      </c>
      <c r="E454" s="22" t="s">
        <v>3798</v>
      </c>
      <c r="F454" s="22" t="s">
        <v>3211</v>
      </c>
      <c r="G454" s="22" t="s">
        <v>3212</v>
      </c>
      <c r="H454" s="22" t="s">
        <v>1881</v>
      </c>
      <c r="I454" s="22" t="s">
        <v>1497</v>
      </c>
      <c r="J454" s="22" t="s">
        <v>95</v>
      </c>
      <c r="K454" s="22" t="s">
        <v>143</v>
      </c>
      <c r="L454" s="22" t="s">
        <v>606</v>
      </c>
      <c r="M454" s="22" t="s">
        <v>3799</v>
      </c>
      <c r="N454" s="22" t="s">
        <v>3800</v>
      </c>
      <c r="O454" s="23" t="s">
        <v>3801</v>
      </c>
      <c r="P454" s="22" t="s">
        <v>187</v>
      </c>
      <c r="Q454" s="50" t="s">
        <v>65</v>
      </c>
      <c r="R454" s="22" t="s">
        <v>3802</v>
      </c>
      <c r="S454" s="22" t="s">
        <v>51</v>
      </c>
      <c r="T454" s="22" t="s">
        <v>52</v>
      </c>
      <c r="U454" s="22" t="s">
        <v>52</v>
      </c>
      <c r="V454" s="22" t="s">
        <v>52</v>
      </c>
      <c r="W454" s="18">
        <v>45931.0</v>
      </c>
      <c r="X454" s="20">
        <v>0.35555555555555557</v>
      </c>
      <c r="Y454" s="18">
        <v>45931.0</v>
      </c>
      <c r="Z454" s="75">
        <v>0.4375</v>
      </c>
      <c r="AA454" s="75">
        <v>0.4409722222222222</v>
      </c>
      <c r="AB454" s="86"/>
      <c r="AC454" s="86"/>
      <c r="AD454" s="77">
        <v>0.4861111111111111</v>
      </c>
      <c r="AE454" s="18">
        <v>45931.0</v>
      </c>
      <c r="AF454" s="22" t="s">
        <v>2744</v>
      </c>
      <c r="AG454" s="22" t="s">
        <v>54</v>
      </c>
      <c r="AH454" s="22" t="s">
        <v>54</v>
      </c>
      <c r="AI454" s="62" t="str">
        <f>IFERROR(__xludf.DUMMYFUNCTION("IF(OR(W454="""",X454="""",AE454="""",AD454=""""),"""",
   TEXT(
     (
       (AE454+AD454 + IF(AE454+AD454 &lt; W454+X454,1,0)) - (W454+X454)
     )
     - IF(AND(AB454&lt;&gt;"""",AC454&lt;&gt;""""), 
          SUM(ARRAYFORMULA(SPLIT(AC454,"","") - SPLIT(AB454,"",""))"&amp;"), 
          0
       ),
     ""[hh]:mm""
   )
)
"),"03:08")</f>
        <v>03:08</v>
      </c>
      <c r="AJ454" s="27">
        <f t="shared" si="9"/>
        <v>0</v>
      </c>
      <c r="AK454" s="63" t="str">
        <f t="shared" si="10"/>
        <v>Pass</v>
      </c>
    </row>
    <row r="455">
      <c r="A455" s="45">
        <v>45931.0</v>
      </c>
      <c r="B455" s="49">
        <v>0.7319444444444444</v>
      </c>
      <c r="C455" s="45">
        <v>45931.0</v>
      </c>
      <c r="D455" s="49">
        <v>0.7736111111111111</v>
      </c>
      <c r="E455" s="21" t="s">
        <v>3803</v>
      </c>
      <c r="F455" s="21" t="s">
        <v>3804</v>
      </c>
      <c r="G455" s="21" t="s">
        <v>3805</v>
      </c>
      <c r="H455" s="21" t="s">
        <v>253</v>
      </c>
      <c r="I455" s="21" t="s">
        <v>60</v>
      </c>
      <c r="J455" s="21" t="s">
        <v>3806</v>
      </c>
      <c r="K455" s="21" t="s">
        <v>43</v>
      </c>
      <c r="L455" s="47"/>
      <c r="M455" s="21" t="s">
        <v>3807</v>
      </c>
      <c r="N455" s="21" t="s">
        <v>3808</v>
      </c>
      <c r="O455" s="48" t="s">
        <v>3809</v>
      </c>
      <c r="P455" s="21" t="s">
        <v>48</v>
      </c>
      <c r="Q455" s="24" t="s">
        <v>198</v>
      </c>
      <c r="R455" s="21" t="s">
        <v>3810</v>
      </c>
      <c r="S455" s="21" t="s">
        <v>51</v>
      </c>
      <c r="T455" s="21" t="s">
        <v>52</v>
      </c>
      <c r="U455" s="21" t="s">
        <v>52</v>
      </c>
      <c r="V455" s="21" t="s">
        <v>52</v>
      </c>
      <c r="W455" s="45">
        <v>45932.0</v>
      </c>
      <c r="X455" s="49">
        <v>0.4583333333333333</v>
      </c>
      <c r="Y455" s="45">
        <v>45932.0</v>
      </c>
      <c r="Z455" s="49">
        <v>0.4583333333333333</v>
      </c>
      <c r="AA455" s="49">
        <v>0.4618055555555556</v>
      </c>
      <c r="AB455" s="25">
        <v>0.5625</v>
      </c>
      <c r="AC455" s="25">
        <v>0.625</v>
      </c>
      <c r="AD455" s="25">
        <v>0.6347222222222222</v>
      </c>
      <c r="AE455" s="45">
        <v>45932.0</v>
      </c>
      <c r="AF455" s="21" t="s">
        <v>2812</v>
      </c>
      <c r="AG455" s="21" t="s">
        <v>293</v>
      </c>
      <c r="AH455" s="21" t="s">
        <v>3811</v>
      </c>
      <c r="AI455" s="62" t="str">
        <f>IFERROR(__xludf.DUMMYFUNCTION("IF(OR(W455="""",X455="""",AE455="""",AD455=""""),"""",
   TEXT(
     (
       (AE455+AD455 + IF(AE455+AD455 &lt; W455+X455,1,0)) - (W455+X455)
     )
     - IF(AND(AB455&lt;&gt;"""",AC455&lt;&gt;""""), 
          SUM(ARRAYFORMULA(SPLIT(AC455,"","") - SPLIT(AB455,"",""))"&amp;"), 
          0
       ),
     ""[hh]:mm""
   )
)
"),"02:44")</f>
        <v>02:44</v>
      </c>
      <c r="AJ455" s="27">
        <f t="shared" si="9"/>
        <v>0</v>
      </c>
      <c r="AK455" s="63" t="str">
        <f t="shared" si="10"/>
        <v>Pass</v>
      </c>
    </row>
    <row r="456">
      <c r="A456" s="45">
        <v>45932.0</v>
      </c>
      <c r="B456" s="49">
        <v>0.3388888888888889</v>
      </c>
      <c r="C456" s="45">
        <v>45932.0</v>
      </c>
      <c r="D456" s="49">
        <v>0.35347222222222224</v>
      </c>
      <c r="E456" s="21" t="s">
        <v>3812</v>
      </c>
      <c r="F456" s="21" t="s">
        <v>3314</v>
      </c>
      <c r="G456" s="21" t="s">
        <v>3315</v>
      </c>
      <c r="H456" s="21" t="s">
        <v>318</v>
      </c>
      <c r="I456" s="21" t="s">
        <v>234</v>
      </c>
      <c r="J456" s="21" t="s">
        <v>3813</v>
      </c>
      <c r="K456" s="21" t="s">
        <v>61</v>
      </c>
      <c r="L456" s="21" t="s">
        <v>84</v>
      </c>
      <c r="M456" s="21" t="s">
        <v>3317</v>
      </c>
      <c r="N456" s="21" t="s">
        <v>3814</v>
      </c>
      <c r="O456" s="48" t="s">
        <v>3815</v>
      </c>
      <c r="P456" s="21" t="s">
        <v>187</v>
      </c>
      <c r="Q456" s="24" t="s">
        <v>65</v>
      </c>
      <c r="R456" s="21" t="s">
        <v>3816</v>
      </c>
      <c r="S456" s="21" t="s">
        <v>51</v>
      </c>
      <c r="T456" s="21" t="s">
        <v>52</v>
      </c>
      <c r="U456" s="21" t="s">
        <v>52</v>
      </c>
      <c r="V456" s="21" t="s">
        <v>52</v>
      </c>
      <c r="W456" s="45">
        <v>45932.0</v>
      </c>
      <c r="X456" s="49">
        <v>0.35347222222222224</v>
      </c>
      <c r="Y456" s="45">
        <v>45932.0</v>
      </c>
      <c r="Z456" s="49">
        <v>0.4791666666666667</v>
      </c>
      <c r="AA456" s="49">
        <v>0.4798611111111111</v>
      </c>
      <c r="AB456" s="29"/>
      <c r="AC456" s="29"/>
      <c r="AD456" s="25">
        <v>0.5243055555555556</v>
      </c>
      <c r="AE456" s="45">
        <v>45932.0</v>
      </c>
      <c r="AF456" s="21" t="s">
        <v>2819</v>
      </c>
      <c r="AG456" s="21" t="s">
        <v>775</v>
      </c>
      <c r="AH456" s="21" t="s">
        <v>3817</v>
      </c>
      <c r="AI456" s="62" t="str">
        <f>IFERROR(__xludf.DUMMYFUNCTION("IF(OR(W456="""",X456="""",AE456="""",AD456=""""),"""",
   TEXT(
     (
       (AE456+AD456 + IF(AE456+AD456 &lt; W456+X456,1,0)) - (W456+X456)
     )
     - IF(AND(AB456&lt;&gt;"""",AC456&lt;&gt;""""), 
          SUM(ARRAYFORMULA(SPLIT(AC456,"","") - SPLIT(AB456,"",""))"&amp;"), 
          0
       ),
     ""[hh]:mm""
   )
)
"),"04:06")</f>
        <v>04:06</v>
      </c>
      <c r="AJ456" s="27">
        <f t="shared" si="9"/>
        <v>0</v>
      </c>
      <c r="AK456" s="63" t="str">
        <f t="shared" si="10"/>
        <v>Pass</v>
      </c>
    </row>
    <row r="457">
      <c r="A457" s="45">
        <v>45932.0</v>
      </c>
      <c r="B457" s="49">
        <v>0.3972222222222222</v>
      </c>
      <c r="C457" s="45">
        <v>45932.0</v>
      </c>
      <c r="D457" s="49">
        <v>0.3972222222222222</v>
      </c>
      <c r="E457" s="21" t="s">
        <v>3818</v>
      </c>
      <c r="F457" s="21" t="s">
        <v>754</v>
      </c>
      <c r="G457" s="21" t="s">
        <v>755</v>
      </c>
      <c r="H457" s="21" t="s">
        <v>756</v>
      </c>
      <c r="I457" s="21" t="s">
        <v>60</v>
      </c>
      <c r="J457" s="21" t="s">
        <v>42</v>
      </c>
      <c r="K457" s="47"/>
      <c r="L457" s="21" t="s">
        <v>3819</v>
      </c>
      <c r="M457" s="21" t="s">
        <v>3820</v>
      </c>
      <c r="N457" s="21" t="s">
        <v>3821</v>
      </c>
      <c r="O457" s="48" t="s">
        <v>3822</v>
      </c>
      <c r="P457" s="21" t="s">
        <v>48</v>
      </c>
      <c r="Q457" s="24" t="s">
        <v>65</v>
      </c>
      <c r="R457" s="21" t="s">
        <v>3823</v>
      </c>
      <c r="S457" s="21" t="s">
        <v>51</v>
      </c>
      <c r="T457" s="21" t="s">
        <v>52</v>
      </c>
      <c r="U457" s="21" t="s">
        <v>52</v>
      </c>
      <c r="V457" s="21" t="s">
        <v>52</v>
      </c>
      <c r="W457" s="45">
        <v>45932.0</v>
      </c>
      <c r="X457" s="49">
        <v>0.3972222222222222</v>
      </c>
      <c r="Y457" s="45">
        <v>45932.0</v>
      </c>
      <c r="Z457" s="49">
        <v>0.50625</v>
      </c>
      <c r="AA457" s="49">
        <v>0.5097222222222222</v>
      </c>
      <c r="AB457" s="25">
        <v>0.5381944444444444</v>
      </c>
      <c r="AC457" s="25">
        <v>0.6868055555555556</v>
      </c>
      <c r="AD457" s="25">
        <v>0.7236111111111111</v>
      </c>
      <c r="AE457" s="45">
        <v>45932.0</v>
      </c>
      <c r="AF457" s="21" t="s">
        <v>2744</v>
      </c>
      <c r="AG457" s="21" t="s">
        <v>2846</v>
      </c>
      <c r="AH457" s="21" t="s">
        <v>3824</v>
      </c>
      <c r="AI457" s="62" t="str">
        <f>IFERROR(__xludf.DUMMYFUNCTION("IF(OR(W457="""",X457="""",AE457="""",AD457=""""),"""",
   TEXT(
     (
       (AE457+AD457 + IF(AE457+AD457 &lt; W457+X457,1,0)) - (W457+X457)
     )
     - IF(AND(AB457&lt;&gt;"""",AC457&lt;&gt;""""), 
          SUM(ARRAYFORMULA(SPLIT(AC457,"","") - SPLIT(AB457,"",""))"&amp;"), 
          0
       ),
     ""[hh]:mm""
   )
)
"),"04:16")</f>
        <v>04:16</v>
      </c>
      <c r="AJ457" s="27">
        <f t="shared" si="9"/>
        <v>0</v>
      </c>
      <c r="AK457" s="63" t="str">
        <f t="shared" si="10"/>
        <v>Pass</v>
      </c>
    </row>
    <row r="458">
      <c r="A458" s="45">
        <v>45932.0</v>
      </c>
      <c r="B458" s="49">
        <v>0.3972222222222222</v>
      </c>
      <c r="C458" s="45">
        <v>45932.0</v>
      </c>
      <c r="D458" s="49">
        <v>0.3972222222222222</v>
      </c>
      <c r="E458" s="21" t="s">
        <v>3825</v>
      </c>
      <c r="F458" s="21" t="s">
        <v>754</v>
      </c>
      <c r="G458" s="21" t="s">
        <v>755</v>
      </c>
      <c r="H458" s="21" t="s">
        <v>756</v>
      </c>
      <c r="I458" s="21" t="s">
        <v>234</v>
      </c>
      <c r="J458" s="21" t="s">
        <v>42</v>
      </c>
      <c r="K458" s="47"/>
      <c r="L458" s="21" t="s">
        <v>183</v>
      </c>
      <c r="M458" s="21" t="s">
        <v>3826</v>
      </c>
      <c r="N458" s="21" t="s">
        <v>3827</v>
      </c>
      <c r="O458" s="48" t="s">
        <v>3828</v>
      </c>
      <c r="P458" s="21" t="s">
        <v>48</v>
      </c>
      <c r="Q458" s="24" t="s">
        <v>65</v>
      </c>
      <c r="R458" s="21" t="s">
        <v>3829</v>
      </c>
      <c r="S458" s="21" t="s">
        <v>51</v>
      </c>
      <c r="T458" s="21" t="s">
        <v>52</v>
      </c>
      <c r="U458" s="21" t="s">
        <v>52</v>
      </c>
      <c r="V458" s="21" t="s">
        <v>52</v>
      </c>
      <c r="W458" s="45">
        <v>45932.0</v>
      </c>
      <c r="X458" s="49">
        <v>0.3972222222222222</v>
      </c>
      <c r="Y458" s="45">
        <v>45932.0</v>
      </c>
      <c r="Z458" s="49">
        <v>0.50625</v>
      </c>
      <c r="AA458" s="49">
        <v>0.5097222222222222</v>
      </c>
      <c r="AB458" s="29"/>
      <c r="AC458" s="29"/>
      <c r="AD458" s="25">
        <v>0.5381944444444444</v>
      </c>
      <c r="AE458" s="45">
        <v>45932.0</v>
      </c>
      <c r="AF458" s="21" t="s">
        <v>2744</v>
      </c>
      <c r="AG458" s="21" t="s">
        <v>2846</v>
      </c>
      <c r="AH458" s="21" t="s">
        <v>3824</v>
      </c>
      <c r="AI458" s="62" t="str">
        <f>IFERROR(__xludf.DUMMYFUNCTION("IF(OR(W458="""",X458="""",AE458="""",AD458=""""),"""",
   TEXT(
     (
       (AE458+AD458 + IF(AE458+AD458 &lt; W458+X458,1,0)) - (W458+X458)
     )
     - IF(AND(AB458&lt;&gt;"""",AC458&lt;&gt;""""), 
          SUM(ARRAYFORMULA(SPLIT(AC458,"","") - SPLIT(AB458,"",""))"&amp;"), 
          0
       ),
     ""[hh]:mm""
   )
)
"),"03:23")</f>
        <v>03:23</v>
      </c>
      <c r="AJ458" s="27">
        <f t="shared" si="9"/>
        <v>0</v>
      </c>
      <c r="AK458" s="63" t="str">
        <f t="shared" si="10"/>
        <v>Pass</v>
      </c>
    </row>
    <row r="459">
      <c r="A459" s="45">
        <v>45932.0</v>
      </c>
      <c r="B459" s="49">
        <v>0.4076388888888889</v>
      </c>
      <c r="C459" s="45">
        <v>45932.0</v>
      </c>
      <c r="D459" s="49">
        <v>0.4125</v>
      </c>
      <c r="E459" s="21" t="s">
        <v>3830</v>
      </c>
      <c r="F459" s="21" t="s">
        <v>3831</v>
      </c>
      <c r="G459" s="21" t="s">
        <v>3832</v>
      </c>
      <c r="H459" s="21" t="s">
        <v>1610</v>
      </c>
      <c r="I459" s="21" t="s">
        <v>1612</v>
      </c>
      <c r="J459" s="21" t="s">
        <v>1612</v>
      </c>
      <c r="K459" s="21" t="s">
        <v>143</v>
      </c>
      <c r="L459" s="21" t="s">
        <v>3833</v>
      </c>
      <c r="M459" s="21" t="s">
        <v>3834</v>
      </c>
      <c r="N459" s="21" t="s">
        <v>3835</v>
      </c>
      <c r="O459" s="48" t="s">
        <v>3836</v>
      </c>
      <c r="P459" s="21" t="s">
        <v>187</v>
      </c>
      <c r="Q459" s="24" t="s">
        <v>65</v>
      </c>
      <c r="R459" s="21" t="s">
        <v>3837</v>
      </c>
      <c r="S459" s="21" t="s">
        <v>51</v>
      </c>
      <c r="T459" s="21" t="s">
        <v>52</v>
      </c>
      <c r="U459" s="21" t="s">
        <v>52</v>
      </c>
      <c r="V459" s="21" t="s">
        <v>52</v>
      </c>
      <c r="W459" s="45">
        <v>45932.0</v>
      </c>
      <c r="X459" s="49">
        <v>0.4125</v>
      </c>
      <c r="Y459" s="45">
        <v>45932.0</v>
      </c>
      <c r="Z459" s="49">
        <v>0.6791666666666667</v>
      </c>
      <c r="AA459" s="49">
        <v>0.6805555555555556</v>
      </c>
      <c r="AB459" s="29"/>
      <c r="AC459" s="29"/>
      <c r="AD459" s="25">
        <v>0.7048611111111112</v>
      </c>
      <c r="AE459" s="45">
        <v>45932.0</v>
      </c>
      <c r="AF459" s="21" t="s">
        <v>2744</v>
      </c>
      <c r="AG459" s="21" t="s">
        <v>102</v>
      </c>
      <c r="AH459" s="21" t="s">
        <v>3838</v>
      </c>
      <c r="AI459" s="62" t="str">
        <f>IFERROR(__xludf.DUMMYFUNCTION("IF(OR(W459="""",X459="""",AE459="""",AD459=""""),"""",
   TEXT(
     (
       (AE459+AD459 + IF(AE459+AD459 &lt; W459+X459,1,0)) - (W459+X459)
     )
     - IF(AND(AB459&lt;&gt;"""",AC459&lt;&gt;""""), 
          SUM(ARRAYFORMULA(SPLIT(AC459,"","") - SPLIT(AB459,"",""))"&amp;"), 
          0
       ),
     ""[hh]:mm""
   )
)
"),"07:01")</f>
        <v>07:01</v>
      </c>
      <c r="AJ459" s="27">
        <f t="shared" si="9"/>
        <v>0</v>
      </c>
      <c r="AK459" s="63" t="str">
        <f t="shared" si="10"/>
        <v>Pass</v>
      </c>
    </row>
    <row r="460">
      <c r="A460" s="45">
        <v>45932.0</v>
      </c>
      <c r="B460" s="49">
        <v>0.4340277777777778</v>
      </c>
      <c r="C460" s="45">
        <v>45932.0</v>
      </c>
      <c r="D460" s="49">
        <v>0.44027777777777777</v>
      </c>
      <c r="E460" s="21" t="s">
        <v>3839</v>
      </c>
      <c r="F460" s="21" t="s">
        <v>3804</v>
      </c>
      <c r="G460" s="21" t="s">
        <v>3805</v>
      </c>
      <c r="H460" s="21" t="s">
        <v>3840</v>
      </c>
      <c r="I460" s="21" t="s">
        <v>131</v>
      </c>
      <c r="J460" s="21" t="s">
        <v>132</v>
      </c>
      <c r="K460" s="21" t="s">
        <v>43</v>
      </c>
      <c r="L460" s="21" t="s">
        <v>3841</v>
      </c>
      <c r="M460" s="21" t="s">
        <v>3842</v>
      </c>
      <c r="N460" s="21" t="s">
        <v>3843</v>
      </c>
      <c r="O460" s="48" t="s">
        <v>3844</v>
      </c>
      <c r="P460" s="21" t="s">
        <v>75</v>
      </c>
      <c r="Q460" s="24" t="s">
        <v>65</v>
      </c>
      <c r="R460" s="21" t="s">
        <v>3845</v>
      </c>
      <c r="S460" s="21" t="s">
        <v>51</v>
      </c>
      <c r="T460" s="21" t="s">
        <v>52</v>
      </c>
      <c r="U460" s="21" t="s">
        <v>52</v>
      </c>
      <c r="V460" s="21" t="s">
        <v>52</v>
      </c>
      <c r="W460" s="45">
        <v>45932.0</v>
      </c>
      <c r="X460" s="49">
        <v>0.44027777777777777</v>
      </c>
      <c r="Y460" s="45">
        <v>45932.0</v>
      </c>
      <c r="Z460" s="49">
        <v>0.4583333333333333</v>
      </c>
      <c r="AA460" s="49">
        <v>0.4618055555555556</v>
      </c>
      <c r="AB460" s="29"/>
      <c r="AC460" s="29"/>
      <c r="AD460" s="25">
        <v>0.5715277777777777</v>
      </c>
      <c r="AE460" s="45">
        <v>45932.0</v>
      </c>
      <c r="AF460" s="21" t="s">
        <v>2819</v>
      </c>
      <c r="AG460" s="21" t="s">
        <v>293</v>
      </c>
      <c r="AH460" s="21" t="s">
        <v>3811</v>
      </c>
      <c r="AI460" s="62" t="str">
        <f>IFERROR(__xludf.DUMMYFUNCTION("IF(OR(W460="""",X460="""",AE460="""",AD460=""""),"""",
   TEXT(
     (
       (AE460+AD460 + IF(AE460+AD460 &lt; W460+X460,1,0)) - (W460+X460)
     )
     - IF(AND(AB460&lt;&gt;"""",AC460&lt;&gt;""""), 
          SUM(ARRAYFORMULA(SPLIT(AC460,"","") - SPLIT(AB460,"",""))"&amp;"), 
          0
       ),
     ""[hh]:mm""
   )
)
"),"03:09")</f>
        <v>03:09</v>
      </c>
      <c r="AJ460" s="27">
        <f t="shared" si="9"/>
        <v>0</v>
      </c>
      <c r="AK460" s="63" t="str">
        <f t="shared" si="10"/>
        <v>Pass</v>
      </c>
    </row>
    <row r="461">
      <c r="A461" s="45">
        <v>45932.0</v>
      </c>
      <c r="B461" s="49">
        <v>0.4722222222222222</v>
      </c>
      <c r="C461" s="45">
        <v>45932.0</v>
      </c>
      <c r="D461" s="49">
        <v>0.475</v>
      </c>
      <c r="E461" s="21" t="s">
        <v>3846</v>
      </c>
      <c r="F461" s="21" t="s">
        <v>2831</v>
      </c>
      <c r="G461" s="21" t="s">
        <v>2832</v>
      </c>
      <c r="H461" s="21" t="s">
        <v>244</v>
      </c>
      <c r="I461" s="21" t="s">
        <v>234</v>
      </c>
      <c r="J461" s="21" t="s">
        <v>42</v>
      </c>
      <c r="K461" s="21" t="s">
        <v>61</v>
      </c>
      <c r="L461" s="21" t="s">
        <v>3847</v>
      </c>
      <c r="M461" s="21" t="s">
        <v>3848</v>
      </c>
      <c r="N461" s="21" t="s">
        <v>3849</v>
      </c>
      <c r="O461" s="48" t="s">
        <v>3850</v>
      </c>
      <c r="P461" s="21" t="s">
        <v>48</v>
      </c>
      <c r="Q461" s="24" t="s">
        <v>65</v>
      </c>
      <c r="R461" s="21" t="s">
        <v>3851</v>
      </c>
      <c r="S461" s="21" t="s">
        <v>51</v>
      </c>
      <c r="T461" s="21" t="s">
        <v>52</v>
      </c>
      <c r="U461" s="21" t="s">
        <v>52</v>
      </c>
      <c r="V461" s="21" t="s">
        <v>52</v>
      </c>
      <c r="W461" s="45">
        <v>45932.0</v>
      </c>
      <c r="X461" s="49">
        <v>0.475</v>
      </c>
      <c r="Y461" s="45">
        <v>45932.0</v>
      </c>
      <c r="Z461" s="49">
        <v>0.5416666666666666</v>
      </c>
      <c r="AA461" s="49">
        <v>0.5451388888888888</v>
      </c>
      <c r="AB461" s="25">
        <v>0.5625</v>
      </c>
      <c r="AC461" s="25">
        <v>0.5833333333333334</v>
      </c>
      <c r="AD461" s="25">
        <v>0.5833333333333334</v>
      </c>
      <c r="AE461" s="45">
        <v>45932.0</v>
      </c>
      <c r="AF461" s="21" t="s">
        <v>2744</v>
      </c>
      <c r="AG461" s="21" t="s">
        <v>54</v>
      </c>
      <c r="AH461" s="21" t="s">
        <v>3852</v>
      </c>
      <c r="AI461" s="62" t="str">
        <f>IFERROR(__xludf.DUMMYFUNCTION("IF(OR(W461="""",X461="""",AE461="""",AD461=""""),"""",
   TEXT(
     (
       (AE461+AD461 + IF(AE461+AD461 &lt; W461+X461,1,0)) - (W461+X461)
     )
     - IF(AND(AB461&lt;&gt;"""",AC461&lt;&gt;""""), 
          SUM(ARRAYFORMULA(SPLIT(AC461,"","") - SPLIT(AB461,"",""))"&amp;"), 
          0
       ),
     ""[hh]:mm""
   )
)
"),"02:06")</f>
        <v>02:06</v>
      </c>
      <c r="AJ461" s="27">
        <f t="shared" si="9"/>
        <v>0</v>
      </c>
      <c r="AK461" s="63" t="str">
        <f t="shared" si="10"/>
        <v>Pass</v>
      </c>
    </row>
    <row r="462">
      <c r="A462" s="45">
        <v>45932.0</v>
      </c>
      <c r="B462" s="49">
        <v>0.5430555555555555</v>
      </c>
      <c r="C462" s="45">
        <v>45932.0</v>
      </c>
      <c r="D462" s="49">
        <v>0.5451388888888888</v>
      </c>
      <c r="E462" s="21" t="s">
        <v>3853</v>
      </c>
      <c r="F462" s="21" t="s">
        <v>180</v>
      </c>
      <c r="G462" s="21" t="s">
        <v>181</v>
      </c>
      <c r="H462" s="21" t="s">
        <v>182</v>
      </c>
      <c r="I462" s="21" t="s">
        <v>60</v>
      </c>
      <c r="J462" s="21" t="s">
        <v>42</v>
      </c>
      <c r="K462" s="21" t="s">
        <v>61</v>
      </c>
      <c r="L462" s="21" t="s">
        <v>183</v>
      </c>
      <c r="M462" s="21" t="s">
        <v>3854</v>
      </c>
      <c r="N462" s="21" t="s">
        <v>3855</v>
      </c>
      <c r="O462" s="48" t="s">
        <v>3856</v>
      </c>
      <c r="P462" s="21" t="s">
        <v>187</v>
      </c>
      <c r="Q462" s="24" t="s">
        <v>65</v>
      </c>
      <c r="R462" s="21" t="s">
        <v>3857</v>
      </c>
      <c r="S462" s="21" t="s">
        <v>51</v>
      </c>
      <c r="T462" s="21" t="s">
        <v>52</v>
      </c>
      <c r="U462" s="21" t="s">
        <v>52</v>
      </c>
      <c r="V462" s="21" t="s">
        <v>52</v>
      </c>
      <c r="W462" s="45">
        <v>45932.0</v>
      </c>
      <c r="X462" s="49">
        <v>0.5451388888888888</v>
      </c>
      <c r="Y462" s="45">
        <v>45932.0</v>
      </c>
      <c r="Z462" s="49">
        <v>0.7631944444444444</v>
      </c>
      <c r="AA462" s="49">
        <v>0.7708333333333334</v>
      </c>
      <c r="AB462" s="29"/>
      <c r="AC462" s="29"/>
      <c r="AD462" s="25">
        <v>0.9097222222222222</v>
      </c>
      <c r="AE462" s="45">
        <v>45932.0</v>
      </c>
      <c r="AF462" s="21" t="s">
        <v>2744</v>
      </c>
      <c r="AG462" s="21" t="s">
        <v>239</v>
      </c>
      <c r="AH462" s="21" t="s">
        <v>3858</v>
      </c>
      <c r="AI462" s="62" t="str">
        <f>IFERROR(__xludf.DUMMYFUNCTION("IF(OR(W462="""",X462="""",AE462="""",AD462=""""),"""",
   TEXT(
     (
       (AE462+AD462 + IF(AE462+AD462 &lt; W462+X462,1,0)) - (W462+X462)
     )
     - IF(AND(AB462&lt;&gt;"""",AC462&lt;&gt;""""), 
          SUM(ARRAYFORMULA(SPLIT(AC462,"","") - SPLIT(AB462,"",""))"&amp;"), 
          0
       ),
     ""[hh]:mm""
   )
)
"),"08:45")</f>
        <v>08:45</v>
      </c>
      <c r="AJ462" s="27">
        <f t="shared" si="9"/>
        <v>0</v>
      </c>
      <c r="AK462" s="63" t="str">
        <f t="shared" si="10"/>
        <v>Pass</v>
      </c>
    </row>
    <row r="463">
      <c r="A463" s="45">
        <v>45929.0</v>
      </c>
      <c r="B463" s="49">
        <v>0.58125</v>
      </c>
      <c r="C463" s="45">
        <v>45929.0</v>
      </c>
      <c r="D463" s="49">
        <v>0.5840277777777778</v>
      </c>
      <c r="E463" s="21" t="s">
        <v>3859</v>
      </c>
      <c r="F463" s="21" t="s">
        <v>3804</v>
      </c>
      <c r="G463" s="21" t="s">
        <v>3805</v>
      </c>
      <c r="H463" s="21" t="s">
        <v>3553</v>
      </c>
      <c r="I463" s="21" t="s">
        <v>60</v>
      </c>
      <c r="J463" s="21" t="s">
        <v>42</v>
      </c>
      <c r="K463" s="21" t="s">
        <v>43</v>
      </c>
      <c r="L463" s="47"/>
      <c r="M463" s="21" t="s">
        <v>3807</v>
      </c>
      <c r="N463" s="21" t="s">
        <v>3860</v>
      </c>
      <c r="O463" s="48" t="s">
        <v>3861</v>
      </c>
      <c r="P463" s="21" t="s">
        <v>75</v>
      </c>
      <c r="Q463" s="24" t="s">
        <v>65</v>
      </c>
      <c r="R463" s="21" t="s">
        <v>3862</v>
      </c>
      <c r="S463" s="21" t="s">
        <v>51</v>
      </c>
      <c r="T463" s="21" t="s">
        <v>52</v>
      </c>
      <c r="U463" s="21" t="s">
        <v>52</v>
      </c>
      <c r="V463" s="21" t="s">
        <v>52</v>
      </c>
      <c r="W463" s="45">
        <v>45932.0</v>
      </c>
      <c r="X463" s="49">
        <v>0.44027777777777777</v>
      </c>
      <c r="Y463" s="45">
        <v>45932.0</v>
      </c>
      <c r="Z463" s="49">
        <v>0.4583333333333333</v>
      </c>
      <c r="AA463" s="49">
        <v>0.4618055555555556</v>
      </c>
      <c r="AB463" s="29"/>
      <c r="AC463" s="29"/>
      <c r="AD463" s="25">
        <v>0.5743055555555555</v>
      </c>
      <c r="AE463" s="45">
        <v>45932.0</v>
      </c>
      <c r="AF463" s="21" t="s">
        <v>2839</v>
      </c>
      <c r="AG463" s="21" t="s">
        <v>293</v>
      </c>
      <c r="AH463" s="21" t="s">
        <v>3811</v>
      </c>
      <c r="AI463" s="62" t="str">
        <f>IFERROR(__xludf.DUMMYFUNCTION("IF(OR(W463="""",X463="""",AE463="""",AD463=""""),"""",
   TEXT(
     (
       (AE463+AD463 + IF(AE463+AD463 &lt; W463+X463,1,0)) - (W463+X463)
     )
     - IF(AND(AB463&lt;&gt;"""",AC463&lt;&gt;""""), 
          SUM(ARRAYFORMULA(SPLIT(AC463,"","") - SPLIT(AB463,"",""))"&amp;"), 
          0
       ),
     ""[hh]:mm""
   )
)
"),"03:13")</f>
        <v>03:13</v>
      </c>
      <c r="AJ463" s="27">
        <f t="shared" si="9"/>
        <v>0</v>
      </c>
      <c r="AK463" s="63" t="str">
        <f t="shared" si="10"/>
        <v>Pass</v>
      </c>
    </row>
    <row r="464">
      <c r="A464" s="45">
        <v>45932.0</v>
      </c>
      <c r="B464" s="49">
        <v>0.7701388888888889</v>
      </c>
      <c r="C464" s="45">
        <v>45932.0</v>
      </c>
      <c r="D464" s="49">
        <v>0.7756944444444445</v>
      </c>
      <c r="E464" s="21" t="s">
        <v>3863</v>
      </c>
      <c r="F464" s="21" t="s">
        <v>3864</v>
      </c>
      <c r="G464" s="21" t="s">
        <v>3865</v>
      </c>
      <c r="H464" s="21" t="s">
        <v>3866</v>
      </c>
      <c r="I464" s="21" t="s">
        <v>60</v>
      </c>
      <c r="J464" s="21" t="s">
        <v>42</v>
      </c>
      <c r="K464" s="21" t="s">
        <v>61</v>
      </c>
      <c r="L464" s="21" t="s">
        <v>183</v>
      </c>
      <c r="M464" s="21" t="s">
        <v>3867</v>
      </c>
      <c r="N464" s="21" t="s">
        <v>3868</v>
      </c>
      <c r="O464" s="48" t="s">
        <v>3869</v>
      </c>
      <c r="P464" s="21" t="s">
        <v>75</v>
      </c>
      <c r="Q464" s="24" t="s">
        <v>65</v>
      </c>
      <c r="R464" s="21" t="s">
        <v>3870</v>
      </c>
      <c r="S464" s="21" t="s">
        <v>51</v>
      </c>
      <c r="T464" s="21" t="s">
        <v>52</v>
      </c>
      <c r="U464" s="21" t="s">
        <v>52</v>
      </c>
      <c r="V464" s="21" t="s">
        <v>52</v>
      </c>
      <c r="W464" s="45">
        <v>45932.0</v>
      </c>
      <c r="X464" s="49">
        <v>0.7756944444444445</v>
      </c>
      <c r="Y464" s="45">
        <v>45932.0</v>
      </c>
      <c r="Z464" s="49">
        <v>0.9409722222222222</v>
      </c>
      <c r="AA464" s="49">
        <v>0.9416666666666667</v>
      </c>
      <c r="AB464" s="29"/>
      <c r="AC464" s="29"/>
      <c r="AD464" s="25">
        <v>0.9930555555555556</v>
      </c>
      <c r="AE464" s="45">
        <v>45932.0</v>
      </c>
      <c r="AF464" s="21" t="s">
        <v>2711</v>
      </c>
      <c r="AG464" s="21" t="s">
        <v>2015</v>
      </c>
      <c r="AH464" s="21" t="s">
        <v>3871</v>
      </c>
      <c r="AI464" s="62" t="str">
        <f>IFERROR(__xludf.DUMMYFUNCTION("IF(OR(W464="""",X464="""",AE464="""",AD464=""""),"""",
   TEXT(
     (
       (AE464+AD464 + IF(AE464+AD464 &lt; W464+X464,1,0)) - (W464+X464)
     )
     - IF(AND(AB464&lt;&gt;"""",AC464&lt;&gt;""""), 
          SUM(ARRAYFORMULA(SPLIT(AC464,"","") - SPLIT(AB464,"",""))"&amp;"), 
          0
       ),
     ""[hh]:mm""
   )
)
"),"05:13")</f>
        <v>05:13</v>
      </c>
      <c r="AJ464" s="27">
        <f t="shared" si="9"/>
        <v>0</v>
      </c>
      <c r="AK464" s="63" t="str">
        <f t="shared" si="10"/>
        <v>Pass</v>
      </c>
    </row>
    <row r="465">
      <c r="A465" s="45">
        <v>45932.0</v>
      </c>
      <c r="B465" s="49">
        <v>0.8270833333333333</v>
      </c>
      <c r="C465" s="45">
        <v>45932.0</v>
      </c>
      <c r="D465" s="49">
        <v>0.8319444444444445</v>
      </c>
      <c r="E465" s="21" t="s">
        <v>3872</v>
      </c>
      <c r="F465" s="21" t="s">
        <v>3873</v>
      </c>
      <c r="G465" s="21" t="s">
        <v>3874</v>
      </c>
      <c r="H465" s="21" t="s">
        <v>377</v>
      </c>
      <c r="I465" s="21" t="s">
        <v>60</v>
      </c>
      <c r="J465" s="21" t="s">
        <v>42</v>
      </c>
      <c r="K465" s="21" t="s">
        <v>61</v>
      </c>
      <c r="L465" s="21" t="s">
        <v>183</v>
      </c>
      <c r="M465" s="21" t="s">
        <v>3875</v>
      </c>
      <c r="N465" s="21" t="s">
        <v>3876</v>
      </c>
      <c r="O465" s="48" t="s">
        <v>3877</v>
      </c>
      <c r="P465" s="21" t="s">
        <v>75</v>
      </c>
      <c r="Q465" s="24" t="s">
        <v>65</v>
      </c>
      <c r="R465" s="21" t="s">
        <v>3878</v>
      </c>
      <c r="S465" s="21" t="s">
        <v>51</v>
      </c>
      <c r="T465" s="21" t="s">
        <v>52</v>
      </c>
      <c r="U465" s="21" t="s">
        <v>52</v>
      </c>
      <c r="V465" s="21" t="s">
        <v>52</v>
      </c>
      <c r="W465" s="45">
        <v>45932.0</v>
      </c>
      <c r="X465" s="49">
        <v>0.8319444444444445</v>
      </c>
      <c r="Y465" s="45">
        <v>45932.0</v>
      </c>
      <c r="Z465" s="49">
        <v>0.9513888888888888</v>
      </c>
      <c r="AA465" s="49">
        <v>0.9569444444444445</v>
      </c>
      <c r="AB465" s="29"/>
      <c r="AC465" s="29"/>
      <c r="AD465" s="25">
        <v>0.024305555555555556</v>
      </c>
      <c r="AE465" s="45">
        <v>45933.0</v>
      </c>
      <c r="AF465" s="21" t="s">
        <v>2711</v>
      </c>
      <c r="AG465" s="21" t="s">
        <v>3879</v>
      </c>
      <c r="AH465" s="21" t="s">
        <v>3880</v>
      </c>
      <c r="AI465" s="62" t="str">
        <f>IFERROR(__xludf.DUMMYFUNCTION("IF(OR(W465="""",X465="""",AE465="""",AD465=""""),"""",
   TEXT(
     (
       (AE465+AD465 + IF(AE465+AD465 &lt; W465+X465,1,0)) - (W465+X465)
     )
     - IF(AND(AB465&lt;&gt;"""",AC465&lt;&gt;""""), 
          SUM(ARRAYFORMULA(SPLIT(AC465,"","") - SPLIT(AB465,"",""))"&amp;"), 
          0
       ),
     ""[hh]:mm""
   )
)
"),"04:37")</f>
        <v>04:37</v>
      </c>
      <c r="AJ465" s="27">
        <f t="shared" si="9"/>
        <v>0</v>
      </c>
      <c r="AK465" s="63" t="str">
        <f t="shared" si="10"/>
        <v>Pass</v>
      </c>
    </row>
    <row r="466">
      <c r="A466" s="45">
        <v>45933.0</v>
      </c>
      <c r="B466" s="49">
        <v>0.3333333333333333</v>
      </c>
      <c r="C466" s="45">
        <v>45933.0</v>
      </c>
      <c r="D466" s="49">
        <v>0.3333333333333333</v>
      </c>
      <c r="E466" s="21" t="s">
        <v>3881</v>
      </c>
      <c r="F466" s="21" t="s">
        <v>710</v>
      </c>
      <c r="G466" s="21" t="s">
        <v>3882</v>
      </c>
      <c r="H466" s="21" t="s">
        <v>3093</v>
      </c>
      <c r="I466" s="21" t="s">
        <v>616</v>
      </c>
      <c r="J466" s="21" t="s">
        <v>2253</v>
      </c>
      <c r="K466" s="21" t="s">
        <v>43</v>
      </c>
      <c r="L466" s="21" t="s">
        <v>3883</v>
      </c>
      <c r="M466" s="21" t="s">
        <v>3884</v>
      </c>
      <c r="N466" s="21" t="s">
        <v>3885</v>
      </c>
      <c r="O466" s="48" t="s">
        <v>3886</v>
      </c>
      <c r="P466" s="21" t="s">
        <v>75</v>
      </c>
      <c r="Q466" s="24" t="s">
        <v>198</v>
      </c>
      <c r="R466" s="21" t="s">
        <v>3887</v>
      </c>
      <c r="S466" s="21" t="s">
        <v>51</v>
      </c>
      <c r="T466" s="21" t="s">
        <v>657</v>
      </c>
      <c r="U466" s="21" t="s">
        <v>3888</v>
      </c>
      <c r="V466" s="21" t="s">
        <v>3884</v>
      </c>
      <c r="W466" s="45">
        <v>45933.0</v>
      </c>
      <c r="X466" s="49">
        <v>0.3333333333333333</v>
      </c>
      <c r="Y466" s="45">
        <v>45933.0</v>
      </c>
      <c r="Z466" s="49">
        <v>0.37222222222222223</v>
      </c>
      <c r="AA466" s="49">
        <v>0.3729166666666667</v>
      </c>
      <c r="AB466" s="29"/>
      <c r="AC466" s="29"/>
      <c r="AD466" s="25">
        <v>0.3854166666666667</v>
      </c>
      <c r="AE466" s="45">
        <v>45933.0</v>
      </c>
      <c r="AF466" s="21" t="s">
        <v>3889</v>
      </c>
      <c r="AG466" s="21" t="s">
        <v>775</v>
      </c>
      <c r="AH466" s="21" t="s">
        <v>3890</v>
      </c>
      <c r="AI466" s="62" t="str">
        <f>IFERROR(__xludf.DUMMYFUNCTION("IF(OR(W466="""",X466="""",AE466="""",AD466=""""),"""",
   TEXT(
     (
       (AE466+AD466 + IF(AE466+AD466 &lt; W466+X466,1,0)) - (W466+X466)
     )
     - IF(AND(AB466&lt;&gt;"""",AC466&lt;&gt;""""), 
          SUM(ARRAYFORMULA(SPLIT(AC466,"","") - SPLIT(AB466,"",""))"&amp;"), 
          0
       ),
     ""[hh]:mm""
   )
)
"),"01:15")</f>
        <v>01:15</v>
      </c>
      <c r="AJ466" s="27">
        <f t="shared" si="9"/>
        <v>0</v>
      </c>
      <c r="AK466" s="63" t="str">
        <f t="shared" si="10"/>
        <v>Pass</v>
      </c>
    </row>
    <row r="467">
      <c r="A467" s="45">
        <v>45925.0</v>
      </c>
      <c r="B467" s="49">
        <v>0.9631944444444445</v>
      </c>
      <c r="C467" s="45">
        <v>45931.0</v>
      </c>
      <c r="D467" s="80">
        <v>0.7541666666666667</v>
      </c>
      <c r="E467" s="21" t="s">
        <v>3891</v>
      </c>
      <c r="F467" s="21" t="s">
        <v>1656</v>
      </c>
      <c r="G467" s="21" t="s">
        <v>1657</v>
      </c>
      <c r="H467" s="21" t="s">
        <v>2352</v>
      </c>
      <c r="I467" s="21" t="s">
        <v>928</v>
      </c>
      <c r="J467" s="21" t="s">
        <v>2352</v>
      </c>
      <c r="K467" s="47"/>
      <c r="L467" s="47"/>
      <c r="M467" s="47"/>
      <c r="N467" s="21" t="s">
        <v>3892</v>
      </c>
      <c r="O467" s="48" t="s">
        <v>3893</v>
      </c>
      <c r="P467" s="21" t="s">
        <v>48</v>
      </c>
      <c r="Q467" s="24" t="s">
        <v>449</v>
      </c>
      <c r="R467" s="21" t="s">
        <v>3894</v>
      </c>
      <c r="S467" s="21" t="s">
        <v>51</v>
      </c>
      <c r="T467" s="21" t="s">
        <v>52</v>
      </c>
      <c r="U467" s="21" t="s">
        <v>52</v>
      </c>
      <c r="V467" s="21" t="s">
        <v>52</v>
      </c>
      <c r="W467" s="45">
        <v>45933.0</v>
      </c>
      <c r="X467" s="49">
        <v>0.0</v>
      </c>
      <c r="Y467" s="45">
        <v>45933.0</v>
      </c>
      <c r="Z467" s="49">
        <v>0.9847222222222223</v>
      </c>
      <c r="AA467" s="49">
        <v>0.08333333333333333</v>
      </c>
      <c r="AB467" s="29"/>
      <c r="AC467" s="29"/>
      <c r="AD467" s="25">
        <v>0.2013888888888889</v>
      </c>
      <c r="AE467" s="45">
        <v>45933.0</v>
      </c>
      <c r="AF467" s="21" t="s">
        <v>2931</v>
      </c>
      <c r="AG467" s="21" t="s">
        <v>3895</v>
      </c>
      <c r="AH467" s="21" t="s">
        <v>3896</v>
      </c>
      <c r="AI467" s="62" t="str">
        <f>IFERROR(__xludf.DUMMYFUNCTION("IF(OR(W467="""",X467="""",AE467="""",AD467=""""),"""",
   TEXT(
     (
       (AE467+AD467 + IF(AE467+AD467 &lt; W467+X467,1,0)) - (W467+X467)
     )
     - IF(AND(AB467&lt;&gt;"""",AC467&lt;&gt;""""), 
          SUM(ARRAYFORMULA(SPLIT(AC467,"","") - SPLIT(AB467,"",""))"&amp;"), 
          0
       ),
     ""[hh]:mm""
   )
)
"),"04:50")</f>
        <v>04:50</v>
      </c>
      <c r="AJ467" s="27">
        <f t="shared" si="9"/>
        <v>0</v>
      </c>
      <c r="AK467" s="63" t="str">
        <f t="shared" si="10"/>
        <v>Pass</v>
      </c>
    </row>
    <row r="468">
      <c r="A468" s="45">
        <v>45933.0</v>
      </c>
      <c r="B468" s="49">
        <v>0.4652777777777778</v>
      </c>
      <c r="C468" s="45">
        <v>45933.0</v>
      </c>
      <c r="D468" s="49">
        <v>0.4652777777777778</v>
      </c>
      <c r="E468" s="21" t="s">
        <v>3897</v>
      </c>
      <c r="F468" s="21" t="s">
        <v>3733</v>
      </c>
      <c r="G468" s="21" t="s">
        <v>3898</v>
      </c>
      <c r="H468" s="21" t="s">
        <v>566</v>
      </c>
      <c r="I468" s="21" t="s">
        <v>1055</v>
      </c>
      <c r="J468" s="21" t="s">
        <v>1056</v>
      </c>
      <c r="K468" s="21" t="s">
        <v>635</v>
      </c>
      <c r="L468" s="21" t="s">
        <v>1585</v>
      </c>
      <c r="M468" s="21" t="s">
        <v>3899</v>
      </c>
      <c r="N468" s="21" t="s">
        <v>3900</v>
      </c>
      <c r="O468" s="48" t="s">
        <v>3901</v>
      </c>
      <c r="P468" s="21" t="s">
        <v>48</v>
      </c>
      <c r="Q468" s="24" t="s">
        <v>65</v>
      </c>
      <c r="R468" s="21" t="s">
        <v>3902</v>
      </c>
      <c r="S468" s="21" t="s">
        <v>51</v>
      </c>
      <c r="T468" s="21" t="s">
        <v>52</v>
      </c>
      <c r="U468" s="21" t="s">
        <v>52</v>
      </c>
      <c r="V468" s="21" t="s">
        <v>52</v>
      </c>
      <c r="W468" s="45">
        <v>45933.0</v>
      </c>
      <c r="X468" s="49">
        <v>0.4652777777777778</v>
      </c>
      <c r="Y468" s="45">
        <v>45933.0</v>
      </c>
      <c r="Z468" s="49">
        <v>0.7791666666666667</v>
      </c>
      <c r="AA468" s="49">
        <v>0.7819444444444444</v>
      </c>
      <c r="AB468" s="29"/>
      <c r="AC468" s="29"/>
      <c r="AD468" s="25">
        <v>0.8125</v>
      </c>
      <c r="AE468" s="45">
        <v>45933.0</v>
      </c>
      <c r="AF468" s="21" t="s">
        <v>3007</v>
      </c>
      <c r="AG468" s="21" t="s">
        <v>3903</v>
      </c>
      <c r="AH468" s="21" t="s">
        <v>3904</v>
      </c>
      <c r="AI468" s="62" t="str">
        <f>IFERROR(__xludf.DUMMYFUNCTION("IF(OR(W468="""",X468="""",AE468="""",AD468=""""),"""",
   TEXT(
     (
       (AE468+AD468 + IF(AE468+AD468 &lt; W468+X468,1,0)) - (W468+X468)
     )
     - IF(AND(AB468&lt;&gt;"""",AC468&lt;&gt;""""), 
          SUM(ARRAYFORMULA(SPLIT(AC468,"","") - SPLIT(AB468,"",""))"&amp;"), 
          0
       ),
     ""[hh]:mm""
   )
)
"),"08:20")</f>
        <v>08:20</v>
      </c>
      <c r="AJ468" s="27">
        <f t="shared" si="9"/>
        <v>0</v>
      </c>
      <c r="AK468" s="63" t="str">
        <f t="shared" si="10"/>
        <v>Pass</v>
      </c>
    </row>
    <row r="469">
      <c r="A469" s="45">
        <v>45931.0</v>
      </c>
      <c r="B469" s="49">
        <v>0.9222222222222223</v>
      </c>
      <c r="C469" s="45">
        <v>45932.0</v>
      </c>
      <c r="D469" s="80">
        <v>0.31319444444444444</v>
      </c>
      <c r="E469" s="21" t="s">
        <v>3905</v>
      </c>
      <c r="F469" s="21" t="s">
        <v>2538</v>
      </c>
      <c r="G469" s="21" t="s">
        <v>2539</v>
      </c>
      <c r="H469" s="21" t="s">
        <v>156</v>
      </c>
      <c r="I469" s="21" t="s">
        <v>131</v>
      </c>
      <c r="J469" s="21" t="s">
        <v>2253</v>
      </c>
      <c r="K469" s="21" t="s">
        <v>43</v>
      </c>
      <c r="L469" s="21" t="s">
        <v>3906</v>
      </c>
      <c r="M469" s="21" t="s">
        <v>3907</v>
      </c>
      <c r="N469" s="21" t="s">
        <v>3908</v>
      </c>
      <c r="O469" s="48" t="s">
        <v>3909</v>
      </c>
      <c r="P469" s="21" t="s">
        <v>75</v>
      </c>
      <c r="Q469" s="24" t="s">
        <v>65</v>
      </c>
      <c r="R469" s="21" t="s">
        <v>3910</v>
      </c>
      <c r="S469" s="21" t="s">
        <v>51</v>
      </c>
      <c r="T469" s="21" t="s">
        <v>52</v>
      </c>
      <c r="U469" s="21" t="s">
        <v>52</v>
      </c>
      <c r="V469" s="21" t="s">
        <v>52</v>
      </c>
      <c r="W469" s="45">
        <v>45933.0</v>
      </c>
      <c r="X469" s="49">
        <v>0.5847222222222223</v>
      </c>
      <c r="Y469" s="45">
        <v>45933.0</v>
      </c>
      <c r="Z469" s="49">
        <v>0.7236111111111111</v>
      </c>
      <c r="AA469" s="49">
        <v>0.7256944444444444</v>
      </c>
      <c r="AB469" s="29"/>
      <c r="AC469" s="29"/>
      <c r="AD469" s="25">
        <v>0.7569444444444444</v>
      </c>
      <c r="AE469" s="45">
        <v>45933.0</v>
      </c>
      <c r="AF469" s="21" t="s">
        <v>3007</v>
      </c>
      <c r="AG469" s="21" t="s">
        <v>102</v>
      </c>
      <c r="AH469" s="21" t="s">
        <v>3911</v>
      </c>
      <c r="AI469" s="62" t="str">
        <f>IFERROR(__xludf.DUMMYFUNCTION("IF(OR(W469="""",X469="""",AE469="""",AD469=""""),"""",
   TEXT(
     (
       (AE469+AD469 + IF(AE469+AD469 &lt; W469+X469,1,0)) - (W469+X469)
     )
     - IF(AND(AB469&lt;&gt;"""",AC469&lt;&gt;""""), 
          SUM(ARRAYFORMULA(SPLIT(AC469,"","") - SPLIT(AB469,"",""))"&amp;"), 
          0
       ),
     ""[hh]:mm""
   )
)
"),"04:08")</f>
        <v>04:08</v>
      </c>
      <c r="AJ469" s="27">
        <f t="shared" si="9"/>
        <v>0</v>
      </c>
      <c r="AK469" s="63" t="str">
        <f t="shared" si="10"/>
        <v>Pass</v>
      </c>
    </row>
    <row r="470">
      <c r="A470" s="45">
        <v>45933.0</v>
      </c>
      <c r="B470" s="49">
        <v>0.6020833333333333</v>
      </c>
      <c r="C470" s="45">
        <v>45933.0</v>
      </c>
      <c r="D470" s="49">
        <v>0.6055555555555555</v>
      </c>
      <c r="E470" s="21" t="s">
        <v>3912</v>
      </c>
      <c r="F470" s="21" t="s">
        <v>3913</v>
      </c>
      <c r="G470" s="21" t="s">
        <v>3914</v>
      </c>
      <c r="H470" s="21" t="s">
        <v>756</v>
      </c>
      <c r="I470" s="21" t="s">
        <v>567</v>
      </c>
      <c r="J470" s="21" t="s">
        <v>567</v>
      </c>
      <c r="K470" s="22" t="s">
        <v>3915</v>
      </c>
      <c r="L470" s="21" t="s">
        <v>2902</v>
      </c>
      <c r="M470" s="21" t="s">
        <v>3916</v>
      </c>
      <c r="N470" s="21" t="s">
        <v>3917</v>
      </c>
      <c r="O470" s="48" t="s">
        <v>3918</v>
      </c>
      <c r="P470" s="21" t="s">
        <v>187</v>
      </c>
      <c r="Q470" s="24" t="s">
        <v>65</v>
      </c>
      <c r="R470" s="21" t="s">
        <v>3919</v>
      </c>
      <c r="S470" s="21" t="s">
        <v>51</v>
      </c>
      <c r="T470" s="21" t="s">
        <v>52</v>
      </c>
      <c r="U470" s="21" t="s">
        <v>52</v>
      </c>
      <c r="V470" s="21" t="s">
        <v>52</v>
      </c>
      <c r="W470" s="45">
        <v>45933.0</v>
      </c>
      <c r="X470" s="49">
        <v>0.6055555555555555</v>
      </c>
      <c r="Y470" s="45">
        <v>45933.0</v>
      </c>
      <c r="Z470" s="49">
        <v>0.6506944444444445</v>
      </c>
      <c r="AA470" s="49">
        <v>0.6527777777777778</v>
      </c>
      <c r="AB470" s="25">
        <v>0.6666666666666666</v>
      </c>
      <c r="AC470" s="25">
        <v>0.6805555555555556</v>
      </c>
      <c r="AD470" s="25">
        <v>0.7361111111111112</v>
      </c>
      <c r="AE470" s="45">
        <v>45933.0</v>
      </c>
      <c r="AF470" s="21" t="s">
        <v>2744</v>
      </c>
      <c r="AG470" s="21" t="s">
        <v>284</v>
      </c>
      <c r="AH470" s="21" t="s">
        <v>3920</v>
      </c>
      <c r="AI470" s="62" t="str">
        <f>IFERROR(__xludf.DUMMYFUNCTION("IF(OR(W470="""",X470="""",AE470="""",AD470=""""),"""",
   TEXT(
     (
       (AE470+AD470 + IF(AE470+AD470 &lt; W470+X470,1,0)) - (W470+X470)
     )
     - IF(AND(AB470&lt;&gt;"""",AC470&lt;&gt;""""), 
          SUM(ARRAYFORMULA(SPLIT(AC470,"","") - SPLIT(AB470,"",""))"&amp;"), 
          0
       ),
     ""[hh]:mm""
   )
)
"),"02:48")</f>
        <v>02:48</v>
      </c>
      <c r="AJ470" s="27">
        <f t="shared" si="9"/>
        <v>0</v>
      </c>
      <c r="AK470" s="63" t="str">
        <f t="shared" si="10"/>
        <v>Pass</v>
      </c>
    </row>
    <row r="471">
      <c r="A471" s="45">
        <v>45933.0</v>
      </c>
      <c r="B471" s="49">
        <v>0.7284722222222222</v>
      </c>
      <c r="C471" s="45">
        <v>45933.0</v>
      </c>
      <c r="D471" s="49">
        <v>0.7375</v>
      </c>
      <c r="E471" s="21" t="s">
        <v>3921</v>
      </c>
      <c r="F471" s="21" t="s">
        <v>3922</v>
      </c>
      <c r="G471" s="21" t="s">
        <v>3923</v>
      </c>
      <c r="H471" s="21" t="s">
        <v>566</v>
      </c>
      <c r="I471" s="21" t="s">
        <v>567</v>
      </c>
      <c r="J471" s="21" t="s">
        <v>567</v>
      </c>
      <c r="K471" s="22" t="s">
        <v>3915</v>
      </c>
      <c r="L471" s="21" t="s">
        <v>3924</v>
      </c>
      <c r="M471" s="21" t="s">
        <v>3925</v>
      </c>
      <c r="N471" s="21" t="s">
        <v>3926</v>
      </c>
      <c r="O471" s="48" t="s">
        <v>3927</v>
      </c>
      <c r="P471" s="21" t="s">
        <v>48</v>
      </c>
      <c r="Q471" s="24" t="s">
        <v>65</v>
      </c>
      <c r="R471" s="21" t="s">
        <v>3928</v>
      </c>
      <c r="S471" s="21" t="s">
        <v>51</v>
      </c>
      <c r="T471" s="21" t="s">
        <v>52</v>
      </c>
      <c r="U471" s="21" t="s">
        <v>52</v>
      </c>
      <c r="V471" s="21" t="s">
        <v>52</v>
      </c>
      <c r="W471" s="45">
        <v>45933.0</v>
      </c>
      <c r="X471" s="49">
        <v>0.7375</v>
      </c>
      <c r="Y471" s="45">
        <v>45933.0</v>
      </c>
      <c r="Z471" s="49">
        <v>0.7736111111111111</v>
      </c>
      <c r="AA471" s="49">
        <v>0.7777777777777778</v>
      </c>
      <c r="AB471" s="29"/>
      <c r="AC471" s="29"/>
      <c r="AD471" s="25">
        <v>0.8958333333333334</v>
      </c>
      <c r="AE471" s="45">
        <v>45933.0</v>
      </c>
      <c r="AF471" s="21" t="s">
        <v>2711</v>
      </c>
      <c r="AG471" s="21" t="s">
        <v>151</v>
      </c>
      <c r="AH471" s="21" t="s">
        <v>3929</v>
      </c>
      <c r="AI471" s="62" t="str">
        <f>IFERROR(__xludf.DUMMYFUNCTION("IF(OR(W471="""",X471="""",AE471="""",AD471=""""),"""",
   TEXT(
     (
       (AE471+AD471 + IF(AE471+AD471 &lt; W471+X471,1,0)) - (W471+X471)
     )
     - IF(AND(AB471&lt;&gt;"""",AC471&lt;&gt;""""), 
          SUM(ARRAYFORMULA(SPLIT(AC471,"","") - SPLIT(AB471,"",""))"&amp;"), 
          0
       ),
     ""[hh]:mm""
   )
)
"),"03:48")</f>
        <v>03:48</v>
      </c>
      <c r="AJ471" s="27">
        <f t="shared" si="9"/>
        <v>0</v>
      </c>
      <c r="AK471" s="63" t="str">
        <f t="shared" si="10"/>
        <v>Pass</v>
      </c>
    </row>
    <row r="472">
      <c r="A472" s="45">
        <v>45926.0</v>
      </c>
      <c r="B472" s="49">
        <v>0.7618055555555555</v>
      </c>
      <c r="C472" s="45">
        <v>45926.0</v>
      </c>
      <c r="D472" s="49">
        <v>0.7708333333333334</v>
      </c>
      <c r="E472" s="21" t="s">
        <v>3930</v>
      </c>
      <c r="F472" s="21" t="s">
        <v>642</v>
      </c>
      <c r="G472" s="21" t="s">
        <v>643</v>
      </c>
      <c r="H472" s="21" t="s">
        <v>3931</v>
      </c>
      <c r="I472" s="21" t="s">
        <v>1326</v>
      </c>
      <c r="J472" s="21" t="s">
        <v>768</v>
      </c>
      <c r="K472" s="21" t="s">
        <v>769</v>
      </c>
      <c r="L472" s="21" t="s">
        <v>1327</v>
      </c>
      <c r="M472" s="21" t="s">
        <v>3932</v>
      </c>
      <c r="N472" s="21" t="s">
        <v>3933</v>
      </c>
      <c r="O472" s="48" t="s">
        <v>3934</v>
      </c>
      <c r="P472" s="21" t="s">
        <v>75</v>
      </c>
      <c r="Q472" s="24" t="s">
        <v>65</v>
      </c>
      <c r="R472" s="21" t="s">
        <v>3935</v>
      </c>
      <c r="S472" s="21" t="s">
        <v>51</v>
      </c>
      <c r="T472" s="21" t="s">
        <v>768</v>
      </c>
      <c r="U472" s="21" t="s">
        <v>3936</v>
      </c>
      <c r="V472" s="21" t="s">
        <v>3932</v>
      </c>
      <c r="W472" s="45">
        <v>45934.0</v>
      </c>
      <c r="X472" s="49">
        <v>0.42986111111111114</v>
      </c>
      <c r="Y472" s="45">
        <v>45934.0</v>
      </c>
      <c r="Z472" s="49">
        <v>0.45694444444444443</v>
      </c>
      <c r="AA472" s="49">
        <v>0.4791666666666667</v>
      </c>
      <c r="AB472" s="25">
        <v>0.45694444444444443</v>
      </c>
      <c r="AC472" s="25">
        <v>0.47638888888888886</v>
      </c>
      <c r="AD472" s="25">
        <v>0.4965277777777778</v>
      </c>
      <c r="AE472" s="45">
        <v>45934.0</v>
      </c>
      <c r="AF472" s="21" t="s">
        <v>2828</v>
      </c>
      <c r="AG472" s="21" t="s">
        <v>102</v>
      </c>
      <c r="AH472" s="21" t="s">
        <v>648</v>
      </c>
      <c r="AI472" s="62" t="str">
        <f>IFERROR(__xludf.DUMMYFUNCTION("IF(OR(W472="""",X472="""",AE472="""",AD472=""""),"""",
   TEXT(
     (
       (AE472+AD472 + IF(AE472+AD472 &lt; W472+X472,1,0)) - (W472+X472)
     )
     - IF(AND(AB472&lt;&gt;"""",AC472&lt;&gt;""""), 
          SUM(ARRAYFORMULA(SPLIT(AC472,"","") - SPLIT(AB472,"",""))"&amp;"), 
          0
       ),
     ""[hh]:mm""
   )
)
"),"01:08")</f>
        <v>01:08</v>
      </c>
      <c r="AJ472" s="27">
        <f t="shared" si="9"/>
        <v>0</v>
      </c>
      <c r="AK472" s="63" t="str">
        <f t="shared" si="10"/>
        <v>Pass</v>
      </c>
    </row>
    <row r="473">
      <c r="A473" s="45">
        <v>45934.0</v>
      </c>
      <c r="B473" s="49">
        <v>0.4826388888888889</v>
      </c>
      <c r="C473" s="45">
        <v>45934.0</v>
      </c>
      <c r="D473" s="49">
        <v>0.48680555555555555</v>
      </c>
      <c r="E473" s="21" t="s">
        <v>3937</v>
      </c>
      <c r="F473" s="21" t="s">
        <v>3791</v>
      </c>
      <c r="G473" s="21" t="s">
        <v>3792</v>
      </c>
      <c r="H473" s="21" t="s">
        <v>40</v>
      </c>
      <c r="I473" s="21" t="s">
        <v>60</v>
      </c>
      <c r="J473" s="21" t="s">
        <v>3813</v>
      </c>
      <c r="K473" s="21" t="s">
        <v>61</v>
      </c>
      <c r="L473" s="21" t="s">
        <v>183</v>
      </c>
      <c r="M473" s="21" t="s">
        <v>3938</v>
      </c>
      <c r="N473" s="21" t="s">
        <v>3939</v>
      </c>
      <c r="O473" s="48" t="s">
        <v>3940</v>
      </c>
      <c r="P473" s="21" t="s">
        <v>48</v>
      </c>
      <c r="Q473" s="24" t="s">
        <v>65</v>
      </c>
      <c r="R473" s="21" t="s">
        <v>3941</v>
      </c>
      <c r="S473" s="21" t="s">
        <v>51</v>
      </c>
      <c r="T473" s="21" t="s">
        <v>52</v>
      </c>
      <c r="U473" s="21" t="s">
        <v>52</v>
      </c>
      <c r="V473" s="21" t="s">
        <v>52</v>
      </c>
      <c r="W473" s="45">
        <v>45934.0</v>
      </c>
      <c r="X473" s="49">
        <v>0.48680555555555555</v>
      </c>
      <c r="Y473" s="45">
        <v>45934.0</v>
      </c>
      <c r="Z473" s="49">
        <v>0.5604166666666667</v>
      </c>
      <c r="AA473" s="49">
        <v>0.5625</v>
      </c>
      <c r="AB473" s="25">
        <v>0.5763888888888888</v>
      </c>
      <c r="AC473" s="25">
        <v>0.6180555555555556</v>
      </c>
      <c r="AD473" s="25">
        <v>0.6180555555555556</v>
      </c>
      <c r="AE473" s="45">
        <v>45934.0</v>
      </c>
      <c r="AF473" s="21" t="s">
        <v>2719</v>
      </c>
      <c r="AG473" s="21" t="s">
        <v>293</v>
      </c>
      <c r="AH473" s="21" t="s">
        <v>3942</v>
      </c>
      <c r="AI473" s="62" t="str">
        <f>IFERROR(__xludf.DUMMYFUNCTION("IF(OR(W473="""",X473="""",AE473="""",AD473=""""),"""",
   TEXT(
     (
       (AE473+AD473 + IF(AE473+AD473 &lt; W473+X473,1,0)) - (W473+X473)
     )
     - IF(AND(AB473&lt;&gt;"""",AC473&lt;&gt;""""), 
          SUM(ARRAYFORMULA(SPLIT(AC473,"","") - SPLIT(AB473,"",""))"&amp;"), 
          0
       ),
     ""[hh]:mm""
   )
)
"),"02:09")</f>
        <v>02:09</v>
      </c>
      <c r="AJ473" s="27">
        <f t="shared" si="9"/>
        <v>0</v>
      </c>
      <c r="AK473" s="63" t="str">
        <f t="shared" si="10"/>
        <v>Pass</v>
      </c>
    </row>
    <row r="474">
      <c r="A474" s="45">
        <v>45934.0</v>
      </c>
      <c r="B474" s="49">
        <v>0.5326388888888889</v>
      </c>
      <c r="C474" s="45">
        <v>45934.0</v>
      </c>
      <c r="D474" s="49">
        <v>0.5534722222222223</v>
      </c>
      <c r="E474" s="21" t="s">
        <v>3943</v>
      </c>
      <c r="F474" s="21" t="s">
        <v>3944</v>
      </c>
      <c r="G474" s="21" t="s">
        <v>3945</v>
      </c>
      <c r="H474" s="21" t="s">
        <v>566</v>
      </c>
      <c r="I474" s="21" t="s">
        <v>567</v>
      </c>
      <c r="J474" s="21" t="s">
        <v>567</v>
      </c>
      <c r="K474" s="22" t="s">
        <v>3915</v>
      </c>
      <c r="L474" s="47"/>
      <c r="M474" s="21" t="s">
        <v>3946</v>
      </c>
      <c r="N474" s="21" t="s">
        <v>3947</v>
      </c>
      <c r="O474" s="48" t="s">
        <v>3948</v>
      </c>
      <c r="P474" s="21" t="s">
        <v>48</v>
      </c>
      <c r="Q474" s="24" t="s">
        <v>65</v>
      </c>
      <c r="R474" s="21" t="s">
        <v>3949</v>
      </c>
      <c r="S474" s="21" t="s">
        <v>51</v>
      </c>
      <c r="T474" s="21" t="s">
        <v>52</v>
      </c>
      <c r="U474" s="21" t="s">
        <v>52</v>
      </c>
      <c r="V474" s="21" t="s">
        <v>52</v>
      </c>
      <c r="W474" s="45">
        <v>45934.0</v>
      </c>
      <c r="X474" s="49">
        <v>0.5534722222222223</v>
      </c>
      <c r="Y474" s="45">
        <v>45934.0</v>
      </c>
      <c r="Z474" s="49">
        <v>0.6208333333333333</v>
      </c>
      <c r="AA474" s="49">
        <v>0.6222222222222222</v>
      </c>
      <c r="AB474" s="29"/>
      <c r="AC474" s="29"/>
      <c r="AD474" s="25">
        <v>0.6527777777777778</v>
      </c>
      <c r="AE474" s="45">
        <v>45934.0</v>
      </c>
      <c r="AF474" s="21" t="s">
        <v>2839</v>
      </c>
      <c r="AG474" s="21" t="s">
        <v>3197</v>
      </c>
      <c r="AH474" s="21" t="s">
        <v>3950</v>
      </c>
      <c r="AI474" s="62" t="str">
        <f>IFERROR(__xludf.DUMMYFUNCTION("IF(OR(W474="""",X474="""",AE474="""",AD474=""""),"""",
   TEXT(
     (
       (AE474+AD474 + IF(AE474+AD474 &lt; W474+X474,1,0)) - (W474+X474)
     )
     - IF(AND(AB474&lt;&gt;"""",AC474&lt;&gt;""""), 
          SUM(ARRAYFORMULA(SPLIT(AC474,"","") - SPLIT(AB474,"",""))"&amp;"), 
          0
       ),
     ""[hh]:mm""
   )
)
"),"02:23")</f>
        <v>02:23</v>
      </c>
      <c r="AJ474" s="27">
        <f t="shared" si="9"/>
        <v>0</v>
      </c>
      <c r="AK474" s="63" t="str">
        <f t="shared" si="10"/>
        <v>Pass</v>
      </c>
    </row>
    <row r="475">
      <c r="A475" s="45">
        <v>45932.0</v>
      </c>
      <c r="B475" s="49">
        <v>1.0027777777777778</v>
      </c>
      <c r="C475" s="45">
        <v>45932.0</v>
      </c>
      <c r="D475" s="80">
        <v>0.3388888888888889</v>
      </c>
      <c r="E475" s="21" t="s">
        <v>3951</v>
      </c>
      <c r="F475" s="21" t="s">
        <v>2910</v>
      </c>
      <c r="G475" s="21" t="s">
        <v>2911</v>
      </c>
      <c r="H475" s="21" t="s">
        <v>2352</v>
      </c>
      <c r="I475" s="21" t="s">
        <v>2626</v>
      </c>
      <c r="J475" s="21" t="s">
        <v>2352</v>
      </c>
      <c r="K475" s="47"/>
      <c r="L475" s="47"/>
      <c r="M475" s="47"/>
      <c r="N475" s="21" t="s">
        <v>3952</v>
      </c>
      <c r="O475" s="48" t="s">
        <v>3953</v>
      </c>
      <c r="P475" s="21" t="s">
        <v>75</v>
      </c>
      <c r="Q475" s="24" t="s">
        <v>449</v>
      </c>
      <c r="R475" s="21" t="s">
        <v>3954</v>
      </c>
      <c r="S475" s="21" t="s">
        <v>51</v>
      </c>
      <c r="T475" s="21" t="s">
        <v>52</v>
      </c>
      <c r="U475" s="21" t="s">
        <v>52</v>
      </c>
      <c r="V475" s="21" t="s">
        <v>52</v>
      </c>
      <c r="W475" s="45">
        <v>45934.0</v>
      </c>
      <c r="X475" s="49">
        <v>0.6972222222222222</v>
      </c>
      <c r="Y475" s="45">
        <v>45934.0</v>
      </c>
      <c r="Z475" s="49">
        <v>0.7618055555555555</v>
      </c>
      <c r="AA475" s="49">
        <v>0.7625</v>
      </c>
      <c r="AB475" s="25">
        <v>0.7638888888888888</v>
      </c>
      <c r="AC475" s="25">
        <v>0.7986111111111112</v>
      </c>
      <c r="AD475" s="25">
        <v>0.8055555555555556</v>
      </c>
      <c r="AE475" s="45">
        <v>45934.0</v>
      </c>
      <c r="AF475" s="21" t="s">
        <v>2711</v>
      </c>
      <c r="AG475" s="21" t="s">
        <v>3955</v>
      </c>
      <c r="AH475" s="21" t="s">
        <v>1455</v>
      </c>
      <c r="AI475" s="62" t="str">
        <f>IFERROR(__xludf.DUMMYFUNCTION("IF(OR(W475="""",X475="""",AE475="""",AD475=""""),"""",
   TEXT(
     (
       (AE475+AD475 + IF(AE475+AD475 &lt; W475+X475,1,0)) - (W475+X475)
     )
     - IF(AND(AB475&lt;&gt;"""",AC475&lt;&gt;""""), 
          SUM(ARRAYFORMULA(SPLIT(AC475,"","") - SPLIT(AB475,"",""))"&amp;"), 
          0
       ),
     ""[hh]:mm""
   )
)
"),"01:46")</f>
        <v>01:46</v>
      </c>
      <c r="AJ475" s="27">
        <f t="shared" si="9"/>
        <v>0</v>
      </c>
      <c r="AK475" s="63" t="str">
        <f t="shared" si="10"/>
        <v>Pass</v>
      </c>
    </row>
    <row r="476">
      <c r="A476" s="45">
        <v>45934.0</v>
      </c>
      <c r="B476" s="49">
        <v>0.9430555555555555</v>
      </c>
      <c r="C476" s="45">
        <v>45935.0</v>
      </c>
      <c r="D476" s="80">
        <v>0.3333333333333333</v>
      </c>
      <c r="E476" s="21" t="s">
        <v>3812</v>
      </c>
      <c r="F476" s="21" t="s">
        <v>3314</v>
      </c>
      <c r="G476" s="21" t="s">
        <v>3315</v>
      </c>
      <c r="H476" s="21" t="s">
        <v>318</v>
      </c>
      <c r="I476" s="21" t="s">
        <v>234</v>
      </c>
      <c r="J476" s="21" t="s">
        <v>3813</v>
      </c>
      <c r="K476" s="21" t="s">
        <v>61</v>
      </c>
      <c r="L476" s="21" t="s">
        <v>84</v>
      </c>
      <c r="M476" s="21" t="s">
        <v>3317</v>
      </c>
      <c r="N476" s="21" t="s">
        <v>3814</v>
      </c>
      <c r="O476" s="48" t="s">
        <v>3956</v>
      </c>
      <c r="P476" s="21" t="s">
        <v>75</v>
      </c>
      <c r="Q476" s="24" t="s">
        <v>65</v>
      </c>
      <c r="R476" s="21" t="s">
        <v>3957</v>
      </c>
      <c r="S476" s="21" t="s">
        <v>51</v>
      </c>
      <c r="T476" s="21" t="s">
        <v>52</v>
      </c>
      <c r="U476" s="21" t="s">
        <v>52</v>
      </c>
      <c r="V476" s="21" t="s">
        <v>52</v>
      </c>
      <c r="W476" s="45">
        <v>45935.0</v>
      </c>
      <c r="X476" s="49">
        <v>0.3333333333333333</v>
      </c>
      <c r="Y476" s="45">
        <v>45935.0</v>
      </c>
      <c r="Z476" s="49">
        <v>0.3923611111111111</v>
      </c>
      <c r="AA476" s="49">
        <v>0.39305555555555555</v>
      </c>
      <c r="AB476" s="25">
        <v>0.46805555555555556</v>
      </c>
      <c r="AC476" s="25">
        <v>0.5506944444444445</v>
      </c>
      <c r="AD476" s="25">
        <v>0.5625</v>
      </c>
      <c r="AE476" s="45">
        <v>45935.0</v>
      </c>
      <c r="AF476" s="21" t="s">
        <v>3218</v>
      </c>
      <c r="AG476" s="21" t="s">
        <v>162</v>
      </c>
      <c r="AH476" s="21" t="s">
        <v>3239</v>
      </c>
      <c r="AI476" s="62" t="str">
        <f>IFERROR(__xludf.DUMMYFUNCTION("IF(OR(W476="""",X476="""",AE476="""",AD476=""""),"""",
   TEXT(
     (
       (AE476+AD476 + IF(AE476+AD476 &lt; W476+X476,1,0)) - (W476+X476)
     )
     - IF(AND(AB476&lt;&gt;"""",AC476&lt;&gt;""""), 
          SUM(ARRAYFORMULA(SPLIT(AC476,"","") - SPLIT(AB476,"",""))"&amp;"), 
          0
       ),
     ""[hh]:mm""
   )
)
"),"03:31")</f>
        <v>03:31</v>
      </c>
      <c r="AJ476" s="27">
        <f t="shared" si="9"/>
        <v>0</v>
      </c>
      <c r="AK476" s="63" t="str">
        <f t="shared" si="10"/>
        <v>Pass</v>
      </c>
    </row>
    <row r="477">
      <c r="A477" s="45">
        <v>45934.0</v>
      </c>
      <c r="B477" s="49">
        <v>0.11527777777777778</v>
      </c>
      <c r="C477" s="45">
        <v>45934.0</v>
      </c>
      <c r="D477" s="49">
        <v>0.3729166666666667</v>
      </c>
      <c r="E477" s="21" t="s">
        <v>3958</v>
      </c>
      <c r="F477" s="21" t="s">
        <v>796</v>
      </c>
      <c r="G477" s="21" t="s">
        <v>3959</v>
      </c>
      <c r="H477" s="21" t="s">
        <v>746</v>
      </c>
      <c r="I477" s="21" t="s">
        <v>1135</v>
      </c>
      <c r="J477" s="21" t="s">
        <v>2637</v>
      </c>
      <c r="K477" s="21" t="s">
        <v>61</v>
      </c>
      <c r="L477" s="21" t="s">
        <v>3960</v>
      </c>
      <c r="M477" s="21" t="s">
        <v>3961</v>
      </c>
      <c r="N477" s="21" t="s">
        <v>3962</v>
      </c>
      <c r="O477" s="48" t="s">
        <v>3963</v>
      </c>
      <c r="P477" s="21" t="s">
        <v>75</v>
      </c>
      <c r="Q477" s="24" t="s">
        <v>65</v>
      </c>
      <c r="R477" s="21" t="s">
        <v>3964</v>
      </c>
      <c r="S477" s="21" t="s">
        <v>51</v>
      </c>
      <c r="T477" s="21" t="s">
        <v>679</v>
      </c>
      <c r="U477" s="21" t="s">
        <v>1179</v>
      </c>
      <c r="V477" s="21" t="s">
        <v>1179</v>
      </c>
      <c r="W477" s="45">
        <v>45935.0</v>
      </c>
      <c r="X477" s="49">
        <v>0.34097222222222223</v>
      </c>
      <c r="Y477" s="45">
        <v>45935.0</v>
      </c>
      <c r="Z477" s="49">
        <v>0.4076388888888889</v>
      </c>
      <c r="AA477" s="49">
        <v>0.4166666666666667</v>
      </c>
      <c r="AB477" s="25">
        <v>0.4444444444444444</v>
      </c>
      <c r="AC477" s="25">
        <v>0.4791666666666667</v>
      </c>
      <c r="AD477" s="25">
        <v>0.4791666666666667</v>
      </c>
      <c r="AE477" s="45">
        <v>45935.0</v>
      </c>
      <c r="AF477" s="21" t="s">
        <v>3358</v>
      </c>
      <c r="AG477" s="21" t="s">
        <v>583</v>
      </c>
      <c r="AH477" s="21" t="s">
        <v>3965</v>
      </c>
      <c r="AI477" s="62" t="str">
        <f>IFERROR(__xludf.DUMMYFUNCTION("IF(OR(W477="""",X477="""",AE477="""",AD477=""""),"""",
   TEXT(
     (
       (AE477+AD477 + IF(AE477+AD477 &lt; W477+X477,1,0)) - (W477+X477)
     )
     - IF(AND(AB477&lt;&gt;"""",AC477&lt;&gt;""""), 
          SUM(ARRAYFORMULA(SPLIT(AC477,"","") - SPLIT(AB477,"",""))"&amp;"), 
          0
       ),
     ""[hh]:mm""
   )
)
"),"02:29")</f>
        <v>02:29</v>
      </c>
      <c r="AJ477" s="27">
        <f t="shared" si="9"/>
        <v>0</v>
      </c>
      <c r="AK477" s="63" t="str">
        <f t="shared" si="10"/>
        <v>Pass</v>
      </c>
    </row>
    <row r="478">
      <c r="A478" s="45">
        <v>45935.0</v>
      </c>
      <c r="B478" s="49">
        <v>0.47847222222222224</v>
      </c>
      <c r="C478" s="45">
        <v>45935.0</v>
      </c>
      <c r="D478" s="49">
        <v>0.48819444444444443</v>
      </c>
      <c r="E478" s="21" t="s">
        <v>3966</v>
      </c>
      <c r="F478" s="21" t="s">
        <v>92</v>
      </c>
      <c r="G478" s="21" t="s">
        <v>93</v>
      </c>
      <c r="H478" s="21" t="s">
        <v>756</v>
      </c>
      <c r="I478" s="21" t="s">
        <v>234</v>
      </c>
      <c r="J478" s="21" t="s">
        <v>3806</v>
      </c>
      <c r="K478" s="21" t="s">
        <v>3967</v>
      </c>
      <c r="L478" s="21" t="s">
        <v>44</v>
      </c>
      <c r="M478" s="21" t="s">
        <v>3968</v>
      </c>
      <c r="N478" s="21" t="s">
        <v>3969</v>
      </c>
      <c r="O478" s="48" t="s">
        <v>3970</v>
      </c>
      <c r="P478" s="21" t="s">
        <v>75</v>
      </c>
      <c r="Q478" s="24" t="s">
        <v>65</v>
      </c>
      <c r="R478" s="21" t="s">
        <v>3971</v>
      </c>
      <c r="S478" s="21" t="s">
        <v>51</v>
      </c>
      <c r="T478" s="21" t="s">
        <v>52</v>
      </c>
      <c r="U478" s="21" t="s">
        <v>52</v>
      </c>
      <c r="V478" s="21" t="s">
        <v>52</v>
      </c>
      <c r="W478" s="45">
        <v>45935.0</v>
      </c>
      <c r="X478" s="49">
        <v>0.48819444444444443</v>
      </c>
      <c r="Y478" s="45">
        <v>45935.0</v>
      </c>
      <c r="Z478" s="49">
        <v>0.6388888888888888</v>
      </c>
      <c r="AA478" s="49">
        <v>0.6395833333333333</v>
      </c>
      <c r="AB478" s="25">
        <v>0.5902777777777778</v>
      </c>
      <c r="AC478" s="25">
        <v>0.6111111111111112</v>
      </c>
      <c r="AD478" s="25">
        <v>0.6944444444444444</v>
      </c>
      <c r="AE478" s="45">
        <v>45935.0</v>
      </c>
      <c r="AF478" s="21" t="s">
        <v>2931</v>
      </c>
      <c r="AG478" s="21" t="s">
        <v>162</v>
      </c>
      <c r="AH478" s="21" t="s">
        <v>1322</v>
      </c>
      <c r="AI478" s="62" t="str">
        <f>IFERROR(__xludf.DUMMYFUNCTION("IF(OR(W478="""",X478="""",AE478="""",AD478=""""),"""",
   TEXT(
     (
       (AE478+AD478 + IF(AE478+AD478 &lt; W478+X478,1,0)) - (W478+X478)
     )
     - IF(AND(AB478&lt;&gt;"""",AC478&lt;&gt;""""), 
          SUM(ARRAYFORMULA(SPLIT(AC478,"","") - SPLIT(AB478,"",""))"&amp;"), 
          0
       ),
     ""[hh]:mm""
   )
)
"),"04:27")</f>
        <v>04:27</v>
      </c>
      <c r="AJ478" s="27">
        <f t="shared" si="9"/>
        <v>0</v>
      </c>
      <c r="AK478" s="63" t="str">
        <f t="shared" si="10"/>
        <v>Pass</v>
      </c>
    </row>
    <row r="479">
      <c r="A479" s="45">
        <v>45934.0</v>
      </c>
      <c r="B479" s="49">
        <v>0.7715277777777778</v>
      </c>
      <c r="C479" s="45">
        <v>45934.0</v>
      </c>
      <c r="D479" s="49">
        <v>0.7840277777777778</v>
      </c>
      <c r="E479" s="21" t="s">
        <v>3972</v>
      </c>
      <c r="F479" s="21" t="s">
        <v>642</v>
      </c>
      <c r="G479" s="21" t="s">
        <v>643</v>
      </c>
      <c r="H479" s="21" t="s">
        <v>1287</v>
      </c>
      <c r="I479" s="21" t="s">
        <v>131</v>
      </c>
      <c r="J479" s="21" t="s">
        <v>2253</v>
      </c>
      <c r="K479" s="21" t="s">
        <v>3967</v>
      </c>
      <c r="L479" s="21" t="s">
        <v>3973</v>
      </c>
      <c r="M479" s="21" t="s">
        <v>3974</v>
      </c>
      <c r="N479" s="21" t="s">
        <v>3975</v>
      </c>
      <c r="O479" s="48" t="s">
        <v>3976</v>
      </c>
      <c r="P479" s="21" t="s">
        <v>75</v>
      </c>
      <c r="Q479" s="24" t="s">
        <v>65</v>
      </c>
      <c r="R479" s="21" t="s">
        <v>3977</v>
      </c>
      <c r="S479" s="21" t="s">
        <v>51</v>
      </c>
      <c r="T479" s="21" t="s">
        <v>2032</v>
      </c>
      <c r="U479" s="21" t="s">
        <v>3978</v>
      </c>
      <c r="V479" s="21" t="s">
        <v>3979</v>
      </c>
      <c r="W479" s="45">
        <v>45935.0</v>
      </c>
      <c r="X479" s="49">
        <v>0.4986111111111111</v>
      </c>
      <c r="Y479" s="45">
        <v>45935.0</v>
      </c>
      <c r="Z479" s="49">
        <v>0.75625</v>
      </c>
      <c r="AA479" s="49">
        <v>0.8375</v>
      </c>
      <c r="AB479" s="25">
        <v>0.75625</v>
      </c>
      <c r="AC479" s="25">
        <v>0.8375</v>
      </c>
      <c r="AD479" s="25">
        <v>0.8666666666666667</v>
      </c>
      <c r="AE479" s="45">
        <v>45935.0</v>
      </c>
      <c r="AF479" s="21" t="s">
        <v>2711</v>
      </c>
      <c r="AG479" s="21" t="s">
        <v>162</v>
      </c>
      <c r="AH479" s="21" t="s">
        <v>3980</v>
      </c>
      <c r="AI479" s="62" t="str">
        <f>IFERROR(__xludf.DUMMYFUNCTION("IF(OR(W479="""",X479="""",AE479="""",AD479=""""),"""",
   TEXT(
     (
       (AE479+AD479 + IF(AE479+AD479 &lt; W479+X479,1,0)) - (W479+X479)
     )
     - IF(AND(AB479&lt;&gt;"""",AC479&lt;&gt;""""), 
          SUM(ARRAYFORMULA(SPLIT(AC479,"","") - SPLIT(AB479,"",""))"&amp;"), 
          0
       ),
     ""[hh]:mm""
   )
)
"),"06:53")</f>
        <v>06:53</v>
      </c>
      <c r="AJ479" s="27">
        <f t="shared" si="9"/>
        <v>0</v>
      </c>
      <c r="AK479" s="63" t="str">
        <f t="shared" si="10"/>
        <v>Pass</v>
      </c>
    </row>
    <row r="480">
      <c r="A480" s="45">
        <v>45935.0</v>
      </c>
      <c r="B480" s="49">
        <v>0.5833333333333334</v>
      </c>
      <c r="C480" s="45">
        <v>45935.0</v>
      </c>
      <c r="D480" s="49">
        <v>0.5888888888888889</v>
      </c>
      <c r="E480" s="21" t="s">
        <v>3981</v>
      </c>
      <c r="F480" s="21" t="s">
        <v>3982</v>
      </c>
      <c r="G480" s="21" t="s">
        <v>3983</v>
      </c>
      <c r="H480" s="21" t="s">
        <v>566</v>
      </c>
      <c r="I480" s="21" t="s">
        <v>567</v>
      </c>
      <c r="J480" s="21" t="s">
        <v>567</v>
      </c>
      <c r="K480" s="21" t="s">
        <v>3915</v>
      </c>
      <c r="L480" s="47"/>
      <c r="M480" s="21" t="s">
        <v>3984</v>
      </c>
      <c r="N480" s="21" t="s">
        <v>3985</v>
      </c>
      <c r="O480" s="48" t="s">
        <v>3986</v>
      </c>
      <c r="P480" s="21" t="s">
        <v>48</v>
      </c>
      <c r="Q480" s="24" t="s">
        <v>65</v>
      </c>
      <c r="R480" s="21" t="s">
        <v>3987</v>
      </c>
      <c r="S480" s="21" t="s">
        <v>51</v>
      </c>
      <c r="T480" s="21" t="s">
        <v>52</v>
      </c>
      <c r="U480" s="21" t="s">
        <v>52</v>
      </c>
      <c r="V480" s="21" t="s">
        <v>52</v>
      </c>
      <c r="W480" s="45">
        <v>45935.0</v>
      </c>
      <c r="X480" s="49">
        <v>0.5888888888888889</v>
      </c>
      <c r="Y480" s="45">
        <v>45935.0</v>
      </c>
      <c r="Z480" s="49">
        <v>0.6465277777777778</v>
      </c>
      <c r="AA480" s="49">
        <v>0.6493055555555556</v>
      </c>
      <c r="AB480" s="29"/>
      <c r="AC480" s="29"/>
      <c r="AD480" s="25">
        <v>0.7215277777777778</v>
      </c>
      <c r="AE480" s="45">
        <v>45935.0</v>
      </c>
      <c r="AF480" s="21" t="s">
        <v>2839</v>
      </c>
      <c r="AG480" s="21" t="s">
        <v>293</v>
      </c>
      <c r="AH480" s="21" t="s">
        <v>3988</v>
      </c>
      <c r="AI480" s="62" t="str">
        <f>IFERROR(__xludf.DUMMYFUNCTION("IF(OR(W480="""",X480="""",AE480="""",AD480=""""),"""",
   TEXT(
     (
       (AE480+AD480 + IF(AE480+AD480 &lt; W480+X480,1,0)) - (W480+X480)
     )
     - IF(AND(AB480&lt;&gt;"""",AC480&lt;&gt;""""), 
          SUM(ARRAYFORMULA(SPLIT(AC480,"","") - SPLIT(AB480,"",""))"&amp;"), 
          0
       ),
     ""[hh]:mm""
   )
)
"),"03:11")</f>
        <v>03:11</v>
      </c>
      <c r="AJ480" s="27">
        <f t="shared" si="9"/>
        <v>0</v>
      </c>
      <c r="AK480" s="63" t="str">
        <f t="shared" si="10"/>
        <v>Pass</v>
      </c>
    </row>
    <row r="481">
      <c r="A481" s="45">
        <v>45935.0</v>
      </c>
      <c r="B481" s="49">
        <v>0.5659722222222222</v>
      </c>
      <c r="C481" s="45">
        <v>45935.0</v>
      </c>
      <c r="D481" s="49">
        <v>0.5798611111111112</v>
      </c>
      <c r="E481" s="21" t="s">
        <v>3989</v>
      </c>
      <c r="F481" s="21" t="s">
        <v>3742</v>
      </c>
      <c r="G481" s="21" t="s">
        <v>3743</v>
      </c>
      <c r="H481" s="21" t="s">
        <v>1373</v>
      </c>
      <c r="I481" s="21" t="s">
        <v>3990</v>
      </c>
      <c r="J481" s="21" t="s">
        <v>3991</v>
      </c>
      <c r="K481" s="21" t="s">
        <v>3967</v>
      </c>
      <c r="L481" s="21" t="s">
        <v>3992</v>
      </c>
      <c r="M481" s="47"/>
      <c r="N481" s="21" t="s">
        <v>3993</v>
      </c>
      <c r="O481" s="48" t="s">
        <v>3994</v>
      </c>
      <c r="P481" s="21" t="s">
        <v>75</v>
      </c>
      <c r="Q481" s="24" t="s">
        <v>49</v>
      </c>
      <c r="R481" s="21" t="s">
        <v>3995</v>
      </c>
      <c r="S481" s="21" t="s">
        <v>51</v>
      </c>
      <c r="T481" s="21" t="s">
        <v>77</v>
      </c>
      <c r="U481" s="21" t="s">
        <v>3996</v>
      </c>
      <c r="V481" s="21" t="s">
        <v>52</v>
      </c>
      <c r="W481" s="45">
        <v>45935.0</v>
      </c>
      <c r="X481" s="49">
        <v>0.5798611111111112</v>
      </c>
      <c r="Y481" s="45">
        <v>45935.0</v>
      </c>
      <c r="Z481" s="49">
        <v>0.6868055555555556</v>
      </c>
      <c r="AA481" s="49">
        <v>0.6868055555555556</v>
      </c>
      <c r="AB481" s="25">
        <v>0.6868055555555556</v>
      </c>
      <c r="AC481" s="25">
        <v>0.7527777777777778</v>
      </c>
      <c r="AD481" s="25">
        <v>0.7569444444444444</v>
      </c>
      <c r="AE481" s="45">
        <v>45935.0</v>
      </c>
      <c r="AF481" s="21" t="s">
        <v>2931</v>
      </c>
      <c r="AG481" s="21" t="s">
        <v>239</v>
      </c>
      <c r="AH481" s="21" t="s">
        <v>3997</v>
      </c>
      <c r="AI481" s="62" t="str">
        <f>IFERROR(__xludf.DUMMYFUNCTION("IF(OR(W481="""",X481="""",AE481="""",AD481=""""),"""",
   TEXT(
     (
       (AE481+AD481 + IF(AE481+AD481 &lt; W481+X481,1,0)) - (W481+X481)
     )
     - IF(AND(AB481&lt;&gt;"""",AC481&lt;&gt;""""), 
          SUM(ARRAYFORMULA(SPLIT(AC481,"","") - SPLIT(AB481,"",""))"&amp;"), 
          0
       ),
     ""[hh]:mm""
   )
)
"),"02:40")</f>
        <v>02:40</v>
      </c>
      <c r="AJ481" s="27">
        <f t="shared" si="9"/>
        <v>0</v>
      </c>
      <c r="AK481" s="63" t="str">
        <f t="shared" si="10"/>
        <v>Pass</v>
      </c>
    </row>
    <row r="482">
      <c r="A482" s="45">
        <v>45935.0</v>
      </c>
      <c r="B482" s="49">
        <v>0.6069444444444444</v>
      </c>
      <c r="C482" s="45">
        <v>45935.0</v>
      </c>
      <c r="D482" s="49">
        <v>0.6118055555555556</v>
      </c>
      <c r="E482" s="21" t="s">
        <v>3998</v>
      </c>
      <c r="F482" s="21" t="s">
        <v>3999</v>
      </c>
      <c r="G482" s="21" t="s">
        <v>4000</v>
      </c>
      <c r="H482" s="21" t="s">
        <v>1610</v>
      </c>
      <c r="I482" s="21" t="s">
        <v>1612</v>
      </c>
      <c r="J482" s="21" t="s">
        <v>1612</v>
      </c>
      <c r="K482" s="21" t="s">
        <v>635</v>
      </c>
      <c r="L482" s="21" t="s">
        <v>4001</v>
      </c>
      <c r="M482" s="47"/>
      <c r="N482" s="21" t="s">
        <v>4002</v>
      </c>
      <c r="O482" s="48" t="s">
        <v>4003</v>
      </c>
      <c r="P482" s="21" t="s">
        <v>75</v>
      </c>
      <c r="Q482" s="24" t="s">
        <v>65</v>
      </c>
      <c r="R482" s="21" t="s">
        <v>4004</v>
      </c>
      <c r="S482" s="21" t="s">
        <v>51</v>
      </c>
      <c r="T482" s="21" t="s">
        <v>52</v>
      </c>
      <c r="U482" s="21" t="s">
        <v>52</v>
      </c>
      <c r="V482" s="21" t="s">
        <v>52</v>
      </c>
      <c r="W482" s="45">
        <v>45936.0</v>
      </c>
      <c r="X482" s="49">
        <v>0.3138888888888889</v>
      </c>
      <c r="Y482" s="45">
        <v>45936.0</v>
      </c>
      <c r="Z482" s="49">
        <v>0.4</v>
      </c>
      <c r="AA482" s="49">
        <v>0.4027777777777778</v>
      </c>
      <c r="AB482" s="29"/>
      <c r="AC482" s="29"/>
      <c r="AD482" s="25">
        <v>0.4166666666666667</v>
      </c>
      <c r="AE482" s="45">
        <v>45936.0</v>
      </c>
      <c r="AF482" s="21" t="s">
        <v>2931</v>
      </c>
      <c r="AG482" s="21" t="s">
        <v>879</v>
      </c>
      <c r="AH482" s="21" t="s">
        <v>4005</v>
      </c>
      <c r="AI482" s="62" t="str">
        <f>IFERROR(__xludf.DUMMYFUNCTION("IF(OR(W482="""",X482="""",AE482="""",AD482=""""),"""",
   TEXT(
     (
       (AE482+AD482 + IF(AE482+AD482 &lt; W482+X482,1,0)) - (W482+X482)
     )
     - IF(AND(AB482&lt;&gt;"""",AC482&lt;&gt;""""), 
          SUM(ARRAYFORMULA(SPLIT(AC482,"","") - SPLIT(AB482,"",""))"&amp;"), 
          0
       ),
     ""[hh]:mm""
   )
)
"),"02:28")</f>
        <v>02:28</v>
      </c>
      <c r="AJ482" s="27">
        <f t="shared" si="9"/>
        <v>0</v>
      </c>
      <c r="AK482" s="63" t="str">
        <f t="shared" si="10"/>
        <v>Pass</v>
      </c>
    </row>
    <row r="483">
      <c r="A483" s="45">
        <v>45935.0</v>
      </c>
      <c r="B483" s="49">
        <v>0.8569444444444444</v>
      </c>
      <c r="C483" s="45">
        <v>45935.0</v>
      </c>
      <c r="D483" s="49">
        <v>0.8618055555555556</v>
      </c>
      <c r="E483" s="21" t="s">
        <v>4006</v>
      </c>
      <c r="F483" s="21" t="s">
        <v>1648</v>
      </c>
      <c r="G483" s="21" t="s">
        <v>4007</v>
      </c>
      <c r="H483" s="21" t="s">
        <v>566</v>
      </c>
      <c r="I483" s="21" t="s">
        <v>95</v>
      </c>
      <c r="J483" s="21" t="s">
        <v>95</v>
      </c>
      <c r="K483" s="21" t="s">
        <v>333</v>
      </c>
      <c r="L483" s="21" t="s">
        <v>2195</v>
      </c>
      <c r="M483" s="21" t="s">
        <v>4008</v>
      </c>
      <c r="N483" s="21" t="s">
        <v>4009</v>
      </c>
      <c r="O483" s="48" t="s">
        <v>4010</v>
      </c>
      <c r="P483" s="21" t="s">
        <v>48</v>
      </c>
      <c r="Q483" s="24" t="s">
        <v>49</v>
      </c>
      <c r="R483" s="21" t="s">
        <v>4011</v>
      </c>
      <c r="S483" s="21" t="s">
        <v>51</v>
      </c>
      <c r="T483" s="21" t="s">
        <v>52</v>
      </c>
      <c r="U483" s="21" t="s">
        <v>52</v>
      </c>
      <c r="V483" s="21" t="s">
        <v>52</v>
      </c>
      <c r="W483" s="45">
        <v>45935.0</v>
      </c>
      <c r="X483" s="49">
        <v>0.8618055555555556</v>
      </c>
      <c r="Y483" s="45">
        <v>45935.0</v>
      </c>
      <c r="Z483" s="49">
        <v>0.9819444444444444</v>
      </c>
      <c r="AA483" s="49">
        <v>0.9833333333333333</v>
      </c>
      <c r="AB483" s="24" t="s">
        <v>4012</v>
      </c>
      <c r="AC483" s="24" t="s">
        <v>4013</v>
      </c>
      <c r="AD483" s="25">
        <v>0.0625</v>
      </c>
      <c r="AE483" s="45">
        <v>45936.0</v>
      </c>
      <c r="AF483" s="21" t="s">
        <v>2711</v>
      </c>
      <c r="AG483" s="21" t="s">
        <v>4014</v>
      </c>
      <c r="AH483" s="21" t="s">
        <v>1654</v>
      </c>
      <c r="AI483" s="62" t="str">
        <f>IFERROR(__xludf.DUMMYFUNCTION("IF(OR(W483="""",X483="""",AE483="""",AD483=""""),"""",
   TEXT(
     (
       (AE483+AD483 + IF(AE483+AD483 &lt; W483+X483,1,0)) - (W483+X483)
     )
     - IF(AND(AB483&lt;&gt;"""",AC483&lt;&gt;""""), 
          SUM(ARRAYFORMULA(SPLIT(AC483,"","") - SPLIT(AB483,"",""))"&amp;"), 
          0
       ),
     ""[hh]:mm""
   )
)
"),"03:54")</f>
        <v>03:54</v>
      </c>
      <c r="AJ483" s="27">
        <f t="shared" si="9"/>
        <v>0</v>
      </c>
      <c r="AK483" s="63" t="str">
        <f t="shared" si="10"/>
        <v>Pass</v>
      </c>
    </row>
    <row r="484">
      <c r="A484" s="45">
        <v>45936.0</v>
      </c>
      <c r="B484" s="49">
        <v>0.36041666666666666</v>
      </c>
      <c r="C484" s="45">
        <v>45936.0</v>
      </c>
      <c r="D484" s="49">
        <v>0.37083333333333335</v>
      </c>
      <c r="E484" s="21" t="s">
        <v>4015</v>
      </c>
      <c r="F484" s="21" t="s">
        <v>1082</v>
      </c>
      <c r="G484" s="21" t="s">
        <v>1083</v>
      </c>
      <c r="H484" s="21" t="s">
        <v>4016</v>
      </c>
      <c r="I484" s="21" t="s">
        <v>1612</v>
      </c>
      <c r="J484" s="21" t="s">
        <v>1612</v>
      </c>
      <c r="K484" s="21" t="s">
        <v>143</v>
      </c>
      <c r="L484" s="21" t="s">
        <v>3833</v>
      </c>
      <c r="M484" s="21" t="s">
        <v>4017</v>
      </c>
      <c r="N484" s="21" t="s">
        <v>4018</v>
      </c>
      <c r="O484" s="48" t="s">
        <v>4019</v>
      </c>
      <c r="P484" s="21" t="s">
        <v>187</v>
      </c>
      <c r="Q484" s="24" t="s">
        <v>65</v>
      </c>
      <c r="R484" s="21" t="s">
        <v>4020</v>
      </c>
      <c r="S484" s="21" t="s">
        <v>51</v>
      </c>
      <c r="T484" s="21" t="s">
        <v>52</v>
      </c>
      <c r="U484" s="21" t="s">
        <v>52</v>
      </c>
      <c r="V484" s="21" t="s">
        <v>52</v>
      </c>
      <c r="W484" s="45">
        <v>45936.0</v>
      </c>
      <c r="X484" s="49">
        <v>0.37083333333333335</v>
      </c>
      <c r="Y484" s="45">
        <v>45936.0</v>
      </c>
      <c r="Z484" s="49">
        <v>0.6069444444444444</v>
      </c>
      <c r="AA484" s="49">
        <v>0.6111111111111112</v>
      </c>
      <c r="AB484" s="50" t="s">
        <v>4021</v>
      </c>
      <c r="AC484" s="50" t="s">
        <v>4022</v>
      </c>
      <c r="AD484" s="25">
        <v>0.9166666666666666</v>
      </c>
      <c r="AE484" s="45">
        <v>45936.0</v>
      </c>
      <c r="AF484" s="21" t="s">
        <v>2931</v>
      </c>
      <c r="AG484" s="21" t="s">
        <v>284</v>
      </c>
      <c r="AH484" s="21" t="s">
        <v>2077</v>
      </c>
      <c r="AI484" s="62" t="str">
        <f>IFERROR(__xludf.DUMMYFUNCTION("IF(OR(W484="""",X484="""",AE484="""",AD484=""""),"""",
   TEXT(
     (
       (AE484+AD484 + IF(AE484+AD484 &lt; W484+X484,1,0)) - (W484+X484)
     )
     - IF(AND(AB484&lt;&gt;"""",AC484&lt;&gt;""""), 
          SUM(ARRAYFORMULA(SPLIT(AC484,"","") - SPLIT(AB484,"",""))"&amp;"), 
          0
       ),
     ""[hh]:mm""
   )
)
"),"11:16")</f>
        <v>11:16</v>
      </c>
      <c r="AJ484" s="27">
        <f t="shared" si="9"/>
        <v>0</v>
      </c>
      <c r="AK484" s="63" t="str">
        <f t="shared" si="10"/>
        <v>Pass</v>
      </c>
    </row>
    <row r="485">
      <c r="A485" s="45">
        <v>45936.0</v>
      </c>
      <c r="B485" s="49">
        <v>0.46805555555555556</v>
      </c>
      <c r="C485" s="45">
        <v>45936.0</v>
      </c>
      <c r="D485" s="49">
        <v>0.4847222222222222</v>
      </c>
      <c r="E485" s="21" t="s">
        <v>4023</v>
      </c>
      <c r="F485" s="21" t="s">
        <v>180</v>
      </c>
      <c r="G485" s="21" t="s">
        <v>181</v>
      </c>
      <c r="H485" s="21" t="s">
        <v>182</v>
      </c>
      <c r="I485" s="21" t="s">
        <v>60</v>
      </c>
      <c r="J485" s="21" t="s">
        <v>3813</v>
      </c>
      <c r="K485" s="21" t="s">
        <v>61</v>
      </c>
      <c r="L485" s="21" t="s">
        <v>183</v>
      </c>
      <c r="M485" s="21" t="s">
        <v>3854</v>
      </c>
      <c r="N485" s="21" t="s">
        <v>4024</v>
      </c>
      <c r="O485" s="48" t="s">
        <v>4025</v>
      </c>
      <c r="P485" s="21" t="s">
        <v>187</v>
      </c>
      <c r="Q485" s="24" t="s">
        <v>65</v>
      </c>
      <c r="R485" s="21" t="s">
        <v>4026</v>
      </c>
      <c r="S485" s="21" t="s">
        <v>51</v>
      </c>
      <c r="T485" s="21" t="s">
        <v>4027</v>
      </c>
      <c r="U485" s="21" t="s">
        <v>4028</v>
      </c>
      <c r="V485" s="21" t="s">
        <v>4029</v>
      </c>
      <c r="W485" s="45">
        <v>45936.0</v>
      </c>
      <c r="X485" s="49">
        <v>0.4847222222222222</v>
      </c>
      <c r="Y485" s="45">
        <v>45936.0</v>
      </c>
      <c r="Z485" s="49">
        <v>0.5416666666666666</v>
      </c>
      <c r="AA485" s="49">
        <v>0.6041666666666666</v>
      </c>
      <c r="AB485" s="24" t="s">
        <v>4030</v>
      </c>
      <c r="AC485" s="24" t="s">
        <v>4031</v>
      </c>
      <c r="AD485" s="25">
        <v>0.7638888888888888</v>
      </c>
      <c r="AE485" s="45">
        <v>45936.0</v>
      </c>
      <c r="AF485" s="21" t="s">
        <v>2744</v>
      </c>
      <c r="AG485" s="21" t="s">
        <v>4032</v>
      </c>
      <c r="AH485" s="21" t="s">
        <v>189</v>
      </c>
      <c r="AI485" s="62" t="str">
        <f>IFERROR(__xludf.DUMMYFUNCTION("IF(OR(W485="""",X485="""",AE485="""",AD485=""""),"""",
   TEXT(
     (
       (AE485+AD485 + IF(AE485+AD485 &lt; W485+X485,1,0)) - (W485+X485)
     )
     - IF(AND(AB485&lt;&gt;"""",AC485&lt;&gt;""""), 
          SUM(ARRAYFORMULA(SPLIT(AC485,"","") - SPLIT(AB485,"",""))"&amp;"), 
          0
       ),
     ""[hh]:mm""
   )
)
"),"03:12")</f>
        <v>03:12</v>
      </c>
      <c r="AJ485" s="27">
        <f t="shared" si="9"/>
        <v>0</v>
      </c>
      <c r="AK485" s="63" t="str">
        <f t="shared" si="10"/>
        <v>Pass</v>
      </c>
    </row>
    <row r="486">
      <c r="A486" s="45">
        <v>45936.0</v>
      </c>
      <c r="B486" s="49">
        <v>0.5277777777777778</v>
      </c>
      <c r="C486" s="45">
        <v>45936.0</v>
      </c>
      <c r="D486" s="49">
        <v>0.5375</v>
      </c>
      <c r="E486" s="21" t="s">
        <v>4033</v>
      </c>
      <c r="F486" s="21" t="s">
        <v>718</v>
      </c>
      <c r="G486" s="21" t="s">
        <v>719</v>
      </c>
      <c r="H486" s="21" t="s">
        <v>1373</v>
      </c>
      <c r="I486" s="21" t="s">
        <v>107</v>
      </c>
      <c r="J486" s="21" t="s">
        <v>3806</v>
      </c>
      <c r="K486" s="21" t="s">
        <v>43</v>
      </c>
      <c r="L486" s="21" t="s">
        <v>44</v>
      </c>
      <c r="M486" s="21" t="s">
        <v>4034</v>
      </c>
      <c r="N486" s="21" t="s">
        <v>4035</v>
      </c>
      <c r="O486" s="48" t="s">
        <v>4036</v>
      </c>
      <c r="P486" s="21" t="s">
        <v>75</v>
      </c>
      <c r="Q486" s="24" t="s">
        <v>65</v>
      </c>
      <c r="R486" s="21" t="s">
        <v>4037</v>
      </c>
      <c r="S486" s="21" t="s">
        <v>51</v>
      </c>
      <c r="T486" s="21" t="s">
        <v>3436</v>
      </c>
      <c r="U486" s="21" t="s">
        <v>52</v>
      </c>
      <c r="V486" s="21" t="s">
        <v>52</v>
      </c>
      <c r="W486" s="45">
        <v>45936.0</v>
      </c>
      <c r="X486" s="49">
        <v>0.5375</v>
      </c>
      <c r="Y486" s="45">
        <v>45936.0</v>
      </c>
      <c r="Z486" s="49">
        <v>0.6041666666666666</v>
      </c>
      <c r="AA486" s="49">
        <v>0.6840277777777778</v>
      </c>
      <c r="AB486" s="25">
        <v>0.6145833333333334</v>
      </c>
      <c r="AC486" s="25">
        <v>0.6840277777777778</v>
      </c>
      <c r="AD486" s="25">
        <v>0.7395833333333334</v>
      </c>
      <c r="AE486" s="45">
        <v>45936.0</v>
      </c>
      <c r="AF486" s="21" t="s">
        <v>2744</v>
      </c>
      <c r="AG486" s="21" t="s">
        <v>78</v>
      </c>
      <c r="AH486" s="21" t="s">
        <v>4038</v>
      </c>
      <c r="AI486" s="62" t="str">
        <f>IFERROR(__xludf.DUMMYFUNCTION("IF(OR(W486="""",X486="""",AE486="""",AD486=""""),"""",
   TEXT(
     (
       (AE486+AD486 + IF(AE486+AD486 &lt; W486+X486,1,0)) - (W486+X486)
     )
     - IF(AND(AB486&lt;&gt;"""",AC486&lt;&gt;""""), 
          SUM(ARRAYFORMULA(SPLIT(AC486,"","") - SPLIT(AB486,"",""))"&amp;"), 
          0
       ),
     ""[hh]:mm""
   )
)
"),"03:11")</f>
        <v>03:11</v>
      </c>
      <c r="AJ486" s="27">
        <f t="shared" si="9"/>
        <v>0</v>
      </c>
      <c r="AK486" s="63" t="str">
        <f t="shared" si="10"/>
        <v>Pass</v>
      </c>
    </row>
    <row r="487">
      <c r="A487" s="45">
        <v>45936.0</v>
      </c>
      <c r="B487" s="49">
        <v>0.6194444444444445</v>
      </c>
      <c r="C487" s="45">
        <v>45936.0</v>
      </c>
      <c r="D487" s="49">
        <v>0.6222222222222222</v>
      </c>
      <c r="E487" s="21" t="s">
        <v>4039</v>
      </c>
      <c r="F487" s="21" t="s">
        <v>1648</v>
      </c>
      <c r="G487" s="21" t="s">
        <v>4007</v>
      </c>
      <c r="H487" s="21" t="s">
        <v>4040</v>
      </c>
      <c r="I487" s="21" t="s">
        <v>1055</v>
      </c>
      <c r="J487" s="21" t="s">
        <v>309</v>
      </c>
      <c r="K487" s="21" t="s">
        <v>4041</v>
      </c>
      <c r="L487" s="21" t="s">
        <v>52</v>
      </c>
      <c r="M487" s="21" t="s">
        <v>52</v>
      </c>
      <c r="N487" s="21" t="s">
        <v>1434</v>
      </c>
      <c r="O487" s="48" t="s">
        <v>4042</v>
      </c>
      <c r="P487" s="21" t="s">
        <v>48</v>
      </c>
      <c r="Q487" s="24" t="s">
        <v>65</v>
      </c>
      <c r="R487" s="21" t="s">
        <v>4043</v>
      </c>
      <c r="S487" s="21" t="s">
        <v>51</v>
      </c>
      <c r="T487" s="21" t="s">
        <v>52</v>
      </c>
      <c r="U487" s="21" t="s">
        <v>52</v>
      </c>
      <c r="V487" s="21" t="s">
        <v>52</v>
      </c>
      <c r="W487" s="45">
        <v>45936.0</v>
      </c>
      <c r="X487" s="49">
        <v>0.6222222222222222</v>
      </c>
      <c r="Y487" s="45">
        <v>45936.0</v>
      </c>
      <c r="Z487" s="49">
        <v>0.7159722222222222</v>
      </c>
      <c r="AA487" s="49">
        <v>0.7166666666666667</v>
      </c>
      <c r="AB487" s="29"/>
      <c r="AC487" s="29"/>
      <c r="AD487" s="25">
        <v>0.7604166666666666</v>
      </c>
      <c r="AE487" s="45">
        <v>45936.0</v>
      </c>
      <c r="AF487" s="21" t="s">
        <v>2839</v>
      </c>
      <c r="AG487" s="21" t="s">
        <v>162</v>
      </c>
      <c r="AH487" s="21" t="s">
        <v>4044</v>
      </c>
      <c r="AI487" s="62" t="str">
        <f>IFERROR(__xludf.DUMMYFUNCTION("IF(OR(W487="""",X487="""",AE487="""",AD487=""""),"""",
   TEXT(
     (
       (AE487+AD487 + IF(AE487+AD487 &lt; W487+X487,1,0)) - (W487+X487)
     )
     - IF(AND(AB487&lt;&gt;"""",AC487&lt;&gt;""""), 
          SUM(ARRAYFORMULA(SPLIT(AC487,"","") - SPLIT(AB487,"",""))"&amp;"), 
          0
       ),
     ""[hh]:mm""
   )
)
"),"03:19")</f>
        <v>03:19</v>
      </c>
      <c r="AJ487" s="27">
        <f t="shared" si="9"/>
        <v>0</v>
      </c>
      <c r="AK487" s="63" t="str">
        <f t="shared" si="10"/>
        <v>Pass</v>
      </c>
    </row>
    <row r="488">
      <c r="A488" s="45">
        <v>45935.0</v>
      </c>
      <c r="B488" s="49">
        <v>0.9819444444444444</v>
      </c>
      <c r="C488" s="45">
        <v>45935.0</v>
      </c>
      <c r="D488" s="49">
        <v>0.9819444444444444</v>
      </c>
      <c r="E488" s="21" t="s">
        <v>4045</v>
      </c>
      <c r="F488" s="21" t="s">
        <v>1648</v>
      </c>
      <c r="G488" s="21" t="s">
        <v>4007</v>
      </c>
      <c r="H488" s="21" t="s">
        <v>377</v>
      </c>
      <c r="I488" s="21" t="s">
        <v>234</v>
      </c>
      <c r="J488" s="21" t="s">
        <v>3806</v>
      </c>
      <c r="K488" s="21" t="s">
        <v>43</v>
      </c>
      <c r="L488" s="21" t="s">
        <v>44</v>
      </c>
      <c r="M488" s="21" t="s">
        <v>4046</v>
      </c>
      <c r="N488" s="21" t="s">
        <v>4047</v>
      </c>
      <c r="O488" s="48" t="s">
        <v>4048</v>
      </c>
      <c r="P488" s="21" t="s">
        <v>75</v>
      </c>
      <c r="Q488" s="24" t="s">
        <v>49</v>
      </c>
      <c r="R488" s="21" t="s">
        <v>4049</v>
      </c>
      <c r="S488" s="21" t="s">
        <v>51</v>
      </c>
      <c r="T488" s="21" t="s">
        <v>52</v>
      </c>
      <c r="U488" s="21" t="s">
        <v>52</v>
      </c>
      <c r="V488" s="21" t="s">
        <v>52</v>
      </c>
      <c r="W488" s="45">
        <v>45935.0</v>
      </c>
      <c r="X488" s="49">
        <v>0.9819444444444444</v>
      </c>
      <c r="Y488" s="45">
        <v>45935.0</v>
      </c>
      <c r="Z488" s="49">
        <v>0.9819444444444444</v>
      </c>
      <c r="AA488" s="49">
        <v>0.9833333333333333</v>
      </c>
      <c r="AB488" s="24" t="s">
        <v>4012</v>
      </c>
      <c r="AC488" s="24" t="s">
        <v>4050</v>
      </c>
      <c r="AD488" s="25">
        <v>0.0625</v>
      </c>
      <c r="AE488" s="45">
        <v>45936.0</v>
      </c>
      <c r="AF488" s="47"/>
      <c r="AG488" s="21" t="s">
        <v>4014</v>
      </c>
      <c r="AH488" s="21" t="s">
        <v>1654</v>
      </c>
      <c r="AI488" s="62" t="str">
        <f>IFERROR(__xludf.DUMMYFUNCTION("IF(OR(W488="""",X488="""",AE488="""",AD488=""""),"""",
   TEXT(
     (
       (AE488+AD488 + IF(AE488+AD488 &lt; W488+X488,1,0)) - (W488+X488)
     )
     - IF(AND(AB488&lt;&gt;"""",AC488&lt;&gt;""""), 
          SUM(ARRAYFORMULA(SPLIT(AC488,"","") - SPLIT(AB488,"",""))"&amp;"), 
          0
       ),
     ""[hh]:mm""
   )
)
"),"01:11")</f>
        <v>01:11</v>
      </c>
      <c r="AJ488" s="27">
        <f t="shared" si="9"/>
        <v>0</v>
      </c>
      <c r="AK488" s="63" t="str">
        <f t="shared" si="10"/>
        <v>Pass</v>
      </c>
    </row>
    <row r="489">
      <c r="A489" s="45">
        <v>45936.0</v>
      </c>
      <c r="B489" s="49">
        <v>0.6694444444444444</v>
      </c>
      <c r="C489" s="45">
        <v>45936.0</v>
      </c>
      <c r="D489" s="49">
        <v>0.6743055555555556</v>
      </c>
      <c r="E489" s="21" t="s">
        <v>4051</v>
      </c>
      <c r="F489" s="21" t="s">
        <v>575</v>
      </c>
      <c r="G489" s="21" t="s">
        <v>576</v>
      </c>
      <c r="H489" s="21" t="s">
        <v>566</v>
      </c>
      <c r="I489" s="21" t="s">
        <v>95</v>
      </c>
      <c r="J489" s="21" t="s">
        <v>95</v>
      </c>
      <c r="K489" s="21" t="s">
        <v>143</v>
      </c>
      <c r="L489" s="21" t="s">
        <v>606</v>
      </c>
      <c r="M489" s="21" t="s">
        <v>4052</v>
      </c>
      <c r="N489" s="21" t="s">
        <v>4053</v>
      </c>
      <c r="O489" s="48" t="s">
        <v>4054</v>
      </c>
      <c r="P489" s="21" t="s">
        <v>48</v>
      </c>
      <c r="Q489" s="24" t="s">
        <v>49</v>
      </c>
      <c r="R489" s="21" t="s">
        <v>4055</v>
      </c>
      <c r="S489" s="21" t="s">
        <v>51</v>
      </c>
      <c r="T489" s="21" t="s">
        <v>52</v>
      </c>
      <c r="U489" s="21" t="s">
        <v>52</v>
      </c>
      <c r="V489" s="21" t="s">
        <v>52</v>
      </c>
      <c r="W489" s="45">
        <v>45936.0</v>
      </c>
      <c r="X489" s="49">
        <v>0.6798611111111111</v>
      </c>
      <c r="Y489" s="45">
        <v>45936.0</v>
      </c>
      <c r="Z489" s="49">
        <v>0.7583333333333333</v>
      </c>
      <c r="AA489" s="49">
        <v>0.7638888888888888</v>
      </c>
      <c r="AB489" s="29"/>
      <c r="AC489" s="29"/>
      <c r="AD489" s="25">
        <v>0.7881944444444444</v>
      </c>
      <c r="AE489" s="45">
        <v>45936.0</v>
      </c>
      <c r="AF489" s="21" t="s">
        <v>2839</v>
      </c>
      <c r="AG489" s="21" t="s">
        <v>583</v>
      </c>
      <c r="AH489" s="21" t="s">
        <v>584</v>
      </c>
      <c r="AI489" s="62" t="str">
        <f>IFERROR(__xludf.DUMMYFUNCTION("IF(OR(W489="""",X489="""",AE489="""",AD489=""""),"""",
   TEXT(
     (
       (AE489+AD489 + IF(AE489+AD489 &lt; W489+X489,1,0)) - (W489+X489)
     )
     - IF(AND(AB489&lt;&gt;"""",AC489&lt;&gt;""""), 
          SUM(ARRAYFORMULA(SPLIT(AC489,"","") - SPLIT(AB489,"",""))"&amp;"), 
          0
       ),
     ""[hh]:mm""
   )
)
"),"02:36")</f>
        <v>02:36</v>
      </c>
      <c r="AJ489" s="27">
        <f t="shared" si="9"/>
        <v>0</v>
      </c>
      <c r="AK489" s="63" t="str">
        <f t="shared" si="10"/>
        <v>Pass</v>
      </c>
    </row>
    <row r="490">
      <c r="A490" s="18">
        <v>45937.0</v>
      </c>
      <c r="B490" s="20">
        <v>0.3736111111111111</v>
      </c>
      <c r="C490" s="18">
        <v>45937.0</v>
      </c>
      <c r="D490" s="20">
        <v>0.375</v>
      </c>
      <c r="E490" s="22" t="s">
        <v>4056</v>
      </c>
      <c r="F490" s="22" t="s">
        <v>4057</v>
      </c>
      <c r="G490" s="22" t="s">
        <v>4058</v>
      </c>
      <c r="H490" s="22" t="s">
        <v>1610</v>
      </c>
      <c r="I490" s="22" t="s">
        <v>1612</v>
      </c>
      <c r="J490" s="22" t="s">
        <v>1612</v>
      </c>
      <c r="K490" s="22" t="s">
        <v>143</v>
      </c>
      <c r="L490" s="22" t="s">
        <v>4059</v>
      </c>
      <c r="M490" s="22" t="s">
        <v>4060</v>
      </c>
      <c r="N490" s="22" t="s">
        <v>4061</v>
      </c>
      <c r="O490" s="23" t="s">
        <v>4062</v>
      </c>
      <c r="P490" s="22" t="s">
        <v>187</v>
      </c>
      <c r="Q490" s="50" t="s">
        <v>65</v>
      </c>
      <c r="R490" s="22" t="s">
        <v>4063</v>
      </c>
      <c r="S490" s="22" t="s">
        <v>51</v>
      </c>
      <c r="T490" s="22" t="s">
        <v>52</v>
      </c>
      <c r="U490" s="22" t="s">
        <v>52</v>
      </c>
      <c r="V490" s="22" t="s">
        <v>52</v>
      </c>
      <c r="W490" s="18">
        <v>45937.0</v>
      </c>
      <c r="X490" s="20">
        <v>0.375</v>
      </c>
      <c r="Y490" s="18">
        <v>45937.0</v>
      </c>
      <c r="Z490" s="20">
        <v>0.4305555555555556</v>
      </c>
      <c r="AA490" s="20">
        <v>0.4340277777777778</v>
      </c>
      <c r="AB490" s="50" t="s">
        <v>4064</v>
      </c>
      <c r="AC490" s="50" t="s">
        <v>4065</v>
      </c>
      <c r="AD490" s="51">
        <v>0.6458333333333334</v>
      </c>
      <c r="AE490" s="18">
        <v>45937.0</v>
      </c>
      <c r="AF490" s="22" t="s">
        <v>2744</v>
      </c>
      <c r="AG490" s="22" t="s">
        <v>54</v>
      </c>
      <c r="AH490" s="22" t="s">
        <v>4066</v>
      </c>
      <c r="AI490" s="26" t="str">
        <f>IFERROR(__xludf.DUMMYFUNCTION("IF(OR(W490="""",X490="""",AE490="""",AD490=""""),"""",
   TEXT(
     (
       (AE490+AD490 + IF(AE490+AD490 &lt; W490+X490,1,0)) - (W490+X490)
     )
     - IF(AND(AB490&lt;&gt;"""",AC490&lt;&gt;""""), 
          SUM(ARRAYFORMULA(SPLIT(AC490,"","") - SPLIT(AB490,"",""))"&amp;"), 
          0
       ),
     ""[hh]:mm""
   )
)
"),"04:30")</f>
        <v>04:30</v>
      </c>
      <c r="AJ490" s="55">
        <f t="shared" si="9"/>
        <v>0</v>
      </c>
      <c r="AK490" s="28" t="str">
        <f t="shared" si="10"/>
        <v>Pass</v>
      </c>
    </row>
    <row r="491">
      <c r="A491" s="45">
        <v>45937.0</v>
      </c>
      <c r="B491" s="49">
        <v>0.42986111111111114</v>
      </c>
      <c r="C491" s="45">
        <v>45937.0</v>
      </c>
      <c r="D491" s="49">
        <v>0.44027777777777777</v>
      </c>
      <c r="E491" s="21" t="s">
        <v>4067</v>
      </c>
      <c r="F491" s="21" t="s">
        <v>4068</v>
      </c>
      <c r="G491" s="21" t="s">
        <v>4069</v>
      </c>
      <c r="H491" s="21" t="s">
        <v>4070</v>
      </c>
      <c r="I491" s="21" t="s">
        <v>567</v>
      </c>
      <c r="J491" s="21" t="s">
        <v>567</v>
      </c>
      <c r="K491" s="21" t="s">
        <v>568</v>
      </c>
      <c r="L491" s="21" t="s">
        <v>4071</v>
      </c>
      <c r="M491" s="21" t="s">
        <v>4072</v>
      </c>
      <c r="N491" s="21" t="s">
        <v>4073</v>
      </c>
      <c r="O491" s="48" t="s">
        <v>4074</v>
      </c>
      <c r="P491" s="21" t="s">
        <v>48</v>
      </c>
      <c r="Q491" s="24" t="s">
        <v>65</v>
      </c>
      <c r="R491" s="21" t="s">
        <v>4075</v>
      </c>
      <c r="S491" s="21" t="s">
        <v>51</v>
      </c>
      <c r="T491" s="21" t="s">
        <v>52</v>
      </c>
      <c r="U491" s="21" t="s">
        <v>52</v>
      </c>
      <c r="V491" s="21" t="s">
        <v>52</v>
      </c>
      <c r="W491" s="45">
        <v>45937.0</v>
      </c>
      <c r="X491" s="49">
        <v>0.44027777777777777</v>
      </c>
      <c r="Y491" s="45">
        <v>45937.0</v>
      </c>
      <c r="Z491" s="49">
        <v>0.5458333333333333</v>
      </c>
      <c r="AA491" s="49">
        <v>0.5472222222222223</v>
      </c>
      <c r="AB491" s="29"/>
      <c r="AC491" s="29"/>
      <c r="AD491" s="25">
        <v>0.5916666666666667</v>
      </c>
      <c r="AE491" s="45">
        <v>45937.0</v>
      </c>
      <c r="AF491" s="21" t="s">
        <v>2839</v>
      </c>
      <c r="AG491" s="21" t="s">
        <v>4076</v>
      </c>
      <c r="AH491" s="21" t="s">
        <v>4077</v>
      </c>
      <c r="AI491" s="62" t="str">
        <f>IFERROR(__xludf.DUMMYFUNCTION("IF(OR(W491="""",X491="""",AE491="""",AD491=""""),"""",
   TEXT(
     (
       (AE491+AD491 + IF(AE491+AD491 &lt; W491+X491,1,0)) - (W491+X491)
     )
     - IF(AND(AB491&lt;&gt;"""",AC491&lt;&gt;""""), 
          SUM(ARRAYFORMULA(SPLIT(AC491,"","") - SPLIT(AB491,"",""))"&amp;"), 
          0
       ),
     ""[hh]:mm""
   )
)
"),"03:38")</f>
        <v>03:38</v>
      </c>
      <c r="AJ491" s="27">
        <f t="shared" si="9"/>
        <v>0</v>
      </c>
      <c r="AK491" s="63" t="str">
        <f t="shared" si="10"/>
        <v>Pass</v>
      </c>
    </row>
    <row r="492">
      <c r="A492" s="18">
        <v>45932.0</v>
      </c>
      <c r="B492" s="20">
        <v>0.7395833333333334</v>
      </c>
      <c r="C492" s="18">
        <v>45932.0</v>
      </c>
      <c r="D492" s="20">
        <v>0.7444444444444445</v>
      </c>
      <c r="E492" s="22" t="s">
        <v>4078</v>
      </c>
      <c r="F492" s="22" t="s">
        <v>4079</v>
      </c>
      <c r="G492" s="22" t="s">
        <v>4080</v>
      </c>
      <c r="H492" s="22" t="s">
        <v>156</v>
      </c>
      <c r="I492" s="22" t="s">
        <v>131</v>
      </c>
      <c r="J492" s="22" t="s">
        <v>2253</v>
      </c>
      <c r="K492" s="22" t="s">
        <v>43</v>
      </c>
      <c r="L492" s="22" t="s">
        <v>1171</v>
      </c>
      <c r="M492" s="22" t="s">
        <v>4081</v>
      </c>
      <c r="N492" s="22" t="s">
        <v>3565</v>
      </c>
      <c r="O492" s="23" t="s">
        <v>4082</v>
      </c>
      <c r="P492" s="22" t="s">
        <v>75</v>
      </c>
      <c r="Q492" s="50" t="s">
        <v>65</v>
      </c>
      <c r="R492" s="22" t="s">
        <v>4083</v>
      </c>
      <c r="S492" s="22" t="s">
        <v>51</v>
      </c>
      <c r="T492" s="22" t="s">
        <v>2253</v>
      </c>
      <c r="U492" s="22" t="s">
        <v>3094</v>
      </c>
      <c r="V492" s="22" t="s">
        <v>4081</v>
      </c>
      <c r="W492" s="18">
        <v>45932.0</v>
      </c>
      <c r="X492" s="20">
        <v>0.7444444444444445</v>
      </c>
      <c r="Y492" s="18">
        <v>45937.0</v>
      </c>
      <c r="Z492" s="20">
        <v>0.5263888888888889</v>
      </c>
      <c r="AA492" s="20">
        <v>0.5263888888888889</v>
      </c>
      <c r="AB492" s="51">
        <v>0.5347222222222222</v>
      </c>
      <c r="AC492" s="51">
        <v>0.6944444444444444</v>
      </c>
      <c r="AD492" s="51">
        <v>0.7013888888888888</v>
      </c>
      <c r="AE492" s="18">
        <v>45937.0</v>
      </c>
      <c r="AF492" s="22" t="s">
        <v>2819</v>
      </c>
      <c r="AG492" s="22" t="s">
        <v>4084</v>
      </c>
      <c r="AH492" s="22" t="s">
        <v>4085</v>
      </c>
      <c r="AI492" s="26" t="str">
        <f>IFERROR(__xludf.DUMMYFUNCTION("IF(OR(W492="""",X492="""",AE492="""",AD492=""""),"""",
   TEXT(
     (
       (AE492+AD492 + IF(AE492+AD492 &lt; W492+X492,1,0)) - (W492+X492)
     )
     - IF(AND(AB492&lt;&gt;"""",AC492&lt;&gt;""""), 
          SUM(ARRAYFORMULA(SPLIT(AC492,"","") - SPLIT(AB492,"",""))"&amp;"), 
          0
       ),
     ""[hh]:mm""
   )
)
"),"115:08")</f>
        <v>115:08</v>
      </c>
      <c r="AJ492" s="55">
        <f t="shared" si="9"/>
        <v>4.297222222</v>
      </c>
      <c r="AK492" s="28" t="str">
        <f t="shared" si="10"/>
        <v>Fail</v>
      </c>
    </row>
    <row r="493">
      <c r="A493" s="18">
        <v>45937.0</v>
      </c>
      <c r="B493" s="20">
        <v>0.4618055555555556</v>
      </c>
      <c r="C493" s="18">
        <v>45937.0</v>
      </c>
      <c r="D493" s="20">
        <v>0.46458333333333335</v>
      </c>
      <c r="E493" s="22" t="s">
        <v>4086</v>
      </c>
      <c r="F493" s="22" t="s">
        <v>4087</v>
      </c>
      <c r="G493" s="22" t="s">
        <v>4088</v>
      </c>
      <c r="H493" s="22" t="s">
        <v>1610</v>
      </c>
      <c r="I493" s="22" t="s">
        <v>1612</v>
      </c>
      <c r="J493" s="22" t="s">
        <v>1612</v>
      </c>
      <c r="K493" s="22" t="s">
        <v>143</v>
      </c>
      <c r="L493" s="22" t="s">
        <v>1613</v>
      </c>
      <c r="M493" s="22" t="s">
        <v>4089</v>
      </c>
      <c r="N493" s="22" t="s">
        <v>4090</v>
      </c>
      <c r="O493" s="23" t="s">
        <v>4091</v>
      </c>
      <c r="P493" s="22" t="s">
        <v>187</v>
      </c>
      <c r="Q493" s="50" t="s">
        <v>65</v>
      </c>
      <c r="R493" s="22" t="s">
        <v>4063</v>
      </c>
      <c r="S493" s="22" t="s">
        <v>51</v>
      </c>
      <c r="T493" s="22" t="s">
        <v>52</v>
      </c>
      <c r="U493" s="22" t="s">
        <v>52</v>
      </c>
      <c r="V493" s="22" t="s">
        <v>52</v>
      </c>
      <c r="W493" s="18">
        <v>45937.0</v>
      </c>
      <c r="X493" s="20">
        <v>0.46458333333333335</v>
      </c>
      <c r="Y493" s="18">
        <v>45937.0</v>
      </c>
      <c r="Z493" s="20">
        <v>0.5694444444444444</v>
      </c>
      <c r="AA493" s="20">
        <v>0.5694444444444444</v>
      </c>
      <c r="AB493" s="50" t="s">
        <v>4092</v>
      </c>
      <c r="AC493" s="50" t="s">
        <v>4093</v>
      </c>
      <c r="AD493" s="51">
        <v>0.8125</v>
      </c>
      <c r="AE493" s="18">
        <v>45937.0</v>
      </c>
      <c r="AF493" s="22" t="s">
        <v>3229</v>
      </c>
      <c r="AG493" s="22" t="s">
        <v>4094</v>
      </c>
      <c r="AH493" s="22" t="s">
        <v>4095</v>
      </c>
      <c r="AI493" s="26" t="str">
        <f>IFERROR(__xludf.DUMMYFUNCTION("IF(OR(W493="""",X493="""",AE493="""",AD493=""""),"""",
   TEXT(
     (
       (AE493+AD493 + IF(AE493+AD493 &lt; W493+X493,1,0)) - (W493+X493)
     )
     - IF(AND(AB493&lt;&gt;"""",AC493&lt;&gt;""""), 
          SUM(ARRAYFORMULA(SPLIT(AC493,"","") - SPLIT(AB493,"",""))"&amp;"), 
          0
       ),
     ""[hh]:mm""
   )
)
"),"06:47")</f>
        <v>06:47</v>
      </c>
      <c r="AJ493" s="55">
        <f t="shared" si="9"/>
        <v>0</v>
      </c>
      <c r="AK493" s="28" t="str">
        <f t="shared" si="10"/>
        <v>Pass</v>
      </c>
    </row>
    <row r="494">
      <c r="A494" s="18">
        <v>45937.0</v>
      </c>
      <c r="B494" s="20">
        <v>0.4618055555555556</v>
      </c>
      <c r="C494" s="18">
        <v>45937.0</v>
      </c>
      <c r="D494" s="20">
        <v>0.46458333333333335</v>
      </c>
      <c r="E494" s="22" t="s">
        <v>4096</v>
      </c>
      <c r="F494" s="22" t="s">
        <v>4087</v>
      </c>
      <c r="G494" s="22" t="s">
        <v>4088</v>
      </c>
      <c r="H494" s="22" t="s">
        <v>1610</v>
      </c>
      <c r="I494" s="22" t="s">
        <v>1611</v>
      </c>
      <c r="J494" s="22" t="s">
        <v>1612</v>
      </c>
      <c r="K494" s="22" t="s">
        <v>143</v>
      </c>
      <c r="L494" s="22" t="s">
        <v>1613</v>
      </c>
      <c r="M494" s="22" t="s">
        <v>4097</v>
      </c>
      <c r="N494" s="22" t="s">
        <v>4090</v>
      </c>
      <c r="O494" s="23" t="s">
        <v>4098</v>
      </c>
      <c r="P494" s="22" t="s">
        <v>187</v>
      </c>
      <c r="Q494" s="50" t="s">
        <v>65</v>
      </c>
      <c r="R494" s="22" t="s">
        <v>4099</v>
      </c>
      <c r="S494" s="22" t="s">
        <v>51</v>
      </c>
      <c r="T494" s="22" t="s">
        <v>52</v>
      </c>
      <c r="U494" s="22" t="s">
        <v>52</v>
      </c>
      <c r="V494" s="22" t="s">
        <v>52</v>
      </c>
      <c r="W494" s="18">
        <v>45937.0</v>
      </c>
      <c r="X494" s="20">
        <v>0.46458333333333335</v>
      </c>
      <c r="Y494" s="18">
        <v>45937.0</v>
      </c>
      <c r="Z494" s="20">
        <v>0.5625</v>
      </c>
      <c r="AA494" s="20">
        <v>0.5680555555555555</v>
      </c>
      <c r="AB494" s="50" t="s">
        <v>4092</v>
      </c>
      <c r="AC494" s="50" t="s">
        <v>4093</v>
      </c>
      <c r="AD494" s="51">
        <v>0.8125</v>
      </c>
      <c r="AE494" s="18">
        <v>45937.0</v>
      </c>
      <c r="AF494" s="22" t="s">
        <v>2931</v>
      </c>
      <c r="AG494" s="22" t="s">
        <v>4094</v>
      </c>
      <c r="AH494" s="22" t="s">
        <v>4095</v>
      </c>
      <c r="AI494" s="26" t="str">
        <f>IFERROR(__xludf.DUMMYFUNCTION("IF(OR(W494="""",X494="""",AE494="""",AD494=""""),"""",
   TEXT(
     (
       (AE494+AD494 + IF(AE494+AD494 &lt; W494+X494,1,0)) - (W494+X494)
     )
     - IF(AND(AB494&lt;&gt;"""",AC494&lt;&gt;""""), 
          SUM(ARRAYFORMULA(SPLIT(AC494,"","") - SPLIT(AB494,"",""))"&amp;"), 
          0
       ),
     ""[hh]:mm""
   )
)
"),"06:47")</f>
        <v>06:47</v>
      </c>
      <c r="AJ494" s="55">
        <f t="shared" si="9"/>
        <v>0</v>
      </c>
      <c r="AK494" s="28" t="str">
        <f t="shared" si="10"/>
        <v>Pass</v>
      </c>
    </row>
    <row r="495">
      <c r="A495" s="45">
        <v>45932.0</v>
      </c>
      <c r="B495" s="49">
        <v>0.40625</v>
      </c>
      <c r="C495" s="45">
        <v>45932.0</v>
      </c>
      <c r="D495" s="49">
        <v>0.4097222222222222</v>
      </c>
      <c r="E495" s="21" t="s">
        <v>4100</v>
      </c>
      <c r="F495" s="21" t="s">
        <v>4101</v>
      </c>
      <c r="G495" s="21" t="s">
        <v>4102</v>
      </c>
      <c r="H495" s="21" t="s">
        <v>2248</v>
      </c>
      <c r="I495" s="21" t="s">
        <v>616</v>
      </c>
      <c r="J495" s="21" t="s">
        <v>2253</v>
      </c>
      <c r="K495" s="21" t="s">
        <v>43</v>
      </c>
      <c r="L495" s="21" t="s">
        <v>1171</v>
      </c>
      <c r="M495" s="21" t="s">
        <v>4103</v>
      </c>
      <c r="N495" s="21" t="s">
        <v>4104</v>
      </c>
      <c r="O495" s="48" t="s">
        <v>4105</v>
      </c>
      <c r="P495" s="21" t="s">
        <v>75</v>
      </c>
      <c r="Q495" s="24" t="s">
        <v>65</v>
      </c>
      <c r="R495" s="21" t="s">
        <v>4106</v>
      </c>
      <c r="S495" s="21" t="s">
        <v>51</v>
      </c>
      <c r="T495" s="22" t="s">
        <v>2253</v>
      </c>
      <c r="U495" s="21" t="s">
        <v>4107</v>
      </c>
      <c r="V495" s="21" t="s">
        <v>4108</v>
      </c>
      <c r="W495" s="45">
        <v>45932.0</v>
      </c>
      <c r="X495" s="49">
        <v>0.4097222222222222</v>
      </c>
      <c r="Y495" s="45">
        <v>45937.0</v>
      </c>
      <c r="Z495" s="49">
        <v>0.4423611111111111</v>
      </c>
      <c r="AA495" s="49">
        <v>0.4583333333333333</v>
      </c>
      <c r="AB495" s="29"/>
      <c r="AC495" s="29"/>
      <c r="AD495" s="25">
        <v>0.46458333333333335</v>
      </c>
      <c r="AE495" s="45">
        <v>45937.0</v>
      </c>
      <c r="AF495" s="21" t="s">
        <v>2931</v>
      </c>
      <c r="AG495" s="21" t="s">
        <v>4109</v>
      </c>
      <c r="AH495" s="21" t="s">
        <v>4110</v>
      </c>
      <c r="AI495" s="62" t="str">
        <f>IFERROR(__xludf.DUMMYFUNCTION("IF(OR(W495="""",X495="""",AE495="""",AD495=""""),"""",
   TEXT(
     (
       (AE495+AD495 + IF(AE495+AD495 &lt; W495+X495,1,0)) - (W495+X495)
     )
     - IF(AND(AB495&lt;&gt;"""",AC495&lt;&gt;""""), 
          SUM(ARRAYFORMULA(SPLIT(AC495,"","") - SPLIT(AB495,"",""))"&amp;"), 
          0
       ),
     ""[hh]:mm""
   )
)
"),"121:19")</f>
        <v>121:19</v>
      </c>
      <c r="AJ495" s="27">
        <f t="shared" si="9"/>
        <v>4.554861111</v>
      </c>
      <c r="AK495" s="63" t="str">
        <f t="shared" si="10"/>
        <v>Fail</v>
      </c>
    </row>
    <row r="496">
      <c r="A496" s="18">
        <v>45937.0</v>
      </c>
      <c r="B496" s="20">
        <v>0.60625</v>
      </c>
      <c r="C496" s="18">
        <v>45937.0</v>
      </c>
      <c r="D496" s="20">
        <v>0.6097222222222223</v>
      </c>
      <c r="E496" s="22" t="s">
        <v>4111</v>
      </c>
      <c r="F496" s="22" t="s">
        <v>4112</v>
      </c>
      <c r="G496" s="22" t="s">
        <v>4113</v>
      </c>
      <c r="H496" s="22" t="s">
        <v>1373</v>
      </c>
      <c r="I496" s="22" t="s">
        <v>1632</v>
      </c>
      <c r="J496" s="22" t="s">
        <v>2655</v>
      </c>
      <c r="K496" s="22" t="s">
        <v>3967</v>
      </c>
      <c r="L496" s="22" t="s">
        <v>4114</v>
      </c>
      <c r="M496" s="22" t="s">
        <v>4115</v>
      </c>
      <c r="N496" s="22" t="s">
        <v>4116</v>
      </c>
      <c r="O496" s="23" t="s">
        <v>4117</v>
      </c>
      <c r="P496" s="22" t="s">
        <v>75</v>
      </c>
      <c r="Q496" s="50" t="s">
        <v>65</v>
      </c>
      <c r="R496" s="22" t="s">
        <v>4118</v>
      </c>
      <c r="S496" s="22" t="s">
        <v>51</v>
      </c>
      <c r="T496" s="22" t="s">
        <v>4119</v>
      </c>
      <c r="U496" s="22" t="s">
        <v>52</v>
      </c>
      <c r="V496" s="22" t="s">
        <v>52</v>
      </c>
      <c r="W496" s="18">
        <v>45937.0</v>
      </c>
      <c r="X496" s="20">
        <v>0.6097222222222223</v>
      </c>
      <c r="Y496" s="18">
        <v>45937.0</v>
      </c>
      <c r="Z496" s="20">
        <v>0.625</v>
      </c>
      <c r="AA496" s="20">
        <v>0.6631944444444444</v>
      </c>
      <c r="AB496" s="51">
        <v>0.625</v>
      </c>
      <c r="AC496" s="51">
        <v>0.65625</v>
      </c>
      <c r="AD496" s="51">
        <v>0.6875</v>
      </c>
      <c r="AE496" s="18">
        <v>45937.0</v>
      </c>
      <c r="AF496" s="22" t="s">
        <v>2744</v>
      </c>
      <c r="AG496" s="22" t="s">
        <v>78</v>
      </c>
      <c r="AH496" s="22" t="s">
        <v>4120</v>
      </c>
      <c r="AI496" s="62" t="str">
        <f>IFERROR(__xludf.DUMMYFUNCTION("IF(OR(W496="""",X496="""",AE496="""",AD496=""""),"""",
   TEXT(
     (
       (AE496+AD496 + IF(AE496+AD496 &lt; W496+X496,1,0)) - (W496+X496)
     )
     - IF(AND(AB496&lt;&gt;"""",AC496&lt;&gt;""""), 
          SUM(ARRAYFORMULA(SPLIT(AC496,"","") - SPLIT(AB496,"",""))"&amp;"), 
          0
       ),
     ""[hh]:mm""
   )
)
"),"01:07")</f>
        <v>01:07</v>
      </c>
      <c r="AJ496" s="27">
        <f t="shared" si="9"/>
        <v>0</v>
      </c>
      <c r="AK496" s="63" t="str">
        <f t="shared" si="10"/>
        <v>Pass</v>
      </c>
    </row>
    <row r="497">
      <c r="A497" s="18">
        <v>45937.0</v>
      </c>
      <c r="B497" s="20">
        <v>0.6069444444444444</v>
      </c>
      <c r="C497" s="18">
        <v>45937.0</v>
      </c>
      <c r="D497" s="20">
        <v>0.6159722222222223</v>
      </c>
      <c r="E497" s="22" t="s">
        <v>4121</v>
      </c>
      <c r="F497" s="22" t="s">
        <v>4122</v>
      </c>
      <c r="G497" s="22" t="s">
        <v>4123</v>
      </c>
      <c r="H497" s="22" t="s">
        <v>1468</v>
      </c>
      <c r="I497" s="22" t="s">
        <v>856</v>
      </c>
      <c r="J497" s="22" t="s">
        <v>1084</v>
      </c>
      <c r="K497" s="22" t="s">
        <v>1998</v>
      </c>
      <c r="L497" s="22" t="s">
        <v>1999</v>
      </c>
      <c r="M497" s="22" t="s">
        <v>4124</v>
      </c>
      <c r="N497" s="22" t="s">
        <v>1468</v>
      </c>
      <c r="O497" s="23" t="s">
        <v>4125</v>
      </c>
      <c r="P497" s="22" t="s">
        <v>48</v>
      </c>
      <c r="Q497" s="50" t="s">
        <v>198</v>
      </c>
      <c r="R497" s="22" t="s">
        <v>4126</v>
      </c>
      <c r="S497" s="22" t="s">
        <v>51</v>
      </c>
      <c r="T497" s="22" t="s">
        <v>935</v>
      </c>
      <c r="U497" s="22" t="s">
        <v>4124</v>
      </c>
      <c r="V497" s="22">
        <v>8.61585040697862E14</v>
      </c>
      <c r="W497" s="18">
        <v>45937.0</v>
      </c>
      <c r="X497" s="20">
        <v>0.6159722222222223</v>
      </c>
      <c r="Y497" s="18">
        <v>45937.0</v>
      </c>
      <c r="Z497" s="20">
        <v>0.6958333333333333</v>
      </c>
      <c r="AA497" s="20">
        <v>0.7527777777777778</v>
      </c>
      <c r="AB497" s="51">
        <v>0.6958333333333333</v>
      </c>
      <c r="AC497" s="51">
        <v>0.7513888888888889</v>
      </c>
      <c r="AD497" s="51">
        <v>0.8125</v>
      </c>
      <c r="AE497" s="18">
        <v>45937.0</v>
      </c>
      <c r="AF497" s="22" t="s">
        <v>2730</v>
      </c>
      <c r="AG497" s="22" t="s">
        <v>2086</v>
      </c>
      <c r="AH497" s="22" t="s">
        <v>4127</v>
      </c>
      <c r="AI497" s="62" t="str">
        <f>IFERROR(__xludf.DUMMYFUNCTION("IF(OR(W497="""",X497="""",AE497="""",AD497=""""),"""",
   TEXT(
     (
       (AE497+AD497 + IF(AE497+AD497 &lt; W497+X497,1,0)) - (W497+X497)
     )
     - IF(AND(AB497&lt;&gt;"""",AC497&lt;&gt;""""), 
          SUM(ARRAYFORMULA(SPLIT(AC497,"","") - SPLIT(AB497,"",""))"&amp;"), 
          0
       ),
     ""[hh]:mm""
   )
)
"),"03:23")</f>
        <v>03:23</v>
      </c>
      <c r="AJ497" s="27">
        <f t="shared" si="9"/>
        <v>0</v>
      </c>
      <c r="AK497" s="63" t="str">
        <f t="shared" si="10"/>
        <v>Pass</v>
      </c>
    </row>
    <row r="498">
      <c r="A498" s="18">
        <v>45937.0</v>
      </c>
      <c r="B498" s="20">
        <v>0.6069444444444444</v>
      </c>
      <c r="C498" s="18">
        <v>45937.0</v>
      </c>
      <c r="D498" s="20">
        <v>0.6159722222222223</v>
      </c>
      <c r="E498" s="22" t="s">
        <v>4128</v>
      </c>
      <c r="F498" s="22" t="s">
        <v>4129</v>
      </c>
      <c r="G498" s="22" t="s">
        <v>4130</v>
      </c>
      <c r="H498" s="22" t="s">
        <v>1468</v>
      </c>
      <c r="I498" s="22" t="s">
        <v>856</v>
      </c>
      <c r="J498" s="22" t="s">
        <v>1084</v>
      </c>
      <c r="K498" s="22" t="s">
        <v>2912</v>
      </c>
      <c r="L498" s="22" t="s">
        <v>4131</v>
      </c>
      <c r="M498" s="22">
        <v>8.61585041578475E14</v>
      </c>
      <c r="N498" s="22" t="s">
        <v>1468</v>
      </c>
      <c r="O498" s="23" t="s">
        <v>4132</v>
      </c>
      <c r="P498" s="22" t="s">
        <v>48</v>
      </c>
      <c r="Q498" s="50" t="s">
        <v>198</v>
      </c>
      <c r="R498" s="22" t="s">
        <v>4133</v>
      </c>
      <c r="S498" s="22" t="s">
        <v>51</v>
      </c>
      <c r="T498" s="22" t="s">
        <v>935</v>
      </c>
      <c r="U498" s="22">
        <v>8.61585041578475E14</v>
      </c>
      <c r="V498" s="22">
        <v>8.61585040710202E14</v>
      </c>
      <c r="W498" s="18">
        <v>45937.0</v>
      </c>
      <c r="X498" s="20">
        <v>0.6159722222222223</v>
      </c>
      <c r="Y498" s="18">
        <v>45937.0</v>
      </c>
      <c r="Z498" s="20">
        <v>0.6875</v>
      </c>
      <c r="AA498" s="20">
        <v>0.7180555555555556</v>
      </c>
      <c r="AB498" s="51">
        <v>0.6875</v>
      </c>
      <c r="AC498" s="51">
        <v>0.7173611111111111</v>
      </c>
      <c r="AD498" s="51">
        <v>0.7708333333333334</v>
      </c>
      <c r="AE498" s="18">
        <v>45937.0</v>
      </c>
      <c r="AF498" s="22" t="s">
        <v>2730</v>
      </c>
      <c r="AG498" s="22" t="s">
        <v>1475</v>
      </c>
      <c r="AH498" s="22" t="s">
        <v>4134</v>
      </c>
      <c r="AI498" s="62" t="str">
        <f>IFERROR(__xludf.DUMMYFUNCTION("IF(OR(W498="""",X498="""",AE498="""",AD498=""""),"""",
   TEXT(
     (
       (AE498+AD498 + IF(AE498+AD498 &lt; W498+X498,1,0)) - (W498+X498)
     )
     - IF(AND(AB498&lt;&gt;"""",AC498&lt;&gt;""""), 
          SUM(ARRAYFORMULA(SPLIT(AC498,"","") - SPLIT(AB498,"",""))"&amp;"), 
          0
       ),
     ""[hh]:mm""
   )
)
"),"03:00")</f>
        <v>03:00</v>
      </c>
      <c r="AJ498" s="27">
        <f t="shared" si="9"/>
        <v>0</v>
      </c>
      <c r="AK498" s="63" t="str">
        <f t="shared" si="10"/>
        <v>Pass</v>
      </c>
    </row>
    <row r="499">
      <c r="A499" s="45">
        <v>45937.0</v>
      </c>
      <c r="B499" s="49">
        <v>0.5458333333333333</v>
      </c>
      <c r="C499" s="45">
        <v>45937.0</v>
      </c>
      <c r="D499" s="49">
        <v>0.5486111111111112</v>
      </c>
      <c r="E499" s="21" t="s">
        <v>4135</v>
      </c>
      <c r="F499" s="21" t="s">
        <v>3999</v>
      </c>
      <c r="G499" s="21" t="s">
        <v>4000</v>
      </c>
      <c r="H499" s="21" t="s">
        <v>1468</v>
      </c>
      <c r="I499" s="21" t="s">
        <v>856</v>
      </c>
      <c r="J499" s="21" t="s">
        <v>1084</v>
      </c>
      <c r="K499" s="21" t="s">
        <v>2912</v>
      </c>
      <c r="L499" s="21" t="s">
        <v>2912</v>
      </c>
      <c r="M499" s="21" t="s">
        <v>3504</v>
      </c>
      <c r="N499" s="21" t="s">
        <v>4136</v>
      </c>
      <c r="O499" s="48" t="s">
        <v>4137</v>
      </c>
      <c r="P499" s="21" t="s">
        <v>48</v>
      </c>
      <c r="Q499" s="24" t="s">
        <v>198</v>
      </c>
      <c r="R499" s="21" t="s">
        <v>4138</v>
      </c>
      <c r="S499" s="21" t="s">
        <v>51</v>
      </c>
      <c r="T499" s="21" t="s">
        <v>3243</v>
      </c>
      <c r="U499" s="21" t="s">
        <v>3504</v>
      </c>
      <c r="V499" s="21" t="s">
        <v>52</v>
      </c>
      <c r="W499" s="45">
        <v>45938.0</v>
      </c>
      <c r="X499" s="49">
        <v>0.4166666666666667</v>
      </c>
      <c r="Y499" s="45">
        <v>45938.0</v>
      </c>
      <c r="Z499" s="49">
        <v>0.44930555555555557</v>
      </c>
      <c r="AA499" s="49">
        <v>0.4513888888888889</v>
      </c>
      <c r="AB499" s="29"/>
      <c r="AC499" s="29"/>
      <c r="AD499" s="25">
        <v>0.47152777777777777</v>
      </c>
      <c r="AE499" s="45">
        <v>45938.0</v>
      </c>
      <c r="AF499" s="21" t="s">
        <v>2730</v>
      </c>
      <c r="AG499" s="21" t="s">
        <v>533</v>
      </c>
      <c r="AH499" s="21" t="s">
        <v>4139</v>
      </c>
      <c r="AI499" s="62" t="str">
        <f>IFERROR(__xludf.DUMMYFUNCTION("IF(OR(W499="""",X499="""",AE499="""",AD499=""""),"""",
   TEXT(
     (
       (AE499+AD499 + IF(AE499+AD499 &lt; W499+X499,1,0)) - (W499+X499)
     )
     - IF(AND(AB499&lt;&gt;"""",AC499&lt;&gt;""""), 
          SUM(ARRAYFORMULA(SPLIT(AC499,"","") - SPLIT(AB499,"",""))"&amp;"), 
          0
       ),
     ""[hh]:mm""
   )
)
"),"01:19")</f>
        <v>01:19</v>
      </c>
      <c r="AJ499" s="27">
        <f t="shared" si="9"/>
        <v>0</v>
      </c>
      <c r="AK499" s="63" t="str">
        <f t="shared" si="10"/>
        <v>Pass</v>
      </c>
    </row>
    <row r="500">
      <c r="A500" s="45">
        <v>45938.0</v>
      </c>
      <c r="B500" s="49">
        <v>0.39305555555555555</v>
      </c>
      <c r="C500" s="45">
        <v>45938.0</v>
      </c>
      <c r="D500" s="49">
        <v>0.39444444444444443</v>
      </c>
      <c r="E500" s="21" t="s">
        <v>4140</v>
      </c>
      <c r="F500" s="21" t="s">
        <v>939</v>
      </c>
      <c r="G500" s="21" t="s">
        <v>940</v>
      </c>
      <c r="H500" s="21" t="s">
        <v>3093</v>
      </c>
      <c r="I500" s="21" t="s">
        <v>856</v>
      </c>
      <c r="J500" s="21" t="s">
        <v>1084</v>
      </c>
      <c r="K500" s="21" t="s">
        <v>2912</v>
      </c>
      <c r="L500" s="21" t="s">
        <v>52</v>
      </c>
      <c r="M500" s="21" t="s">
        <v>52</v>
      </c>
      <c r="N500" s="21" t="s">
        <v>4141</v>
      </c>
      <c r="O500" s="48" t="s">
        <v>4142</v>
      </c>
      <c r="P500" s="21" t="s">
        <v>48</v>
      </c>
      <c r="Q500" s="24" t="s">
        <v>198</v>
      </c>
      <c r="R500" s="21" t="s">
        <v>4143</v>
      </c>
      <c r="S500" s="21" t="s">
        <v>51</v>
      </c>
      <c r="T500" s="21" t="s">
        <v>52</v>
      </c>
      <c r="U500" s="21" t="s">
        <v>52</v>
      </c>
      <c r="V500" s="21" t="s">
        <v>52</v>
      </c>
      <c r="W500" s="45">
        <v>45938.0</v>
      </c>
      <c r="X500" s="49">
        <v>0.39444444444444443</v>
      </c>
      <c r="Y500" s="45">
        <v>45938.0</v>
      </c>
      <c r="Z500" s="49">
        <v>0.4965277777777778</v>
      </c>
      <c r="AA500" s="49">
        <v>0.5</v>
      </c>
      <c r="AB500" s="29"/>
      <c r="AC500" s="29"/>
      <c r="AD500" s="25">
        <v>0.53125</v>
      </c>
      <c r="AE500" s="45">
        <v>45938.0</v>
      </c>
      <c r="AF500" s="21" t="s">
        <v>2730</v>
      </c>
      <c r="AG500" s="21" t="s">
        <v>2320</v>
      </c>
      <c r="AH500" s="21" t="s">
        <v>4144</v>
      </c>
      <c r="AI500" s="62" t="str">
        <f>IFERROR(__xludf.DUMMYFUNCTION("IF(OR(W500="""",X500="""",AE500="""",AD500=""""),"""",
   TEXT(
     (
       (AE500+AD500 + IF(AE500+AD500 &lt; W500+X500,1,0)) - (W500+X500)
     )
     - IF(AND(AB500&lt;&gt;"""",AC500&lt;&gt;""""), 
          SUM(ARRAYFORMULA(SPLIT(AC500,"","") - SPLIT(AB500,"",""))"&amp;"), 
          0
       ),
     ""[hh]:mm""
   )
)
"),"03:17")</f>
        <v>03:17</v>
      </c>
      <c r="AJ500" s="27">
        <f t="shared" si="9"/>
        <v>0</v>
      </c>
      <c r="AK500" s="63" t="str">
        <f t="shared" si="10"/>
        <v>Pass</v>
      </c>
    </row>
    <row r="501">
      <c r="A501" s="18">
        <v>45938.0</v>
      </c>
      <c r="B501" s="20">
        <v>0.4048611111111111</v>
      </c>
      <c r="C501" s="18">
        <v>45938.0</v>
      </c>
      <c r="D501" s="20">
        <v>0.40902777777777777</v>
      </c>
      <c r="E501" s="22" t="s">
        <v>4145</v>
      </c>
      <c r="F501" s="22" t="s">
        <v>949</v>
      </c>
      <c r="G501" s="22" t="s">
        <v>364</v>
      </c>
      <c r="H501" s="22" t="s">
        <v>1373</v>
      </c>
      <c r="I501" s="22" t="s">
        <v>2651</v>
      </c>
      <c r="J501" s="22" t="s">
        <v>2655</v>
      </c>
      <c r="K501" s="22" t="s">
        <v>43</v>
      </c>
      <c r="L501" s="22" t="s">
        <v>1666</v>
      </c>
      <c r="M501" s="22">
        <v>2.02008100094E11</v>
      </c>
      <c r="N501" s="22" t="s">
        <v>4146</v>
      </c>
      <c r="O501" s="23" t="s">
        <v>4147</v>
      </c>
      <c r="P501" s="22" t="s">
        <v>75</v>
      </c>
      <c r="Q501" s="50" t="s">
        <v>49</v>
      </c>
      <c r="R501" s="22" t="s">
        <v>4148</v>
      </c>
      <c r="S501" s="22" t="s">
        <v>51</v>
      </c>
      <c r="T501" s="22" t="s">
        <v>2655</v>
      </c>
      <c r="U501" s="22">
        <v>2.019022502E11</v>
      </c>
      <c r="V501" s="22">
        <v>2.02008100094E11</v>
      </c>
      <c r="W501" s="18">
        <v>45938.0</v>
      </c>
      <c r="X501" s="20">
        <v>0.5423611111111111</v>
      </c>
      <c r="Y501" s="18">
        <v>45938.0</v>
      </c>
      <c r="Z501" s="20">
        <v>0.625</v>
      </c>
      <c r="AA501" s="20">
        <v>0.6284722222222222</v>
      </c>
      <c r="AB501" s="51">
        <v>0.6458333333333334</v>
      </c>
      <c r="AC501" s="51">
        <v>0.7916666666666666</v>
      </c>
      <c r="AD501" s="51">
        <v>0.8541666666666666</v>
      </c>
      <c r="AE501" s="18">
        <v>45938.0</v>
      </c>
      <c r="AF501" s="22" t="s">
        <v>3218</v>
      </c>
      <c r="AG501" s="22" t="s">
        <v>2320</v>
      </c>
      <c r="AH501" s="22" t="s">
        <v>4149</v>
      </c>
      <c r="AI501" s="62" t="str">
        <f>IFERROR(__xludf.DUMMYFUNCTION("IF(OR(W501="""",X501="""",AE501="""",AD501=""""),"""",
   TEXT(
     (
       (AE501+AD501 + IF(AE501+AD501 &lt; W501+X501,1,0)) - (W501+X501)
     )
     - IF(AND(AB501&lt;&gt;"""",AC501&lt;&gt;""""), 
          SUM(ARRAYFORMULA(SPLIT(AC501,"","") - SPLIT(AB501,"",""))"&amp;"), 
          0
       ),
     ""[hh]:mm""
   )
)
"),"03:59")</f>
        <v>03:59</v>
      </c>
      <c r="AJ501" s="27">
        <f t="shared" si="9"/>
        <v>0</v>
      </c>
      <c r="AK501" s="63" t="str">
        <f t="shared" si="10"/>
        <v>Pass</v>
      </c>
    </row>
    <row r="502">
      <c r="A502" s="18">
        <v>45938.0</v>
      </c>
      <c r="B502" s="20">
        <v>0.4826388888888889</v>
      </c>
      <c r="C502" s="18">
        <v>45938.0</v>
      </c>
      <c r="D502" s="20">
        <v>0.49236111111111114</v>
      </c>
      <c r="E502" s="22" t="s">
        <v>4150</v>
      </c>
      <c r="F502" s="22" t="s">
        <v>4151</v>
      </c>
      <c r="G502" s="22" t="s">
        <v>4152</v>
      </c>
      <c r="H502" s="22" t="s">
        <v>4070</v>
      </c>
      <c r="I502" s="22" t="s">
        <v>567</v>
      </c>
      <c r="J502" s="22" t="s">
        <v>567</v>
      </c>
      <c r="K502" s="22" t="s">
        <v>568</v>
      </c>
      <c r="L502" s="22" t="s">
        <v>3268</v>
      </c>
      <c r="M502" s="22" t="s">
        <v>4153</v>
      </c>
      <c r="N502" s="22" t="s">
        <v>4154</v>
      </c>
      <c r="O502" s="23" t="s">
        <v>4155</v>
      </c>
      <c r="P502" s="22" t="s">
        <v>48</v>
      </c>
      <c r="Q502" s="50" t="s">
        <v>65</v>
      </c>
      <c r="R502" s="22" t="s">
        <v>4156</v>
      </c>
      <c r="S502" s="22" t="s">
        <v>51</v>
      </c>
      <c r="T502" s="21" t="s">
        <v>52</v>
      </c>
      <c r="U502" s="21" t="s">
        <v>52</v>
      </c>
      <c r="V502" s="21" t="s">
        <v>52</v>
      </c>
      <c r="W502" s="18">
        <v>45938.0</v>
      </c>
      <c r="X502" s="20">
        <v>0.49236111111111114</v>
      </c>
      <c r="Y502" s="18">
        <v>45938.0</v>
      </c>
      <c r="Z502" s="20">
        <v>0.5833333333333334</v>
      </c>
      <c r="AA502" s="20">
        <v>0.5868055555555556</v>
      </c>
      <c r="AB502" s="77">
        <v>0.6041666666666666</v>
      </c>
      <c r="AC502" s="51">
        <v>0.6180555555555556</v>
      </c>
      <c r="AD502" s="51">
        <v>0.6319444444444444</v>
      </c>
      <c r="AE502" s="18">
        <v>45938.0</v>
      </c>
      <c r="AF502" s="22" t="s">
        <v>2711</v>
      </c>
      <c r="AG502" s="22" t="s">
        <v>54</v>
      </c>
      <c r="AH502" s="22" t="s">
        <v>4157</v>
      </c>
      <c r="AI502" s="62" t="str">
        <f>IFERROR(__xludf.DUMMYFUNCTION("IF(OR(W502="""",X502="""",AE502="""",AD502=""""),"""",
   TEXT(
     (
       (AE502+AD502 + IF(AE502+AD502 &lt; W502+X502,1,0)) - (W502+X502)
     )
     - IF(AND(AB502&lt;&gt;"""",AC502&lt;&gt;""""), 
          SUM(ARRAYFORMULA(SPLIT(AC502,"","") - SPLIT(AB502,"",""))"&amp;"), 
          0
       ),
     ""[hh]:mm""
   )
)
"),"03:01")</f>
        <v>03:01</v>
      </c>
      <c r="AJ502" s="27">
        <f t="shared" si="9"/>
        <v>0</v>
      </c>
      <c r="AK502" s="63" t="str">
        <f t="shared" si="10"/>
        <v>Pass</v>
      </c>
    </row>
    <row r="503">
      <c r="A503" s="18">
        <v>45938.0</v>
      </c>
      <c r="B503" s="20">
        <v>0.5368055555555555</v>
      </c>
      <c r="C503" s="18">
        <v>45938.0</v>
      </c>
      <c r="D503" s="20">
        <v>0.5423611111111111</v>
      </c>
      <c r="E503" s="22" t="s">
        <v>4158</v>
      </c>
      <c r="F503" s="22" t="s">
        <v>949</v>
      </c>
      <c r="G503" s="22" t="s">
        <v>364</v>
      </c>
      <c r="H503" s="22" t="s">
        <v>2432</v>
      </c>
      <c r="I503" s="22" t="s">
        <v>476</v>
      </c>
      <c r="J503" s="22" t="s">
        <v>482</v>
      </c>
      <c r="K503" s="22" t="s">
        <v>411</v>
      </c>
      <c r="L503" s="22" t="s">
        <v>4159</v>
      </c>
      <c r="M503" s="22" t="s">
        <v>4160</v>
      </c>
      <c r="N503" s="22" t="s">
        <v>4161</v>
      </c>
      <c r="O503" s="23" t="s">
        <v>4162</v>
      </c>
      <c r="P503" s="22" t="s">
        <v>75</v>
      </c>
      <c r="Q503" s="50" t="s">
        <v>65</v>
      </c>
      <c r="R503" s="22" t="s">
        <v>4163</v>
      </c>
      <c r="S503" s="22" t="s">
        <v>51</v>
      </c>
      <c r="T503" s="21" t="s">
        <v>52</v>
      </c>
      <c r="U503" s="21" t="s">
        <v>52</v>
      </c>
      <c r="V503" s="21" t="s">
        <v>52</v>
      </c>
      <c r="W503" s="18">
        <v>45938.0</v>
      </c>
      <c r="X503" s="20">
        <v>0.5423611111111111</v>
      </c>
      <c r="Y503" s="18">
        <v>45938.0</v>
      </c>
      <c r="Z503" s="20">
        <v>0.625</v>
      </c>
      <c r="AA503" s="20">
        <v>0.6284722222222222</v>
      </c>
      <c r="AB503" s="54"/>
      <c r="AC503" s="54"/>
      <c r="AD503" s="51">
        <v>0.6354166666666666</v>
      </c>
      <c r="AE503" s="18">
        <v>45938.0</v>
      </c>
      <c r="AF503" s="22" t="s">
        <v>2744</v>
      </c>
      <c r="AG503" s="22" t="s">
        <v>2320</v>
      </c>
      <c r="AH503" s="22" t="s">
        <v>4149</v>
      </c>
      <c r="AI503" s="62" t="str">
        <f>IFERROR(__xludf.DUMMYFUNCTION("IF(OR(W503="""",X503="""",AE503="""",AD503=""""),"""",
   TEXT(
     (
       (AE503+AD503 + IF(AE503+AD503 &lt; W503+X503,1,0)) - (W503+X503)
     )
     - IF(AND(AB503&lt;&gt;"""",AC503&lt;&gt;""""), 
          SUM(ARRAYFORMULA(SPLIT(AC503,"","") - SPLIT(AB503,"",""))"&amp;"), 
          0
       ),
     ""[hh]:mm""
   )
)
"),"02:14")</f>
        <v>02:14</v>
      </c>
      <c r="AJ503" s="27">
        <f t="shared" si="9"/>
        <v>0</v>
      </c>
      <c r="AK503" s="63" t="str">
        <f t="shared" si="10"/>
        <v>Pass</v>
      </c>
    </row>
    <row r="504">
      <c r="A504" s="45">
        <v>45938.0</v>
      </c>
      <c r="B504" s="49">
        <v>1.0263888888888888</v>
      </c>
      <c r="C504" s="45">
        <v>45939.0</v>
      </c>
      <c r="D504" s="80">
        <v>0.3</v>
      </c>
      <c r="E504" s="21" t="s">
        <v>4164</v>
      </c>
      <c r="F504" s="21" t="s">
        <v>3864</v>
      </c>
      <c r="G504" s="21" t="s">
        <v>3865</v>
      </c>
      <c r="H504" s="21" t="s">
        <v>4070</v>
      </c>
      <c r="I504" s="21" t="s">
        <v>567</v>
      </c>
      <c r="J504" s="21" t="s">
        <v>567</v>
      </c>
      <c r="K504" s="21" t="s">
        <v>568</v>
      </c>
      <c r="L504" s="21" t="s">
        <v>3268</v>
      </c>
      <c r="M504" s="21" t="s">
        <v>4165</v>
      </c>
      <c r="N504" s="21" t="s">
        <v>4166</v>
      </c>
      <c r="O504" s="48" t="s">
        <v>4167</v>
      </c>
      <c r="P504" s="21" t="s">
        <v>48</v>
      </c>
      <c r="Q504" s="24" t="s">
        <v>65</v>
      </c>
      <c r="R504" s="21" t="s">
        <v>4168</v>
      </c>
      <c r="S504" s="21" t="s">
        <v>51</v>
      </c>
      <c r="T504" s="21" t="s">
        <v>52</v>
      </c>
      <c r="U504" s="21" t="s">
        <v>52</v>
      </c>
      <c r="V504" s="21" t="s">
        <v>52</v>
      </c>
      <c r="W504" s="45">
        <v>45939.0</v>
      </c>
      <c r="X504" s="49">
        <v>0.3</v>
      </c>
      <c r="Y504" s="45">
        <v>45939.0</v>
      </c>
      <c r="Z504" s="49">
        <v>0.46319444444444446</v>
      </c>
      <c r="AA504" s="49">
        <v>0.4652777777777778</v>
      </c>
      <c r="AB504" s="29"/>
      <c r="AC504" s="29"/>
      <c r="AD504" s="25">
        <v>0.5138888888888888</v>
      </c>
      <c r="AE504" s="45">
        <v>45939.0</v>
      </c>
      <c r="AF504" s="21" t="s">
        <v>2839</v>
      </c>
      <c r="AG504" s="21" t="s">
        <v>313</v>
      </c>
      <c r="AH504" s="21" t="s">
        <v>4169</v>
      </c>
      <c r="AI504" s="62" t="str">
        <f>IFERROR(__xludf.DUMMYFUNCTION("IF(OR(W504="""",X504="""",AE504="""",AD504=""""),"""",
   TEXT(
     (
       (AE504+AD504 + IF(AE504+AD504 &lt; W504+X504,1,0)) - (W504+X504)
     )
     - IF(AND(AB504&lt;&gt;"""",AC504&lt;&gt;""""), 
          SUM(ARRAYFORMULA(SPLIT(AC504,"","") - SPLIT(AB504,"",""))"&amp;"), 
          0
       ),
     ""[hh]:mm""
   )
)
"),"05:08")</f>
        <v>05:08</v>
      </c>
      <c r="AJ504" s="27">
        <f t="shared" si="9"/>
        <v>0</v>
      </c>
      <c r="AK504" s="63" t="str">
        <f t="shared" si="10"/>
        <v>Pass</v>
      </c>
    </row>
    <row r="505">
      <c r="A505" s="45">
        <v>45939.0</v>
      </c>
      <c r="B505" s="49">
        <v>0.06458333333333334</v>
      </c>
      <c r="C505" s="45">
        <v>45939.0</v>
      </c>
      <c r="D505" s="49">
        <v>0.30486111111111114</v>
      </c>
      <c r="E505" s="21" t="s">
        <v>4170</v>
      </c>
      <c r="F505" s="21" t="s">
        <v>4171</v>
      </c>
      <c r="G505" s="21" t="s">
        <v>4172</v>
      </c>
      <c r="H505" s="21" t="s">
        <v>4173</v>
      </c>
      <c r="I505" s="21" t="s">
        <v>4174</v>
      </c>
      <c r="J505" s="21" t="s">
        <v>482</v>
      </c>
      <c r="K505" s="21" t="s">
        <v>411</v>
      </c>
      <c r="L505" s="21" t="s">
        <v>2798</v>
      </c>
      <c r="M505" s="21" t="s">
        <v>4175</v>
      </c>
      <c r="N505" s="21" t="s">
        <v>4176</v>
      </c>
      <c r="O505" s="48" t="s">
        <v>4177</v>
      </c>
      <c r="P505" s="21" t="s">
        <v>75</v>
      </c>
      <c r="Q505" s="24" t="s">
        <v>65</v>
      </c>
      <c r="R505" s="21" t="s">
        <v>4178</v>
      </c>
      <c r="S505" s="21" t="s">
        <v>51</v>
      </c>
      <c r="T505" s="21" t="s">
        <v>4179</v>
      </c>
      <c r="U505" s="21" t="s">
        <v>4180</v>
      </c>
      <c r="V505" s="21" t="s">
        <v>52</v>
      </c>
      <c r="W505" s="45">
        <v>45939.0</v>
      </c>
      <c r="X505" s="49">
        <v>0.5381944444444444</v>
      </c>
      <c r="Y505" s="45">
        <v>45939.0</v>
      </c>
      <c r="Z505" s="49">
        <v>0.6423611111111112</v>
      </c>
      <c r="AA505" s="49">
        <v>0.6944444444444444</v>
      </c>
      <c r="AB505" s="25">
        <v>0.6423611111111112</v>
      </c>
      <c r="AC505" s="25">
        <v>0.6909722222222222</v>
      </c>
      <c r="AD505" s="25">
        <v>0.71875</v>
      </c>
      <c r="AE505" s="45">
        <v>45939.0</v>
      </c>
      <c r="AF505" s="21" t="s">
        <v>2931</v>
      </c>
      <c r="AG505" s="21" t="s">
        <v>102</v>
      </c>
      <c r="AH505" s="21" t="s">
        <v>4181</v>
      </c>
      <c r="AI505" s="62" t="str">
        <f>IFERROR(__xludf.DUMMYFUNCTION("IF(OR(W505="""",X505="""",AE505="""",AD505=""""),"""",
   TEXT(
     (
       (AE505+AD505 + IF(AE505+AD505 &lt; W505+X505,1,0)) - (W505+X505)
     )
     - IF(AND(AB505&lt;&gt;"""",AC505&lt;&gt;""""), 
          SUM(ARRAYFORMULA(SPLIT(AC505,"","") - SPLIT(AB505,"",""))"&amp;"), 
          0
       ),
     ""[hh]:mm""
   )
)
"),"03:10")</f>
        <v>03:10</v>
      </c>
      <c r="AJ505" s="27">
        <f t="shared" si="9"/>
        <v>0</v>
      </c>
      <c r="AK505" s="63" t="str">
        <f t="shared" si="10"/>
        <v>Pass</v>
      </c>
    </row>
    <row r="506">
      <c r="A506" s="45">
        <v>45939.0</v>
      </c>
      <c r="B506" s="49">
        <v>0.38125</v>
      </c>
      <c r="C506" s="45">
        <v>45939.0</v>
      </c>
      <c r="D506" s="49">
        <v>0.38333333333333336</v>
      </c>
      <c r="E506" s="21" t="s">
        <v>4182</v>
      </c>
      <c r="F506" s="21" t="s">
        <v>4183</v>
      </c>
      <c r="G506" s="21" t="s">
        <v>4184</v>
      </c>
      <c r="H506" s="21" t="s">
        <v>566</v>
      </c>
      <c r="I506" s="21" t="s">
        <v>95</v>
      </c>
      <c r="J506" s="21" t="s">
        <v>95</v>
      </c>
      <c r="K506" s="21" t="s">
        <v>333</v>
      </c>
      <c r="L506" s="21" t="s">
        <v>2195</v>
      </c>
      <c r="M506" s="21" t="s">
        <v>4185</v>
      </c>
      <c r="N506" s="21" t="s">
        <v>4186</v>
      </c>
      <c r="O506" s="48" t="s">
        <v>4187</v>
      </c>
      <c r="P506" s="21" t="s">
        <v>48</v>
      </c>
      <c r="Q506" s="24" t="s">
        <v>49</v>
      </c>
      <c r="R506" s="21" t="s">
        <v>4188</v>
      </c>
      <c r="S506" s="21" t="s">
        <v>51</v>
      </c>
      <c r="T506" s="21" t="s">
        <v>52</v>
      </c>
      <c r="U506" s="21" t="s">
        <v>52</v>
      </c>
      <c r="V506" s="21" t="s">
        <v>52</v>
      </c>
      <c r="W506" s="45">
        <v>45939.0</v>
      </c>
      <c r="X506" s="49">
        <v>0.38333333333333336</v>
      </c>
      <c r="Y506" s="45">
        <v>45939.0</v>
      </c>
      <c r="Z506" s="49">
        <v>0.4638888888888889</v>
      </c>
      <c r="AA506" s="49">
        <v>0.4638888888888889</v>
      </c>
      <c r="AB506" s="25">
        <v>0.46875</v>
      </c>
      <c r="AC506" s="25">
        <v>0.4930555555555556</v>
      </c>
      <c r="AD506" s="25">
        <v>0.5451388888888888</v>
      </c>
      <c r="AE506" s="45">
        <v>45939.0</v>
      </c>
      <c r="AF506" s="21" t="s">
        <v>2744</v>
      </c>
      <c r="AG506" s="21" t="s">
        <v>2015</v>
      </c>
      <c r="AH506" s="21" t="s">
        <v>4189</v>
      </c>
      <c r="AI506" s="62" t="str">
        <f>IFERROR(__xludf.DUMMYFUNCTION("IF(OR(W506="""",X506="""",AE506="""",AD506=""""),"""",
   TEXT(
     (
       (AE506+AD506 + IF(AE506+AD506 &lt; W506+X506,1,0)) - (W506+X506)
     )
     - IF(AND(AB506&lt;&gt;"""",AC506&lt;&gt;""""), 
          SUM(ARRAYFORMULA(SPLIT(AC506,"","") - SPLIT(AB506,"",""))"&amp;"), 
          0
       ),
     ""[hh]:mm""
   )
)
"),"03:18")</f>
        <v>03:18</v>
      </c>
      <c r="AJ506" s="27">
        <f t="shared" si="9"/>
        <v>0</v>
      </c>
      <c r="AK506" s="63" t="str">
        <f t="shared" si="10"/>
        <v>Pass</v>
      </c>
    </row>
    <row r="507">
      <c r="A507" s="45">
        <v>45939.0</v>
      </c>
      <c r="B507" s="49">
        <v>0.38333333333333336</v>
      </c>
      <c r="C507" s="45">
        <v>45939.0</v>
      </c>
      <c r="D507" s="49">
        <v>0.38472222222222224</v>
      </c>
      <c r="E507" s="21" t="s">
        <v>4190</v>
      </c>
      <c r="F507" s="21" t="s">
        <v>4183</v>
      </c>
      <c r="G507" s="21" t="s">
        <v>4184</v>
      </c>
      <c r="H507" s="21" t="s">
        <v>4040</v>
      </c>
      <c r="I507" s="21" t="s">
        <v>644</v>
      </c>
      <c r="J507" s="21" t="s">
        <v>644</v>
      </c>
      <c r="K507" s="21" t="s">
        <v>333</v>
      </c>
      <c r="L507" s="21" t="s">
        <v>1441</v>
      </c>
      <c r="M507" s="21" t="s">
        <v>4191</v>
      </c>
      <c r="N507" s="21" t="s">
        <v>4192</v>
      </c>
      <c r="O507" s="48" t="s">
        <v>4193</v>
      </c>
      <c r="P507" s="21" t="s">
        <v>48</v>
      </c>
      <c r="Q507" s="24" t="s">
        <v>65</v>
      </c>
      <c r="R507" s="21" t="s">
        <v>4194</v>
      </c>
      <c r="S507" s="21" t="s">
        <v>51</v>
      </c>
      <c r="T507" s="21" t="s">
        <v>52</v>
      </c>
      <c r="U507" s="21" t="s">
        <v>52</v>
      </c>
      <c r="V507" s="21" t="s">
        <v>52</v>
      </c>
      <c r="W507" s="45">
        <v>45939.0</v>
      </c>
      <c r="X507" s="49">
        <v>0.38472222222222224</v>
      </c>
      <c r="Y507" s="45">
        <v>45939.0</v>
      </c>
      <c r="Z507" s="49">
        <v>0.4638888888888889</v>
      </c>
      <c r="AA507" s="49">
        <v>0.4638888888888889</v>
      </c>
      <c r="AB507" s="29"/>
      <c r="AC507" s="29"/>
      <c r="AD507" s="25">
        <v>0.4791666666666667</v>
      </c>
      <c r="AE507" s="45">
        <v>45939.0</v>
      </c>
      <c r="AF507" s="21" t="s">
        <v>2744</v>
      </c>
      <c r="AG507" s="21" t="s">
        <v>2015</v>
      </c>
      <c r="AH507" s="21" t="s">
        <v>4189</v>
      </c>
      <c r="AI507" s="62" t="str">
        <f>IFERROR(__xludf.DUMMYFUNCTION("IF(OR(W507="""",X507="""",AE507="""",AD507=""""),"""",
   TEXT(
     (
       (AE507+AD507 + IF(AE507+AD507 &lt; W507+X507,1,0)) - (W507+X507)
     )
     - IF(AND(AB507&lt;&gt;"""",AC507&lt;&gt;""""), 
          SUM(ARRAYFORMULA(SPLIT(AC507,"","") - SPLIT(AB507,"",""))"&amp;"), 
          0
       ),
     ""[hh]:mm""
   )
)
"),"02:16")</f>
        <v>02:16</v>
      </c>
      <c r="AJ507" s="27">
        <f t="shared" si="9"/>
        <v>0</v>
      </c>
      <c r="AK507" s="63" t="str">
        <f t="shared" si="10"/>
        <v>Pass</v>
      </c>
    </row>
    <row r="508">
      <c r="A508" s="45">
        <v>45939.0</v>
      </c>
      <c r="B508" s="49">
        <v>0.4027777777777778</v>
      </c>
      <c r="C508" s="45">
        <v>45939.0</v>
      </c>
      <c r="D508" s="49">
        <v>0.4048611111111111</v>
      </c>
      <c r="E508" s="21" t="s">
        <v>4195</v>
      </c>
      <c r="F508" s="21" t="s">
        <v>4196</v>
      </c>
      <c r="G508" s="21" t="s">
        <v>4197</v>
      </c>
      <c r="H508" s="21" t="s">
        <v>2337</v>
      </c>
      <c r="I508" s="21" t="s">
        <v>118</v>
      </c>
      <c r="J508" s="21" t="s">
        <v>4198</v>
      </c>
      <c r="K508" s="21" t="s">
        <v>72</v>
      </c>
      <c r="L508" s="21" t="s">
        <v>1815</v>
      </c>
      <c r="M508" s="21" t="s">
        <v>4199</v>
      </c>
      <c r="N508" s="21" t="s">
        <v>4200</v>
      </c>
      <c r="O508" s="48" t="s">
        <v>4201</v>
      </c>
      <c r="P508" s="21" t="s">
        <v>75</v>
      </c>
      <c r="Q508" s="24" t="s">
        <v>65</v>
      </c>
      <c r="R508" s="21" t="s">
        <v>4202</v>
      </c>
      <c r="S508" s="21" t="s">
        <v>51</v>
      </c>
      <c r="T508" s="21" t="s">
        <v>52</v>
      </c>
      <c r="U508" s="21" t="s">
        <v>52</v>
      </c>
      <c r="V508" s="21" t="s">
        <v>52</v>
      </c>
      <c r="W508" s="45">
        <v>45939.0</v>
      </c>
      <c r="X508" s="49">
        <v>0.4048611111111111</v>
      </c>
      <c r="Y508" s="45">
        <v>45939.0</v>
      </c>
      <c r="Z508" s="49">
        <v>0.46875</v>
      </c>
      <c r="AA508" s="49">
        <v>0.4722222222222222</v>
      </c>
      <c r="AB508" s="25">
        <v>0.4930555555555556</v>
      </c>
      <c r="AC508" s="25">
        <v>0.5138888888888888</v>
      </c>
      <c r="AD508" s="25">
        <v>0.5138888888888888</v>
      </c>
      <c r="AE508" s="45">
        <v>45939.0</v>
      </c>
      <c r="AF508" s="21" t="s">
        <v>2711</v>
      </c>
      <c r="AG508" s="21" t="s">
        <v>54</v>
      </c>
      <c r="AH508" s="21" t="s">
        <v>4203</v>
      </c>
      <c r="AI508" s="62" t="str">
        <f>IFERROR(__xludf.DUMMYFUNCTION("IF(OR(W508="""",X508="""",AE508="""",AD508=""""),"""",
   TEXT(
     (
       (AE508+AD508 + IF(AE508+AD508 &lt; W508+X508,1,0)) - (W508+X508)
     )
     - IF(AND(AB508&lt;&gt;"""",AC508&lt;&gt;""""), 
          SUM(ARRAYFORMULA(SPLIT(AC508,"","") - SPLIT(AB508,"",""))"&amp;"), 
          0
       ),
     ""[hh]:mm""
   )
)
"),"02:07")</f>
        <v>02:07</v>
      </c>
      <c r="AJ508" s="27">
        <f t="shared" si="9"/>
        <v>0</v>
      </c>
      <c r="AK508" s="63" t="str">
        <f t="shared" si="10"/>
        <v>Pass</v>
      </c>
    </row>
    <row r="509">
      <c r="A509" s="45">
        <v>45939.0</v>
      </c>
      <c r="B509" s="49">
        <v>0.9354166666666667</v>
      </c>
      <c r="C509" s="45">
        <v>45939.0</v>
      </c>
      <c r="D509" s="80">
        <v>0.6680555555555555</v>
      </c>
      <c r="E509" s="21" t="s">
        <v>4204</v>
      </c>
      <c r="F509" s="21" t="s">
        <v>4205</v>
      </c>
      <c r="G509" s="21" t="s">
        <v>4206</v>
      </c>
      <c r="H509" s="21" t="s">
        <v>4040</v>
      </c>
      <c r="I509" s="21" t="s">
        <v>1153</v>
      </c>
      <c r="J509" s="21" t="s">
        <v>1056</v>
      </c>
      <c r="K509" s="21" t="s">
        <v>635</v>
      </c>
      <c r="L509" s="21" t="s">
        <v>1585</v>
      </c>
      <c r="M509" s="21" t="s">
        <v>4207</v>
      </c>
      <c r="N509" s="21" t="s">
        <v>4208</v>
      </c>
      <c r="O509" s="48" t="s">
        <v>4209</v>
      </c>
      <c r="P509" s="21" t="s">
        <v>48</v>
      </c>
      <c r="Q509" s="24" t="s">
        <v>65</v>
      </c>
      <c r="R509" s="21" t="s">
        <v>4210</v>
      </c>
      <c r="S509" s="21" t="s">
        <v>51</v>
      </c>
      <c r="T509" s="21" t="s">
        <v>52</v>
      </c>
      <c r="U509" s="21" t="s">
        <v>52</v>
      </c>
      <c r="V509" s="21" t="s">
        <v>52</v>
      </c>
      <c r="W509" s="45">
        <v>45939.0</v>
      </c>
      <c r="X509" s="49">
        <v>0.45</v>
      </c>
      <c r="Y509" s="45">
        <v>45939.0</v>
      </c>
      <c r="Z509" s="76">
        <v>0.5854166666666667</v>
      </c>
      <c r="AA509" s="49">
        <v>0.5902777777777778</v>
      </c>
      <c r="AB509" s="29"/>
      <c r="AC509" s="29"/>
      <c r="AD509" s="25">
        <v>0.625</v>
      </c>
      <c r="AE509" s="45">
        <v>45939.0</v>
      </c>
      <c r="AF509" s="21" t="s">
        <v>3007</v>
      </c>
      <c r="AG509" s="21" t="s">
        <v>3118</v>
      </c>
      <c r="AH509" s="21" t="s">
        <v>4211</v>
      </c>
      <c r="AI509" s="62" t="str">
        <f>IFERROR(__xludf.DUMMYFUNCTION("IF(OR(W509="""",X509="""",AE509="""",AD509=""""),"""",
   TEXT(
     (
       (AE509+AD509 + IF(AE509+AD509 &lt; W509+X509,1,0)) - (W509+X509)
     )
     - IF(AND(AB509&lt;&gt;"""",AC509&lt;&gt;""""), 
          SUM(ARRAYFORMULA(SPLIT(AC509,"","") - SPLIT(AB509,"",""))"&amp;"), 
          0
       ),
     ""[hh]:mm""
   )
)
"),"04:12")</f>
        <v>04:12</v>
      </c>
      <c r="AJ509" s="27">
        <f t="shared" si="9"/>
        <v>0</v>
      </c>
      <c r="AK509" s="63" t="str">
        <f t="shared" si="10"/>
        <v>Pass</v>
      </c>
    </row>
    <row r="510">
      <c r="A510" s="45">
        <v>45939.0</v>
      </c>
      <c r="B510" s="49">
        <v>0.9020833333333333</v>
      </c>
      <c r="C510" s="45">
        <v>45939.0</v>
      </c>
      <c r="D510" s="80">
        <v>0.6701388888888888</v>
      </c>
      <c r="E510" s="21" t="s">
        <v>4212</v>
      </c>
      <c r="F510" s="21" t="s">
        <v>4205</v>
      </c>
      <c r="G510" s="21" t="s">
        <v>4206</v>
      </c>
      <c r="H510" s="21" t="s">
        <v>4040</v>
      </c>
      <c r="I510" s="21" t="s">
        <v>836</v>
      </c>
      <c r="J510" s="21" t="s">
        <v>1056</v>
      </c>
      <c r="K510" s="21" t="s">
        <v>635</v>
      </c>
      <c r="L510" s="21" t="s">
        <v>1585</v>
      </c>
      <c r="M510" s="21" t="s">
        <v>4213</v>
      </c>
      <c r="N510" s="21" t="s">
        <v>4214</v>
      </c>
      <c r="O510" s="48" t="s">
        <v>4215</v>
      </c>
      <c r="P510" s="21" t="s">
        <v>48</v>
      </c>
      <c r="Q510" s="24" t="s">
        <v>65</v>
      </c>
      <c r="R510" s="21" t="s">
        <v>4216</v>
      </c>
      <c r="S510" s="21" t="s">
        <v>51</v>
      </c>
      <c r="T510" s="21" t="s">
        <v>52</v>
      </c>
      <c r="U510" s="21" t="s">
        <v>52</v>
      </c>
      <c r="V510" s="21" t="s">
        <v>52</v>
      </c>
      <c r="W510" s="45">
        <v>45939.0</v>
      </c>
      <c r="X510" s="49">
        <v>0.45</v>
      </c>
      <c r="Y510" s="45">
        <v>45939.0</v>
      </c>
      <c r="Z510" s="49">
        <v>0.5854166666666667</v>
      </c>
      <c r="AA510" s="49">
        <v>0.5902777777777778</v>
      </c>
      <c r="AB510" s="29"/>
      <c r="AC510" s="29"/>
      <c r="AD510" s="25">
        <v>0.625</v>
      </c>
      <c r="AE510" s="45">
        <v>45939.0</v>
      </c>
      <c r="AF510" s="21" t="s">
        <v>3007</v>
      </c>
      <c r="AG510" s="21" t="s">
        <v>3118</v>
      </c>
      <c r="AH510" s="21" t="s">
        <v>4211</v>
      </c>
      <c r="AI510" s="62" t="str">
        <f>IFERROR(__xludf.DUMMYFUNCTION("IF(OR(W510="""",X510="""",AE510="""",AD510=""""),"""",
   TEXT(
     (
       (AE510+AD510 + IF(AE510+AD510 &lt; W510+X510,1,0)) - (W510+X510)
     )
     - IF(AND(AB510&lt;&gt;"""",AC510&lt;&gt;""""), 
          SUM(ARRAYFORMULA(SPLIT(AC510,"","") - SPLIT(AB510,"",""))"&amp;"), 
          0
       ),
     ""[hh]:mm""
   )
)
"),"04:12")</f>
        <v>04:12</v>
      </c>
      <c r="AJ510" s="27">
        <f t="shared" si="9"/>
        <v>0</v>
      </c>
      <c r="AK510" s="63" t="str">
        <f t="shared" si="10"/>
        <v>Pass</v>
      </c>
    </row>
    <row r="511">
      <c r="A511" s="45">
        <v>45939.0</v>
      </c>
      <c r="B511" s="49">
        <v>0.5361111111111111</v>
      </c>
      <c r="C511" s="45">
        <v>45939.0</v>
      </c>
      <c r="D511" s="49">
        <v>0.5493055555555556</v>
      </c>
      <c r="E511" s="21" t="s">
        <v>4217</v>
      </c>
      <c r="F511" s="21" t="s">
        <v>2006</v>
      </c>
      <c r="G511" s="21" t="s">
        <v>2007</v>
      </c>
      <c r="H511" s="21" t="s">
        <v>4218</v>
      </c>
      <c r="I511" s="21" t="s">
        <v>1612</v>
      </c>
      <c r="J511" s="21" t="s">
        <v>1612</v>
      </c>
      <c r="K511" s="21" t="s">
        <v>635</v>
      </c>
      <c r="L511" s="21" t="s">
        <v>4219</v>
      </c>
      <c r="M511" s="21" t="s">
        <v>4220</v>
      </c>
      <c r="N511" s="21" t="s">
        <v>4221</v>
      </c>
      <c r="O511" s="48" t="s">
        <v>4222</v>
      </c>
      <c r="P511" s="21" t="s">
        <v>187</v>
      </c>
      <c r="Q511" s="24" t="s">
        <v>65</v>
      </c>
      <c r="R511" s="21" t="s">
        <v>4223</v>
      </c>
      <c r="S511" s="21" t="s">
        <v>51</v>
      </c>
      <c r="T511" s="21" t="s">
        <v>52</v>
      </c>
      <c r="U511" s="21" t="s">
        <v>52</v>
      </c>
      <c r="V511" s="21" t="s">
        <v>52</v>
      </c>
      <c r="W511" s="45">
        <v>45939.0</v>
      </c>
      <c r="X511" s="49">
        <v>0.5493055555555556</v>
      </c>
      <c r="Y511" s="45">
        <v>45939.0</v>
      </c>
      <c r="Z511" s="49">
        <v>0.69375</v>
      </c>
      <c r="AA511" s="49">
        <v>0.7013888888888888</v>
      </c>
      <c r="AB511" s="29"/>
      <c r="AC511" s="29"/>
      <c r="AD511" s="25">
        <v>0.7131944444444445</v>
      </c>
      <c r="AE511" s="45">
        <v>45939.0</v>
      </c>
      <c r="AF511" s="21" t="s">
        <v>2744</v>
      </c>
      <c r="AG511" s="21" t="s">
        <v>4224</v>
      </c>
      <c r="AH511" s="21" t="s">
        <v>4225</v>
      </c>
      <c r="AI511" s="62" t="str">
        <f>IFERROR(__xludf.DUMMYFUNCTION("IF(OR(W511="""",X511="""",AE511="""",AD511=""""),"""",
   TEXT(
     (
       (AE511+AD511 + IF(AE511+AD511 &lt; W511+X511,1,0)) - (W511+X511)
     )
     - IF(AND(AB511&lt;&gt;"""",AC511&lt;&gt;""""), 
          SUM(ARRAYFORMULA(SPLIT(AC511,"","") - SPLIT(AB511,"",""))"&amp;"), 
          0
       ),
     ""[hh]:mm""
   )
)
"),"03:56")</f>
        <v>03:56</v>
      </c>
      <c r="AJ511" s="27">
        <f t="shared" si="9"/>
        <v>0</v>
      </c>
      <c r="AK511" s="63" t="str">
        <f t="shared" si="10"/>
        <v>Pass</v>
      </c>
    </row>
    <row r="512">
      <c r="A512" s="45">
        <v>45939.0</v>
      </c>
      <c r="B512" s="49">
        <v>0.6847222222222222</v>
      </c>
      <c r="C512" s="45">
        <v>45939.0</v>
      </c>
      <c r="D512" s="49">
        <v>0.6895833333333333</v>
      </c>
      <c r="E512" s="21" t="s">
        <v>4226</v>
      </c>
      <c r="F512" s="21" t="s">
        <v>2910</v>
      </c>
      <c r="G512" s="21" t="s">
        <v>2911</v>
      </c>
      <c r="H512" s="21" t="s">
        <v>343</v>
      </c>
      <c r="I512" s="21" t="s">
        <v>1612</v>
      </c>
      <c r="J512" s="21" t="s">
        <v>1612</v>
      </c>
      <c r="K512" s="21" t="s">
        <v>635</v>
      </c>
      <c r="L512" s="21" t="s">
        <v>4219</v>
      </c>
      <c r="M512" s="21" t="s">
        <v>4227</v>
      </c>
      <c r="N512" s="21" t="s">
        <v>4228</v>
      </c>
      <c r="O512" s="48" t="s">
        <v>4229</v>
      </c>
      <c r="P512" s="21" t="s">
        <v>187</v>
      </c>
      <c r="Q512" s="24" t="s">
        <v>65</v>
      </c>
      <c r="R512" s="21" t="s">
        <v>4230</v>
      </c>
      <c r="S512" s="21" t="s">
        <v>51</v>
      </c>
      <c r="T512" s="21" t="s">
        <v>52</v>
      </c>
      <c r="U512" s="21" t="s">
        <v>52</v>
      </c>
      <c r="V512" s="21" t="s">
        <v>52</v>
      </c>
      <c r="W512" s="45">
        <v>45939.0</v>
      </c>
      <c r="X512" s="49">
        <v>0.6895833333333333</v>
      </c>
      <c r="Y512" s="45">
        <v>45939.0</v>
      </c>
      <c r="Z512" s="49">
        <v>0.7381944444444445</v>
      </c>
      <c r="AA512" s="49">
        <v>0.75</v>
      </c>
      <c r="AB512" s="24" t="s">
        <v>4231</v>
      </c>
      <c r="AC512" s="24" t="s">
        <v>4232</v>
      </c>
      <c r="AD512" s="25">
        <v>0.8958333333333334</v>
      </c>
      <c r="AE512" s="45">
        <v>45939.0</v>
      </c>
      <c r="AF512" s="21" t="s">
        <v>2711</v>
      </c>
      <c r="AG512" s="21" t="s">
        <v>2086</v>
      </c>
      <c r="AH512" s="21" t="s">
        <v>1455</v>
      </c>
      <c r="AI512" s="62" t="str">
        <f>IFERROR(__xludf.DUMMYFUNCTION("IF(OR(W512="""",X512="""",AE512="""",AD512=""""),"""",
   TEXT(
     (
       (AE512+AD512 + IF(AE512+AD512 &lt; W512+X512,1,0)) - (W512+X512)
     )
     - IF(AND(AB512&lt;&gt;"""",AC512&lt;&gt;""""), 
          SUM(ARRAYFORMULA(SPLIT(AC512,"","") - SPLIT(AB512,"",""))"&amp;"), 
          0
       ),
     ""[hh]:mm""
   )
)
"),"04:33")</f>
        <v>04:33</v>
      </c>
      <c r="AJ512" s="27">
        <f t="shared" si="9"/>
        <v>0</v>
      </c>
      <c r="AK512" s="63" t="str">
        <f t="shared" si="10"/>
        <v>Pass</v>
      </c>
    </row>
    <row r="513">
      <c r="A513" s="45">
        <v>45939.0</v>
      </c>
      <c r="B513" s="49">
        <v>0.7305555555555555</v>
      </c>
      <c r="C513" s="45">
        <v>45939.0</v>
      </c>
      <c r="D513" s="49">
        <v>0.7333333333333333</v>
      </c>
      <c r="E513" s="21" t="s">
        <v>4233</v>
      </c>
      <c r="F513" s="21" t="s">
        <v>4234</v>
      </c>
      <c r="G513" s="21" t="s">
        <v>4235</v>
      </c>
      <c r="H513" s="21" t="s">
        <v>142</v>
      </c>
      <c r="I513" s="21" t="s">
        <v>95</v>
      </c>
      <c r="J513" s="21" t="s">
        <v>95</v>
      </c>
      <c r="K513" s="87" t="s">
        <v>333</v>
      </c>
      <c r="L513" s="21" t="s">
        <v>4236</v>
      </c>
      <c r="M513" s="21" t="s">
        <v>4237</v>
      </c>
      <c r="N513" s="21" t="s">
        <v>4238</v>
      </c>
      <c r="O513" s="48" t="s">
        <v>4239</v>
      </c>
      <c r="P513" s="21" t="s">
        <v>48</v>
      </c>
      <c r="Q513" s="24" t="s">
        <v>49</v>
      </c>
      <c r="R513" s="21" t="s">
        <v>4240</v>
      </c>
      <c r="S513" s="21" t="s">
        <v>51</v>
      </c>
      <c r="T513" s="21" t="s">
        <v>52</v>
      </c>
      <c r="U513" s="21" t="s">
        <v>52</v>
      </c>
      <c r="V513" s="21" t="s">
        <v>52</v>
      </c>
      <c r="W513" s="45">
        <v>45939.0</v>
      </c>
      <c r="X513" s="49">
        <v>0.7333333333333333</v>
      </c>
      <c r="Y513" s="45">
        <v>45939.0</v>
      </c>
      <c r="Z513" s="49">
        <v>0.7854166666666667</v>
      </c>
      <c r="AA513" s="49">
        <v>0.7881944444444444</v>
      </c>
      <c r="AB513" s="25" t="s">
        <v>4241</v>
      </c>
      <c r="AC513" s="25" t="s">
        <v>4242</v>
      </c>
      <c r="AD513" s="25">
        <v>0.875</v>
      </c>
      <c r="AE513" s="45">
        <v>45939.0</v>
      </c>
      <c r="AF513" s="21" t="s">
        <v>4243</v>
      </c>
      <c r="AG513" s="21" t="s">
        <v>313</v>
      </c>
      <c r="AH513" s="21" t="s">
        <v>4244</v>
      </c>
      <c r="AI513" s="62" t="str">
        <f>IFERROR(__xludf.DUMMYFUNCTION("IF(OR(W513="""",X513="""",AE513="""",AD513=""""),"""",
   TEXT(
     (
       (AE513+AD513 + IF(AE513+AD513 &lt; W513+X513,1,0)) - (W513+X513)
     )
     - IF(AND(AB513&lt;&gt;"""",AC513&lt;&gt;""""), 
          SUM(ARRAYFORMULA(SPLIT(AC513,"","") - SPLIT(AB513,"",""))"&amp;"), 
          0
       ),
     ""[hh]:mm""
   )
)
"),"01:44")</f>
        <v>01:44</v>
      </c>
      <c r="AJ513" s="27">
        <f t="shared" si="9"/>
        <v>0</v>
      </c>
      <c r="AK513" s="63" t="str">
        <f t="shared" si="10"/>
        <v>Pass</v>
      </c>
    </row>
    <row r="514">
      <c r="A514" s="45">
        <v>45939.0</v>
      </c>
      <c r="B514" s="49">
        <v>0.8041666666666667</v>
      </c>
      <c r="C514" s="45">
        <v>45939.0</v>
      </c>
      <c r="D514" s="49">
        <v>0.8069444444444445</v>
      </c>
      <c r="E514" s="21" t="s">
        <v>4245</v>
      </c>
      <c r="F514" s="21" t="s">
        <v>4246</v>
      </c>
      <c r="G514" s="21" t="s">
        <v>4247</v>
      </c>
      <c r="H514" s="21" t="s">
        <v>566</v>
      </c>
      <c r="I514" s="21" t="s">
        <v>567</v>
      </c>
      <c r="J514" s="21" t="s">
        <v>567</v>
      </c>
      <c r="K514" s="21" t="s">
        <v>2902</v>
      </c>
      <c r="L514" s="21" t="s">
        <v>2792</v>
      </c>
      <c r="M514" s="21" t="s">
        <v>4248</v>
      </c>
      <c r="N514" s="21" t="s">
        <v>4249</v>
      </c>
      <c r="O514" s="48" t="s">
        <v>4250</v>
      </c>
      <c r="P514" s="21" t="s">
        <v>75</v>
      </c>
      <c r="Q514" s="24" t="s">
        <v>65</v>
      </c>
      <c r="R514" s="21" t="s">
        <v>4251</v>
      </c>
      <c r="S514" s="21" t="s">
        <v>51</v>
      </c>
      <c r="T514" s="21" t="s">
        <v>52</v>
      </c>
      <c r="U514" s="21" t="s">
        <v>52</v>
      </c>
      <c r="V514" s="21" t="s">
        <v>52</v>
      </c>
      <c r="W514" s="45">
        <v>45939.0</v>
      </c>
      <c r="X514" s="49">
        <v>0.8069444444444445</v>
      </c>
      <c r="Y514" s="45">
        <v>45939.0</v>
      </c>
      <c r="Z514" s="49">
        <v>0.8361111111111111</v>
      </c>
      <c r="AA514" s="49">
        <v>0.8388888888888889</v>
      </c>
      <c r="AB514" s="29"/>
      <c r="AC514" s="29"/>
      <c r="AD514" s="25">
        <v>0.8604166666666667</v>
      </c>
      <c r="AE514" s="45">
        <v>45939.0</v>
      </c>
      <c r="AF514" s="21" t="s">
        <v>2839</v>
      </c>
      <c r="AG514" s="21" t="s">
        <v>113</v>
      </c>
      <c r="AH514" s="21" t="s">
        <v>4252</v>
      </c>
      <c r="AI514" s="62" t="str">
        <f>IFERROR(__xludf.DUMMYFUNCTION("IF(OR(W514="""",X514="""",AE514="""",AD514=""""),"""",
   TEXT(
     (
       (AE514+AD514 + IF(AE514+AD514 &lt; W514+X514,1,0)) - (W514+X514)
     )
     - IF(AND(AB514&lt;&gt;"""",AC514&lt;&gt;""""), 
          SUM(ARRAYFORMULA(SPLIT(AC514,"","") - SPLIT(AB514,"",""))"&amp;"), 
          0
       ),
     ""[hh]:mm""
   )
)
"),"01:17")</f>
        <v>01:17</v>
      </c>
      <c r="AJ514" s="27">
        <f t="shared" si="9"/>
        <v>0</v>
      </c>
      <c r="AK514" s="63" t="str">
        <f t="shared" si="10"/>
        <v>Pass</v>
      </c>
    </row>
    <row r="515">
      <c r="A515" s="45">
        <v>45925.0</v>
      </c>
      <c r="B515" s="49">
        <v>0.53125</v>
      </c>
      <c r="C515" s="45">
        <v>45925.0</v>
      </c>
      <c r="D515" s="49">
        <v>0.5326388888888889</v>
      </c>
      <c r="E515" s="21" t="s">
        <v>4253</v>
      </c>
      <c r="F515" s="21" t="s">
        <v>4254</v>
      </c>
      <c r="G515" s="21" t="s">
        <v>4255</v>
      </c>
      <c r="H515" s="21" t="s">
        <v>4256</v>
      </c>
      <c r="I515" s="21" t="s">
        <v>131</v>
      </c>
      <c r="J515" s="21" t="s">
        <v>132</v>
      </c>
      <c r="K515" s="21" t="s">
        <v>43</v>
      </c>
      <c r="L515" s="21" t="s">
        <v>1171</v>
      </c>
      <c r="M515" s="21" t="s">
        <v>4257</v>
      </c>
      <c r="N515" s="21" t="s">
        <v>4258</v>
      </c>
      <c r="O515" s="48" t="s">
        <v>4259</v>
      </c>
      <c r="P515" s="21" t="s">
        <v>75</v>
      </c>
      <c r="Q515" s="24" t="s">
        <v>65</v>
      </c>
      <c r="R515" s="21" t="s">
        <v>4260</v>
      </c>
      <c r="S515" s="21" t="s">
        <v>51</v>
      </c>
      <c r="T515" s="21" t="s">
        <v>52</v>
      </c>
      <c r="U515" s="21" t="s">
        <v>52</v>
      </c>
      <c r="V515" s="21" t="s">
        <v>52</v>
      </c>
      <c r="W515" s="45">
        <v>45940.0</v>
      </c>
      <c r="X515" s="49">
        <v>0.3611111111111111</v>
      </c>
      <c r="Y515" s="45">
        <v>45940.0</v>
      </c>
      <c r="Z515" s="49">
        <v>0.7465277777777778</v>
      </c>
      <c r="AA515" s="49">
        <v>0.7708333333333334</v>
      </c>
      <c r="AB515" s="25">
        <v>0.75</v>
      </c>
      <c r="AC515" s="25">
        <v>0.7708333333333334</v>
      </c>
      <c r="AD515" s="25">
        <v>0.7916666666666666</v>
      </c>
      <c r="AE515" s="45">
        <v>45940.0</v>
      </c>
      <c r="AF515" s="21" t="s">
        <v>2744</v>
      </c>
      <c r="AG515" s="21" t="s">
        <v>78</v>
      </c>
      <c r="AH515" s="21" t="s">
        <v>4261</v>
      </c>
      <c r="AI515" s="62" t="str">
        <f>IFERROR(__xludf.DUMMYFUNCTION("IF(OR(W515="""",X515="""",AE515="""",AD515=""""),"""",
   TEXT(
     (
       (AE515+AD515 + IF(AE515+AD515 &lt; W515+X515,1,0)) - (W515+X515)
     )
     - IF(AND(AB515&lt;&gt;"""",AC515&lt;&gt;""""), 
          SUM(ARRAYFORMULA(SPLIT(AC515,"","") - SPLIT(AB515,"",""))"&amp;"), 
          0
       ),
     ""[hh]:mm""
   )
)
"),"09:50")</f>
        <v>09:50</v>
      </c>
      <c r="AJ515" s="27">
        <f t="shared" si="9"/>
        <v>0</v>
      </c>
      <c r="AK515" s="63" t="str">
        <f t="shared" si="10"/>
        <v>Pass</v>
      </c>
    </row>
    <row r="516">
      <c r="A516" s="45">
        <v>45925.0</v>
      </c>
      <c r="B516" s="49">
        <v>1.01875</v>
      </c>
      <c r="C516" s="45">
        <v>45926.0</v>
      </c>
      <c r="D516" s="80">
        <v>0.3034722222222222</v>
      </c>
      <c r="E516" s="21" t="s">
        <v>4262</v>
      </c>
      <c r="F516" s="21" t="s">
        <v>4263</v>
      </c>
      <c r="G516" s="21" t="s">
        <v>4264</v>
      </c>
      <c r="H516" s="21" t="s">
        <v>1373</v>
      </c>
      <c r="I516" s="21" t="s">
        <v>1178</v>
      </c>
      <c r="J516" s="21" t="s">
        <v>1136</v>
      </c>
      <c r="K516" s="21" t="s">
        <v>43</v>
      </c>
      <c r="L516" s="21" t="s">
        <v>4265</v>
      </c>
      <c r="M516" s="21" t="s">
        <v>4266</v>
      </c>
      <c r="N516" s="21" t="s">
        <v>4267</v>
      </c>
      <c r="O516" s="48" t="s">
        <v>4268</v>
      </c>
      <c r="P516" s="21" t="s">
        <v>75</v>
      </c>
      <c r="Q516" s="24" t="s">
        <v>65</v>
      </c>
      <c r="R516" s="21" t="s">
        <v>1378</v>
      </c>
      <c r="S516" s="21" t="s">
        <v>51</v>
      </c>
      <c r="T516" s="21" t="s">
        <v>4269</v>
      </c>
      <c r="U516" s="21" t="s">
        <v>52</v>
      </c>
      <c r="V516" s="21" t="s">
        <v>52</v>
      </c>
      <c r="W516" s="45">
        <v>45940.0</v>
      </c>
      <c r="X516" s="49">
        <v>0.5270833333333333</v>
      </c>
      <c r="Y516" s="45">
        <v>45940.0</v>
      </c>
      <c r="Z516" s="49">
        <v>0.5923611111111111</v>
      </c>
      <c r="AA516" s="49">
        <v>0.6145833333333334</v>
      </c>
      <c r="AB516" s="24" t="s">
        <v>4270</v>
      </c>
      <c r="AC516" s="25">
        <v>0.6423611111111112</v>
      </c>
      <c r="AD516" s="25">
        <v>0.65625</v>
      </c>
      <c r="AE516" s="45">
        <v>45940.0</v>
      </c>
      <c r="AF516" s="21" t="s">
        <v>2719</v>
      </c>
      <c r="AG516" s="21" t="s">
        <v>2086</v>
      </c>
      <c r="AH516" s="21" t="s">
        <v>4271</v>
      </c>
      <c r="AI516" s="62" t="str">
        <f>IFERROR(__xludf.DUMMYFUNCTION("IF(OR(W516="""",X516="""",AE516="""",AD516=""""),"""",
   TEXT(
     (
       (AE516+AD516 + IF(AE516+AD516 &lt; W516+X516,1,0)) - (W516+X516)
     )
     - IF(AND(AB516&lt;&gt;"""",AC516&lt;&gt;""""), 
          SUM(ARRAYFORMULA(SPLIT(AC516,"","") - SPLIT(AB516,"",""))"&amp;"), 
          0
       ),
     ""[hh]:mm""
   )
)
"),"01:56")</f>
        <v>01:56</v>
      </c>
      <c r="AJ516" s="27">
        <f t="shared" si="9"/>
        <v>0</v>
      </c>
      <c r="AK516" s="63" t="str">
        <f t="shared" si="10"/>
        <v>Pass</v>
      </c>
    </row>
    <row r="517">
      <c r="A517" s="45">
        <v>45936.0</v>
      </c>
      <c r="B517" s="49">
        <v>0.8354166666666667</v>
      </c>
      <c r="C517" s="45">
        <v>45936.0</v>
      </c>
      <c r="D517" s="49">
        <v>0.8416666666666667</v>
      </c>
      <c r="E517" s="21" t="s">
        <v>4272</v>
      </c>
      <c r="F517" s="21" t="s">
        <v>3211</v>
      </c>
      <c r="G517" s="21" t="s">
        <v>3212</v>
      </c>
      <c r="H517" s="21" t="s">
        <v>2248</v>
      </c>
      <c r="I517" s="21" t="s">
        <v>131</v>
      </c>
      <c r="J517" s="21" t="s">
        <v>2253</v>
      </c>
      <c r="K517" s="21" t="s">
        <v>43</v>
      </c>
      <c r="L517" s="21" t="s">
        <v>3906</v>
      </c>
      <c r="M517" s="21" t="s">
        <v>4273</v>
      </c>
      <c r="N517" s="21" t="s">
        <v>4274</v>
      </c>
      <c r="O517" s="48" t="s">
        <v>4275</v>
      </c>
      <c r="P517" s="21" t="s">
        <v>75</v>
      </c>
      <c r="Q517" s="24" t="s">
        <v>65</v>
      </c>
      <c r="R517" s="21" t="s">
        <v>4276</v>
      </c>
      <c r="S517" s="21" t="s">
        <v>51</v>
      </c>
      <c r="T517" s="21" t="s">
        <v>4277</v>
      </c>
      <c r="U517" s="21" t="s">
        <v>4278</v>
      </c>
      <c r="V517" s="21" t="s">
        <v>4273</v>
      </c>
      <c r="W517" s="45">
        <v>45940.0</v>
      </c>
      <c r="X517" s="49">
        <v>0.41805555555555557</v>
      </c>
      <c r="Y517" s="45">
        <v>45940.0</v>
      </c>
      <c r="Z517" s="49">
        <v>0.6458333333333334</v>
      </c>
      <c r="AA517" s="49">
        <v>0.6458333333333334</v>
      </c>
      <c r="AB517" s="25">
        <v>0.6736111111111112</v>
      </c>
      <c r="AC517" s="25">
        <v>0.7104166666666667</v>
      </c>
      <c r="AD517" s="25">
        <v>0.7104166666666667</v>
      </c>
      <c r="AE517" s="45">
        <v>45940.0</v>
      </c>
      <c r="AF517" s="21" t="s">
        <v>3358</v>
      </c>
      <c r="AG517" s="21" t="s">
        <v>293</v>
      </c>
      <c r="AH517" s="21" t="s">
        <v>4279</v>
      </c>
      <c r="AI517" s="62" t="str">
        <f>IFERROR(__xludf.DUMMYFUNCTION("IF(OR(W517="""",X517="""",AE517="""",AD517=""""),"""",
   TEXT(
     (
       (AE517+AD517 + IF(AE517+AD517 &lt; W517+X517,1,0)) - (W517+X517)
     )
     - IF(AND(AB517&lt;&gt;"""",AC517&lt;&gt;""""), 
          SUM(ARRAYFORMULA(SPLIT(AC517,"","") - SPLIT(AB517,"",""))"&amp;"), 
          0
       ),
     ""[hh]:mm""
   )
)
"),"06:08")</f>
        <v>06:08</v>
      </c>
      <c r="AJ517" s="27">
        <f t="shared" si="9"/>
        <v>0</v>
      </c>
      <c r="AK517" s="63" t="str">
        <f t="shared" si="10"/>
        <v>Pass</v>
      </c>
    </row>
    <row r="518">
      <c r="A518" s="45">
        <v>45940.0</v>
      </c>
      <c r="B518" s="49">
        <v>0.4048611111111111</v>
      </c>
      <c r="C518" s="45">
        <v>45940.0</v>
      </c>
      <c r="D518" s="49">
        <v>0.4097222222222222</v>
      </c>
      <c r="E518" s="21" t="s">
        <v>4280</v>
      </c>
      <c r="F518" s="21" t="s">
        <v>4281</v>
      </c>
      <c r="G518" s="21" t="s">
        <v>4282</v>
      </c>
      <c r="H518" s="21" t="s">
        <v>2337</v>
      </c>
      <c r="I518" s="21" t="s">
        <v>118</v>
      </c>
      <c r="J518" s="21" t="s">
        <v>3991</v>
      </c>
      <c r="K518" s="21" t="s">
        <v>43</v>
      </c>
      <c r="L518" s="21" t="s">
        <v>4283</v>
      </c>
      <c r="M518" s="21" t="s">
        <v>4284</v>
      </c>
      <c r="N518" s="21" t="s">
        <v>4285</v>
      </c>
      <c r="O518" s="48" t="s">
        <v>4286</v>
      </c>
      <c r="P518" s="21" t="s">
        <v>75</v>
      </c>
      <c r="Q518" s="24" t="s">
        <v>65</v>
      </c>
      <c r="R518" s="21" t="s">
        <v>399</v>
      </c>
      <c r="S518" s="21" t="s">
        <v>51</v>
      </c>
      <c r="T518" s="21" t="s">
        <v>52</v>
      </c>
      <c r="U518" s="21" t="s">
        <v>52</v>
      </c>
      <c r="V518" s="21" t="s">
        <v>52</v>
      </c>
      <c r="W518" s="45">
        <v>45940.0</v>
      </c>
      <c r="X518" s="49">
        <v>0.4097222222222222</v>
      </c>
      <c r="Y518" s="45">
        <v>45940.0</v>
      </c>
      <c r="Z518" s="49">
        <v>0.45555555555555555</v>
      </c>
      <c r="AA518" s="49">
        <v>0.45625</v>
      </c>
      <c r="AB518" s="29"/>
      <c r="AC518" s="29"/>
      <c r="AD518" s="25">
        <v>0.4861111111111111</v>
      </c>
      <c r="AE518" s="45">
        <v>45940.0</v>
      </c>
      <c r="AF518" s="21" t="s">
        <v>2819</v>
      </c>
      <c r="AG518" s="21" t="s">
        <v>113</v>
      </c>
      <c r="AH518" s="21" t="s">
        <v>4287</v>
      </c>
      <c r="AI518" s="62" t="str">
        <f>IFERROR(__xludf.DUMMYFUNCTION("IF(OR(W518="""",X518="""",AE518="""",AD518=""""),"""",
   TEXT(
     (
       (AE518+AD518 + IF(AE518+AD518 &lt; W518+X518,1,0)) - (W518+X518)
     )
     - IF(AND(AB518&lt;&gt;"""",AC518&lt;&gt;""""), 
          SUM(ARRAYFORMULA(SPLIT(AC518,"","") - SPLIT(AB518,"",""))"&amp;"), 
          0
       ),
     ""[hh]:mm""
   )
)
"),"01:50")</f>
        <v>01:50</v>
      </c>
      <c r="AJ518" s="27">
        <f t="shared" si="9"/>
        <v>0</v>
      </c>
      <c r="AK518" s="63" t="str">
        <f t="shared" si="10"/>
        <v>Pass</v>
      </c>
    </row>
    <row r="519">
      <c r="A519" s="45">
        <v>45940.0</v>
      </c>
      <c r="B519" s="49">
        <v>0.5951388888888889</v>
      </c>
      <c r="C519" s="45">
        <v>45940.0</v>
      </c>
      <c r="D519" s="49">
        <v>0.5986111111111111</v>
      </c>
      <c r="E519" s="21" t="s">
        <v>4288</v>
      </c>
      <c r="F519" s="21" t="s">
        <v>4289</v>
      </c>
      <c r="G519" s="21" t="s">
        <v>4290</v>
      </c>
      <c r="H519" s="21" t="s">
        <v>756</v>
      </c>
      <c r="I519" s="21" t="s">
        <v>41</v>
      </c>
      <c r="J519" s="21" t="s">
        <v>3813</v>
      </c>
      <c r="K519" s="21" t="s">
        <v>61</v>
      </c>
      <c r="L519" s="21" t="s">
        <v>4291</v>
      </c>
      <c r="M519" s="21" t="s">
        <v>4292</v>
      </c>
      <c r="N519" s="21" t="s">
        <v>4293</v>
      </c>
      <c r="O519" s="48" t="s">
        <v>4294</v>
      </c>
      <c r="P519" s="21" t="s">
        <v>48</v>
      </c>
      <c r="Q519" s="24" t="s">
        <v>49</v>
      </c>
      <c r="R519" s="21" t="s">
        <v>4295</v>
      </c>
      <c r="S519" s="21" t="s">
        <v>51</v>
      </c>
      <c r="T519" s="21" t="s">
        <v>52</v>
      </c>
      <c r="U519" s="21" t="s">
        <v>52</v>
      </c>
      <c r="V519" s="21" t="s">
        <v>52</v>
      </c>
      <c r="W519" s="45">
        <v>45940.0</v>
      </c>
      <c r="X519" s="49">
        <v>0.5986111111111111</v>
      </c>
      <c r="Y519" s="45">
        <v>45940.0</v>
      </c>
      <c r="Z519" s="49">
        <v>0.7208333333333333</v>
      </c>
      <c r="AA519" s="49">
        <v>0.7222222222222222</v>
      </c>
      <c r="AB519" s="24" t="s">
        <v>4296</v>
      </c>
      <c r="AC519" s="24" t="s">
        <v>4297</v>
      </c>
      <c r="AD519" s="25">
        <v>0.8541666666666666</v>
      </c>
      <c r="AE519" s="45">
        <v>45940.0</v>
      </c>
      <c r="AF519" s="21" t="s">
        <v>3358</v>
      </c>
      <c r="AG519" s="21" t="s">
        <v>583</v>
      </c>
      <c r="AH519" s="21" t="s">
        <v>4298</v>
      </c>
      <c r="AI519" s="62" t="str">
        <f>IFERROR(__xludf.DUMMYFUNCTION("IF(OR(W519="""",X519="""",AE519="""",AD519=""""),"""",
   TEXT(
     (
       (AE519+AD519 + IF(AE519+AD519 &lt; W519+X519,1,0)) - (W519+X519)
     )
     - IF(AND(AB519&lt;&gt;"""",AC519&lt;&gt;""""), 
          SUM(ARRAYFORMULA(SPLIT(AC519,"","") - SPLIT(AB519,"",""))"&amp;"), 
          0
       ),
     ""[hh]:mm""
   )
)
"),"03:18")</f>
        <v>03:18</v>
      </c>
      <c r="AJ519" s="27">
        <f t="shared" si="9"/>
        <v>0</v>
      </c>
      <c r="AK519" s="63" t="str">
        <f t="shared" si="10"/>
        <v>Pass</v>
      </c>
    </row>
    <row r="520">
      <c r="A520" s="45">
        <v>45940.0</v>
      </c>
      <c r="B520" s="49">
        <v>0.6652777777777777</v>
      </c>
      <c r="C520" s="45">
        <v>45940.0</v>
      </c>
      <c r="D520" s="49">
        <v>0.6680555555555555</v>
      </c>
      <c r="E520" s="21" t="s">
        <v>4299</v>
      </c>
      <c r="F520" s="21" t="s">
        <v>4300</v>
      </c>
      <c r="G520" s="21" t="s">
        <v>4301</v>
      </c>
      <c r="H520" s="21" t="s">
        <v>1450</v>
      </c>
      <c r="I520" s="21" t="s">
        <v>1374</v>
      </c>
      <c r="J520" s="21" t="s">
        <v>2655</v>
      </c>
      <c r="K520" s="21" t="s">
        <v>43</v>
      </c>
      <c r="L520" s="21" t="s">
        <v>2471</v>
      </c>
      <c r="M520" s="21" t="s">
        <v>4302</v>
      </c>
      <c r="N520" s="21" t="s">
        <v>4303</v>
      </c>
      <c r="O520" s="48" t="s">
        <v>4304</v>
      </c>
      <c r="P520" s="21" t="s">
        <v>75</v>
      </c>
      <c r="Q520" s="24" t="s">
        <v>65</v>
      </c>
      <c r="R520" s="21" t="s">
        <v>4305</v>
      </c>
      <c r="S520" s="21" t="s">
        <v>51</v>
      </c>
      <c r="T520" s="21" t="s">
        <v>52</v>
      </c>
      <c r="U520" s="21" t="s">
        <v>52</v>
      </c>
      <c r="V520" s="21" t="s">
        <v>52</v>
      </c>
      <c r="W520" s="45">
        <v>45940.0</v>
      </c>
      <c r="X520" s="49">
        <v>0.6680555555555555</v>
      </c>
      <c r="Y520" s="45">
        <v>45940.0</v>
      </c>
      <c r="Z520" s="49">
        <v>0.7701388888888889</v>
      </c>
      <c r="AA520" s="49">
        <v>0.7743055555555556</v>
      </c>
      <c r="AB520" s="25">
        <v>0.7847222222222222</v>
      </c>
      <c r="AC520" s="25">
        <v>0.8055555555555556</v>
      </c>
      <c r="AD520" s="25">
        <v>0.8333333333333334</v>
      </c>
      <c r="AE520" s="45">
        <v>45940.0</v>
      </c>
      <c r="AF520" s="21" t="s">
        <v>3358</v>
      </c>
      <c r="AG520" s="21" t="s">
        <v>2086</v>
      </c>
      <c r="AH520" s="21" t="s">
        <v>4306</v>
      </c>
      <c r="AI520" s="62" t="str">
        <f>IFERROR(__xludf.DUMMYFUNCTION("IF(OR(W520="""",X520="""",AE520="""",AD520=""""),"""",
   TEXT(
     (
       (AE520+AD520 + IF(AE520+AD520 &lt; W520+X520,1,0)) - (W520+X520)
     )
     - IF(AND(AB520&lt;&gt;"""",AC520&lt;&gt;""""), 
          SUM(ARRAYFORMULA(SPLIT(AC520,"","") - SPLIT(AB520,"",""))"&amp;"), 
          0
       ),
     ""[hh]:mm""
   )
)
"),"03:28")</f>
        <v>03:28</v>
      </c>
      <c r="AJ520" s="27">
        <f t="shared" si="9"/>
        <v>0</v>
      </c>
      <c r="AK520" s="63" t="str">
        <f t="shared" si="10"/>
        <v>Pass</v>
      </c>
    </row>
    <row r="521">
      <c r="A521" s="18">
        <v>45940.0</v>
      </c>
      <c r="B521" s="20">
        <v>0.7055555555555556</v>
      </c>
      <c r="C521" s="18">
        <v>45940.0</v>
      </c>
      <c r="D521" s="20">
        <v>0.7152777777777778</v>
      </c>
      <c r="E521" s="22" t="s">
        <v>4307</v>
      </c>
      <c r="F521" s="22" t="s">
        <v>4308</v>
      </c>
      <c r="G521" s="22" t="s">
        <v>4309</v>
      </c>
      <c r="H521" s="22" t="s">
        <v>156</v>
      </c>
      <c r="I521" s="22" t="s">
        <v>2026</v>
      </c>
      <c r="J521" s="22" t="s">
        <v>2253</v>
      </c>
      <c r="K521" s="22" t="s">
        <v>43</v>
      </c>
      <c r="L521" s="22" t="s">
        <v>805</v>
      </c>
      <c r="M521" s="22" t="s">
        <v>4310</v>
      </c>
      <c r="N521" s="22" t="s">
        <v>4311</v>
      </c>
      <c r="O521" s="23" t="s">
        <v>4312</v>
      </c>
      <c r="P521" s="22" t="s">
        <v>75</v>
      </c>
      <c r="Q521" s="50" t="s">
        <v>49</v>
      </c>
      <c r="R521" s="22" t="s">
        <v>4260</v>
      </c>
      <c r="S521" s="22" t="s">
        <v>51</v>
      </c>
      <c r="T521" s="22" t="s">
        <v>2253</v>
      </c>
      <c r="U521" s="22" t="s">
        <v>4313</v>
      </c>
      <c r="V521" s="22" t="s">
        <v>4310</v>
      </c>
      <c r="W521" s="18">
        <v>45940.0</v>
      </c>
      <c r="X521" s="20">
        <v>0.7152777777777778</v>
      </c>
      <c r="Y521" s="18">
        <v>45940.0</v>
      </c>
      <c r="Z521" s="20">
        <v>0.7743055555555556</v>
      </c>
      <c r="AA521" s="20">
        <v>0.8125</v>
      </c>
      <c r="AB521" s="51">
        <v>0.875</v>
      </c>
      <c r="AC521" s="51">
        <v>0.8930555555555556</v>
      </c>
      <c r="AD521" s="51">
        <v>0.8930555555555556</v>
      </c>
      <c r="AE521" s="18">
        <v>45940.0</v>
      </c>
      <c r="AF521" s="22" t="s">
        <v>3358</v>
      </c>
      <c r="AG521" s="22" t="s">
        <v>4314</v>
      </c>
      <c r="AH521" s="22" t="s">
        <v>4315</v>
      </c>
      <c r="AI521" s="62" t="str">
        <f>IFERROR(__xludf.DUMMYFUNCTION("IF(OR(W521="""",X521="""",AE521="""",AD521=""""),"""",
   TEXT(
     (
       (AE521+AD521 + IF(AE521+AD521 &lt; W521+X521,1,0)) - (W521+X521)
     )
     - IF(AND(AB521&lt;&gt;"""",AC521&lt;&gt;""""), 
          SUM(ARRAYFORMULA(SPLIT(AC521,"","") - SPLIT(AB521,"",""))"&amp;"), 
          0
       ),
     ""[hh]:mm""
   )
)
"),"03:50")</f>
        <v>03:50</v>
      </c>
      <c r="AJ521" s="27">
        <f t="shared" si="9"/>
        <v>0</v>
      </c>
      <c r="AK521" s="63" t="str">
        <f t="shared" si="10"/>
        <v>Pass</v>
      </c>
    </row>
    <row r="522">
      <c r="A522" s="45">
        <v>45941.0</v>
      </c>
      <c r="B522" s="49">
        <v>0.3638888888888889</v>
      </c>
      <c r="C522" s="45">
        <v>45941.0</v>
      </c>
      <c r="D522" s="49">
        <v>0.37777777777777777</v>
      </c>
      <c r="E522" s="21" t="s">
        <v>4316</v>
      </c>
      <c r="F522" s="21" t="s">
        <v>4317</v>
      </c>
      <c r="G522" s="21" t="s">
        <v>4318</v>
      </c>
      <c r="H522" s="21" t="s">
        <v>1610</v>
      </c>
      <c r="I522" s="21" t="s">
        <v>1612</v>
      </c>
      <c r="J522" s="21" t="s">
        <v>1612</v>
      </c>
      <c r="K522" s="21" t="s">
        <v>143</v>
      </c>
      <c r="L522" s="21" t="s">
        <v>4319</v>
      </c>
      <c r="M522" s="21" t="s">
        <v>4320</v>
      </c>
      <c r="N522" s="21" t="s">
        <v>4321</v>
      </c>
      <c r="O522" s="48" t="s">
        <v>4322</v>
      </c>
      <c r="P522" s="21" t="s">
        <v>187</v>
      </c>
      <c r="Q522" s="24" t="s">
        <v>65</v>
      </c>
      <c r="R522" s="21" t="s">
        <v>4323</v>
      </c>
      <c r="S522" s="21" t="s">
        <v>51</v>
      </c>
      <c r="T522" s="21" t="s">
        <v>52</v>
      </c>
      <c r="U522" s="21" t="s">
        <v>52</v>
      </c>
      <c r="V522" s="21" t="s">
        <v>52</v>
      </c>
      <c r="W522" s="45">
        <v>45941.0</v>
      </c>
      <c r="X522" s="49">
        <v>0.37777777777777777</v>
      </c>
      <c r="Y522" s="45">
        <v>45941.0</v>
      </c>
      <c r="Z522" s="49">
        <v>0.4583333333333333</v>
      </c>
      <c r="AA522" s="49">
        <v>0.4791666666666667</v>
      </c>
      <c r="AB522" s="25">
        <v>0.5</v>
      </c>
      <c r="AC522" s="25">
        <v>0.5625</v>
      </c>
      <c r="AD522" s="25">
        <v>0.5763888888888888</v>
      </c>
      <c r="AE522" s="45">
        <v>45941.0</v>
      </c>
      <c r="AF522" s="21" t="s">
        <v>2819</v>
      </c>
      <c r="AG522" s="21" t="s">
        <v>78</v>
      </c>
      <c r="AH522" s="21" t="s">
        <v>4324</v>
      </c>
      <c r="AI522" s="62" t="str">
        <f>IFERROR(__xludf.DUMMYFUNCTION("IF(OR(W522="""",X522="""",AE522="""",AD522=""""),"""",
   TEXT(
     (
       (AE522+AD522 + IF(AE522+AD522 &lt; W522+X522,1,0)) - (W522+X522)
     )
     - IF(AND(AB522&lt;&gt;"""",AC522&lt;&gt;""""), 
          SUM(ARRAYFORMULA(SPLIT(AC522,"","") - SPLIT(AB522,"",""))"&amp;"), 
          0
       ),
     ""[hh]:mm""
   )
)
"),"03:16")</f>
        <v>03:16</v>
      </c>
      <c r="AJ522" s="27">
        <f t="shared" si="9"/>
        <v>0</v>
      </c>
      <c r="AK522" s="63" t="str">
        <f t="shared" si="10"/>
        <v>Pass</v>
      </c>
    </row>
    <row r="523">
      <c r="A523" s="45">
        <v>45941.0</v>
      </c>
      <c r="B523" s="49">
        <v>0.3659722222222222</v>
      </c>
      <c r="C523" s="45">
        <v>45941.0</v>
      </c>
      <c r="D523" s="49">
        <v>0.37777777777777777</v>
      </c>
      <c r="E523" s="21" t="s">
        <v>4325</v>
      </c>
      <c r="F523" s="21" t="s">
        <v>4326</v>
      </c>
      <c r="G523" s="21" t="s">
        <v>4327</v>
      </c>
      <c r="H523" s="21" t="s">
        <v>1610</v>
      </c>
      <c r="I523" s="21" t="s">
        <v>1612</v>
      </c>
      <c r="J523" s="21" t="s">
        <v>1612</v>
      </c>
      <c r="K523" s="21" t="s">
        <v>143</v>
      </c>
      <c r="L523" s="21" t="s">
        <v>4328</v>
      </c>
      <c r="M523" s="21" t="s">
        <v>4329</v>
      </c>
      <c r="N523" s="21" t="s">
        <v>4330</v>
      </c>
      <c r="O523" s="48" t="s">
        <v>4331</v>
      </c>
      <c r="P523" s="21" t="s">
        <v>48</v>
      </c>
      <c r="Q523" s="24" t="s">
        <v>65</v>
      </c>
      <c r="R523" s="21" t="s">
        <v>4332</v>
      </c>
      <c r="S523" s="21" t="s">
        <v>51</v>
      </c>
      <c r="T523" s="21" t="s">
        <v>52</v>
      </c>
      <c r="U523" s="21" t="s">
        <v>52</v>
      </c>
      <c r="V523" s="21" t="s">
        <v>52</v>
      </c>
      <c r="W523" s="45">
        <v>45941.0</v>
      </c>
      <c r="X523" s="49">
        <v>0.37777777777777777</v>
      </c>
      <c r="Y523" s="45">
        <v>45941.0</v>
      </c>
      <c r="Z523" s="49">
        <v>0.5833333333333334</v>
      </c>
      <c r="AA523" s="49">
        <v>0.59375</v>
      </c>
      <c r="AB523" s="25">
        <v>0.6041666666666666</v>
      </c>
      <c r="AC523" s="25">
        <v>0.6458333333333334</v>
      </c>
      <c r="AD523" s="25">
        <v>0.6458333333333334</v>
      </c>
      <c r="AE523" s="45">
        <v>45941.0</v>
      </c>
      <c r="AF523" s="21" t="s">
        <v>2819</v>
      </c>
      <c r="AG523" s="21" t="s">
        <v>78</v>
      </c>
      <c r="AH523" s="21" t="s">
        <v>4333</v>
      </c>
      <c r="AI523" s="62" t="str">
        <f>IFERROR(__xludf.DUMMYFUNCTION("IF(OR(W523="""",X523="""",AE523="""",AD523=""""),"""",
   TEXT(
     (
       (AE523+AD523 + IF(AE523+AD523 &lt; W523+X523,1,0)) - (W523+X523)
     )
     - IF(AND(AB523&lt;&gt;"""",AC523&lt;&gt;""""), 
          SUM(ARRAYFORMULA(SPLIT(AC523,"","") - SPLIT(AB523,"",""))"&amp;"), 
          0
       ),
     ""[hh]:mm""
   )
)
"),"05:26")</f>
        <v>05:26</v>
      </c>
      <c r="AJ523" s="27">
        <f t="shared" si="9"/>
        <v>0</v>
      </c>
      <c r="AK523" s="63" t="str">
        <f t="shared" si="10"/>
        <v>Pass</v>
      </c>
    </row>
    <row r="524">
      <c r="A524" s="45">
        <v>45941.0</v>
      </c>
      <c r="B524" s="49">
        <v>0.3909722222222222</v>
      </c>
      <c r="C524" s="45">
        <v>45941.0</v>
      </c>
      <c r="D524" s="49">
        <v>0.3972222222222222</v>
      </c>
      <c r="E524" s="21" t="s">
        <v>4334</v>
      </c>
      <c r="F524" s="21" t="s">
        <v>38</v>
      </c>
      <c r="G524" s="21" t="s">
        <v>39</v>
      </c>
      <c r="H524" s="21" t="s">
        <v>1610</v>
      </c>
      <c r="I524" s="21" t="s">
        <v>1612</v>
      </c>
      <c r="J524" s="21" t="s">
        <v>1612</v>
      </c>
      <c r="K524" s="21" t="s">
        <v>143</v>
      </c>
      <c r="L524" s="47"/>
      <c r="M524" s="21" t="s">
        <v>4335</v>
      </c>
      <c r="N524" s="21" t="s">
        <v>4336</v>
      </c>
      <c r="O524" s="48" t="s">
        <v>4337</v>
      </c>
      <c r="P524" s="21" t="s">
        <v>48</v>
      </c>
      <c r="Q524" s="24" t="s">
        <v>65</v>
      </c>
      <c r="R524" s="21" t="s">
        <v>4338</v>
      </c>
      <c r="S524" s="21" t="s">
        <v>51</v>
      </c>
      <c r="T524" s="21" t="s">
        <v>52</v>
      </c>
      <c r="U524" s="21" t="s">
        <v>52</v>
      </c>
      <c r="V524" s="21" t="s">
        <v>52</v>
      </c>
      <c r="W524" s="45">
        <v>45941.0</v>
      </c>
      <c r="X524" s="49">
        <v>0.3972222222222222</v>
      </c>
      <c r="Y524" s="45">
        <v>45941.0</v>
      </c>
      <c r="Z524" s="88">
        <v>0.46875</v>
      </c>
      <c r="AA524" s="49">
        <v>0.46875</v>
      </c>
      <c r="AB524" s="29"/>
      <c r="AC524" s="29"/>
      <c r="AD524" s="25">
        <v>0.5208333333333334</v>
      </c>
      <c r="AE524" s="45">
        <v>45941.0</v>
      </c>
      <c r="AF524" s="21" t="s">
        <v>2711</v>
      </c>
      <c r="AG524" s="21" t="s">
        <v>293</v>
      </c>
      <c r="AH524" s="21" t="s">
        <v>4339</v>
      </c>
      <c r="AI524" s="62" t="str">
        <f>IFERROR(__xludf.DUMMYFUNCTION("IF(OR(W524="""",X524="""",AE524="""",AD524=""""),"""",
   TEXT(
     (
       (AE524+AD524 + IF(AE524+AD524 &lt; W524+X524,1,0)) - (W524+X524)
     )
     - IF(AND(AB524&lt;&gt;"""",AC524&lt;&gt;""""), 
          SUM(ARRAYFORMULA(SPLIT(AC524,"","") - SPLIT(AB524,"",""))"&amp;"), 
          0
       ),
     ""[hh]:mm""
   )
)
"),"02:58")</f>
        <v>02:58</v>
      </c>
      <c r="AJ524" s="27">
        <f t="shared" si="9"/>
        <v>0</v>
      </c>
      <c r="AK524" s="63" t="str">
        <f t="shared" si="10"/>
        <v>Pass</v>
      </c>
    </row>
    <row r="525">
      <c r="A525" s="45">
        <v>45941.0</v>
      </c>
      <c r="B525" s="49">
        <v>0.4354166666666667</v>
      </c>
      <c r="C525" s="45">
        <v>45941.0</v>
      </c>
      <c r="D525" s="49">
        <v>0.4479166666666667</v>
      </c>
      <c r="E525" s="21" t="s">
        <v>4340</v>
      </c>
      <c r="F525" s="21" t="s">
        <v>4341</v>
      </c>
      <c r="G525" s="21" t="s">
        <v>4342</v>
      </c>
      <c r="H525" s="21" t="s">
        <v>1610</v>
      </c>
      <c r="I525" s="21" t="s">
        <v>1612</v>
      </c>
      <c r="J525" s="21" t="s">
        <v>1612</v>
      </c>
      <c r="K525" s="21" t="s">
        <v>143</v>
      </c>
      <c r="L525" s="21" t="s">
        <v>1613</v>
      </c>
      <c r="M525" s="21" t="s">
        <v>4343</v>
      </c>
      <c r="N525" s="21" t="s">
        <v>4344</v>
      </c>
      <c r="O525" s="48" t="s">
        <v>4345</v>
      </c>
      <c r="P525" s="21" t="s">
        <v>48</v>
      </c>
      <c r="Q525" s="24" t="s">
        <v>198</v>
      </c>
      <c r="R525" s="21" t="s">
        <v>4346</v>
      </c>
      <c r="S525" s="21" t="s">
        <v>51</v>
      </c>
      <c r="T525" s="21" t="s">
        <v>52</v>
      </c>
      <c r="U525" s="21" t="s">
        <v>52</v>
      </c>
      <c r="V525" s="21" t="s">
        <v>52</v>
      </c>
      <c r="W525" s="45">
        <v>45941.0</v>
      </c>
      <c r="X525" s="49">
        <v>0.4479166666666667</v>
      </c>
      <c r="Y525" s="45">
        <v>45941.0</v>
      </c>
      <c r="Z525" s="49">
        <v>0.6083333333333333</v>
      </c>
      <c r="AA525" s="49">
        <v>0.6111111111111112</v>
      </c>
      <c r="AB525" s="29"/>
      <c r="AC525" s="29"/>
      <c r="AD525" s="25">
        <v>0.6180555555555556</v>
      </c>
      <c r="AE525" s="45">
        <v>45941.0</v>
      </c>
      <c r="AF525" s="21" t="s">
        <v>2711</v>
      </c>
      <c r="AG525" s="21" t="s">
        <v>102</v>
      </c>
      <c r="AH525" s="21" t="s">
        <v>4347</v>
      </c>
      <c r="AI525" s="62" t="str">
        <f>IFERROR(__xludf.DUMMYFUNCTION("IF(OR(W525="""",X525="""",AE525="""",AD525=""""),"""",
   TEXT(
     (
       (AE525+AD525 + IF(AE525+AD525 &lt; W525+X525,1,0)) - (W525+X525)
     )
     - IF(AND(AB525&lt;&gt;"""",AC525&lt;&gt;""""), 
          SUM(ARRAYFORMULA(SPLIT(AC525,"","") - SPLIT(AB525,"",""))"&amp;"), 
          0
       ),
     ""[hh]:mm""
   )
)
"),"04:05")</f>
        <v>04:05</v>
      </c>
      <c r="AJ525" s="27">
        <f t="shared" si="9"/>
        <v>0</v>
      </c>
      <c r="AK525" s="63" t="str">
        <f t="shared" si="10"/>
        <v>Pass</v>
      </c>
    </row>
    <row r="526">
      <c r="A526" s="45">
        <v>45941.0</v>
      </c>
      <c r="B526" s="49">
        <v>0.5229166666666667</v>
      </c>
      <c r="C526" s="45">
        <v>45941.0</v>
      </c>
      <c r="D526" s="49">
        <v>0.525</v>
      </c>
      <c r="E526" s="21" t="s">
        <v>4348</v>
      </c>
      <c r="F526" s="21" t="s">
        <v>710</v>
      </c>
      <c r="G526" s="21" t="s">
        <v>711</v>
      </c>
      <c r="H526" s="21" t="s">
        <v>1610</v>
      </c>
      <c r="I526" s="21" t="s">
        <v>1612</v>
      </c>
      <c r="J526" s="21" t="s">
        <v>1612</v>
      </c>
      <c r="K526" s="21" t="s">
        <v>4349</v>
      </c>
      <c r="L526" s="47"/>
      <c r="M526" s="21" t="s">
        <v>4350</v>
      </c>
      <c r="N526" s="21" t="s">
        <v>4351</v>
      </c>
      <c r="O526" s="48" t="s">
        <v>4352</v>
      </c>
      <c r="P526" s="21" t="s">
        <v>48</v>
      </c>
      <c r="Q526" s="24" t="s">
        <v>65</v>
      </c>
      <c r="R526" s="21" t="s">
        <v>4353</v>
      </c>
      <c r="S526" s="21" t="s">
        <v>51</v>
      </c>
      <c r="T526" s="21" t="s">
        <v>52</v>
      </c>
      <c r="U526" s="21" t="s">
        <v>52</v>
      </c>
      <c r="V526" s="21" t="s">
        <v>52</v>
      </c>
      <c r="W526" s="45">
        <v>45941.0</v>
      </c>
      <c r="X526" s="49">
        <v>0.525</v>
      </c>
      <c r="Y526" s="45">
        <v>45941.0</v>
      </c>
      <c r="Z526" s="49">
        <v>0.6277777777777778</v>
      </c>
      <c r="AA526" s="49">
        <v>0.6319444444444444</v>
      </c>
      <c r="AB526" s="25">
        <v>0.7222222222222222</v>
      </c>
      <c r="AC526" s="25">
        <v>0.8055555555555556</v>
      </c>
      <c r="AD526" s="25">
        <v>0.8333333333333334</v>
      </c>
      <c r="AE526" s="45">
        <v>45941.0</v>
      </c>
      <c r="AF526" s="21" t="s">
        <v>2711</v>
      </c>
      <c r="AG526" s="21" t="s">
        <v>2086</v>
      </c>
      <c r="AH526" s="21" t="s">
        <v>4354</v>
      </c>
      <c r="AI526" s="62" t="str">
        <f>IFERROR(__xludf.DUMMYFUNCTION("IF(OR(W526="""",X526="""",AE526="""",AD526=""""),"""",
   TEXT(
     (
       (AE526+AD526 + IF(AE526+AD526 &lt; W526+X526,1,0)) - (W526+X526)
     )
     - IF(AND(AB526&lt;&gt;"""",AC526&lt;&gt;""""), 
          SUM(ARRAYFORMULA(SPLIT(AC526,"","") - SPLIT(AB526,"",""))"&amp;"), 
          0
       ),
     ""[hh]:mm""
   )
)
"),"05:24")</f>
        <v>05:24</v>
      </c>
      <c r="AJ526" s="27">
        <f t="shared" si="9"/>
        <v>0</v>
      </c>
      <c r="AK526" s="63" t="str">
        <f t="shared" si="10"/>
        <v>Pass</v>
      </c>
    </row>
    <row r="527">
      <c r="A527" s="45">
        <v>45941.0</v>
      </c>
      <c r="B527" s="49">
        <v>0.5520833333333334</v>
      </c>
      <c r="C527" s="45">
        <v>45941.0</v>
      </c>
      <c r="D527" s="49">
        <v>0.5548611111111111</v>
      </c>
      <c r="E527" s="21" t="s">
        <v>4355</v>
      </c>
      <c r="F527" s="21" t="s">
        <v>3241</v>
      </c>
      <c r="G527" s="21" t="s">
        <v>3242</v>
      </c>
      <c r="H527" s="21" t="s">
        <v>566</v>
      </c>
      <c r="I527" s="21" t="s">
        <v>815</v>
      </c>
      <c r="J527" s="21" t="s">
        <v>1084</v>
      </c>
      <c r="K527" s="21" t="s">
        <v>1998</v>
      </c>
      <c r="L527" s="47"/>
      <c r="M527" s="21" t="s">
        <v>4356</v>
      </c>
      <c r="N527" s="21" t="s">
        <v>4357</v>
      </c>
      <c r="O527" s="48" t="s">
        <v>4358</v>
      </c>
      <c r="P527" s="21" t="s">
        <v>48</v>
      </c>
      <c r="Q527" s="24" t="s">
        <v>198</v>
      </c>
      <c r="R527" s="21" t="s">
        <v>4359</v>
      </c>
      <c r="S527" s="21" t="s">
        <v>51</v>
      </c>
      <c r="T527" s="21" t="s">
        <v>52</v>
      </c>
      <c r="U527" s="21" t="s">
        <v>52</v>
      </c>
      <c r="V527" s="21" t="s">
        <v>52</v>
      </c>
      <c r="W527" s="45">
        <v>45941.0</v>
      </c>
      <c r="X527" s="49">
        <v>0.5548611111111111</v>
      </c>
      <c r="Y527" s="45">
        <v>45941.0</v>
      </c>
      <c r="Z527" s="49">
        <v>0.6534722222222222</v>
      </c>
      <c r="AA527" s="49">
        <v>0.6555555555555556</v>
      </c>
      <c r="AB527" s="29"/>
      <c r="AC527" s="29"/>
      <c r="AD527" s="25">
        <v>0.7083333333333334</v>
      </c>
      <c r="AE527" s="45">
        <v>45941.0</v>
      </c>
      <c r="AF527" s="21" t="s">
        <v>4360</v>
      </c>
      <c r="AG527" s="21" t="s">
        <v>293</v>
      </c>
      <c r="AH527" s="21" t="s">
        <v>4361</v>
      </c>
      <c r="AI527" s="62" t="str">
        <f>IFERROR(__xludf.DUMMYFUNCTION("IF(OR(W527="""",X527="""",AE527="""",AD527=""""),"""",
   TEXT(
     (
       (AE527+AD527 + IF(AE527+AD527 &lt; W527+X527,1,0)) - (W527+X527)
     )
     - IF(AND(AB527&lt;&gt;"""",AC527&lt;&gt;""""), 
          SUM(ARRAYFORMULA(SPLIT(AC527,"","") - SPLIT(AB527,"",""))"&amp;"), 
          0
       ),
     ""[hh]:mm""
   )
)
"),"03:41")</f>
        <v>03:41</v>
      </c>
      <c r="AJ527" s="27">
        <f t="shared" si="9"/>
        <v>0</v>
      </c>
      <c r="AK527" s="63" t="str">
        <f t="shared" si="10"/>
        <v>Pass</v>
      </c>
    </row>
    <row r="528">
      <c r="A528" s="45">
        <v>45941.0</v>
      </c>
      <c r="B528" s="49">
        <v>0.6097222222222223</v>
      </c>
      <c r="C528" s="45">
        <v>45941.0</v>
      </c>
      <c r="D528" s="49">
        <v>0.6138888888888889</v>
      </c>
      <c r="E528" s="21" t="s">
        <v>4362</v>
      </c>
      <c r="F528" s="21" t="s">
        <v>4363</v>
      </c>
      <c r="G528" s="21" t="s">
        <v>4364</v>
      </c>
      <c r="H528" s="21" t="s">
        <v>566</v>
      </c>
      <c r="I528" s="21" t="s">
        <v>644</v>
      </c>
      <c r="J528" s="21" t="s">
        <v>644</v>
      </c>
      <c r="K528" s="21" t="s">
        <v>143</v>
      </c>
      <c r="L528" s="21" t="s">
        <v>4365</v>
      </c>
      <c r="M528" s="21" t="s">
        <v>4366</v>
      </c>
      <c r="N528" s="21" t="s">
        <v>3520</v>
      </c>
      <c r="O528" s="48" t="s">
        <v>4367</v>
      </c>
      <c r="P528" s="21" t="s">
        <v>48</v>
      </c>
      <c r="Q528" s="24" t="s">
        <v>65</v>
      </c>
      <c r="R528" s="21" t="s">
        <v>4368</v>
      </c>
      <c r="S528" s="21" t="s">
        <v>51</v>
      </c>
      <c r="T528" s="21" t="s">
        <v>52</v>
      </c>
      <c r="U528" s="21" t="s">
        <v>52</v>
      </c>
      <c r="V528" s="21" t="s">
        <v>52</v>
      </c>
      <c r="W528" s="45">
        <v>45941.0</v>
      </c>
      <c r="X528" s="49">
        <v>0.6138888888888889</v>
      </c>
      <c r="Y528" s="45">
        <v>45941.0</v>
      </c>
      <c r="Z528" s="49">
        <v>0.6875</v>
      </c>
      <c r="AA528" s="49">
        <v>0.6930555555555555</v>
      </c>
      <c r="AB528" s="29"/>
      <c r="AC528" s="29"/>
      <c r="AD528" s="25">
        <v>0.7777777777777778</v>
      </c>
      <c r="AE528" s="45">
        <v>45941.0</v>
      </c>
      <c r="AF528" s="21" t="s">
        <v>4369</v>
      </c>
      <c r="AG528" s="21" t="s">
        <v>113</v>
      </c>
      <c r="AH528" s="21" t="s">
        <v>4370</v>
      </c>
      <c r="AI528" s="62" t="str">
        <f>IFERROR(__xludf.DUMMYFUNCTION("IF(OR(W528="""",X528="""",AE528="""",AD528=""""),"""",
   TEXT(
     (
       (AE528+AD528 + IF(AE528+AD528 &lt; W528+X528,1,0)) - (W528+X528)
     )
     - IF(AND(AB528&lt;&gt;"""",AC528&lt;&gt;""""), 
          SUM(ARRAYFORMULA(SPLIT(AC528,"","") - SPLIT(AB528,"",""))"&amp;"), 
          0
       ),
     ""[hh]:mm""
   )
)
"),"03:56")</f>
        <v>03:56</v>
      </c>
      <c r="AJ528" s="27">
        <f t="shared" si="9"/>
        <v>0</v>
      </c>
      <c r="AK528" s="63" t="str">
        <f t="shared" si="10"/>
        <v>Pass</v>
      </c>
    </row>
    <row r="529">
      <c r="A529" s="45">
        <v>45941.0</v>
      </c>
      <c r="B529" s="49">
        <v>0.61875</v>
      </c>
      <c r="C529" s="45">
        <v>45941.0</v>
      </c>
      <c r="D529" s="49">
        <v>0.6222222222222222</v>
      </c>
      <c r="E529" s="21" t="s">
        <v>4371</v>
      </c>
      <c r="F529" s="21" t="s">
        <v>2193</v>
      </c>
      <c r="G529" s="21" t="s">
        <v>2194</v>
      </c>
      <c r="H529" s="21" t="s">
        <v>566</v>
      </c>
      <c r="I529" s="21" t="s">
        <v>95</v>
      </c>
      <c r="J529" s="21" t="s">
        <v>95</v>
      </c>
      <c r="K529" s="21" t="s">
        <v>971</v>
      </c>
      <c r="L529" s="21" t="s">
        <v>4372</v>
      </c>
      <c r="M529" s="21" t="s">
        <v>2196</v>
      </c>
      <c r="N529" s="21" t="s">
        <v>4373</v>
      </c>
      <c r="O529" s="48" t="s">
        <v>4374</v>
      </c>
      <c r="P529" s="21" t="s">
        <v>48</v>
      </c>
      <c r="Q529" s="24" t="s">
        <v>49</v>
      </c>
      <c r="R529" s="21" t="s">
        <v>4375</v>
      </c>
      <c r="S529" s="21" t="s">
        <v>51</v>
      </c>
      <c r="T529" s="21" t="s">
        <v>52</v>
      </c>
      <c r="U529" s="21" t="s">
        <v>52</v>
      </c>
      <c r="V529" s="21" t="s">
        <v>52</v>
      </c>
      <c r="W529" s="45">
        <v>45941.0</v>
      </c>
      <c r="X529" s="49">
        <v>0.6222222222222222</v>
      </c>
      <c r="Y529" s="45">
        <v>45941.0</v>
      </c>
      <c r="Z529" s="49">
        <v>0.7006944444444444</v>
      </c>
      <c r="AA529" s="49">
        <v>0.7048611111111112</v>
      </c>
      <c r="AB529" s="29"/>
      <c r="AC529" s="29"/>
      <c r="AD529" s="25">
        <v>0.7604166666666666</v>
      </c>
      <c r="AE529" s="45">
        <v>45941.0</v>
      </c>
      <c r="AF529" s="21" t="s">
        <v>2819</v>
      </c>
      <c r="AG529" s="21" t="s">
        <v>102</v>
      </c>
      <c r="AH529" s="21" t="s">
        <v>4376</v>
      </c>
      <c r="AI529" s="62" t="str">
        <f>IFERROR(__xludf.DUMMYFUNCTION("IF(OR(W529="""",X529="""",AE529="""",AD529=""""),"""",
   TEXT(
     (
       (AE529+AD529 + IF(AE529+AD529 &lt; W529+X529,1,0)) - (W529+X529)
     )
     - IF(AND(AB529&lt;&gt;"""",AC529&lt;&gt;""""), 
          SUM(ARRAYFORMULA(SPLIT(AC529,"","") - SPLIT(AB529,"",""))"&amp;"), 
          0
       ),
     ""[hh]:mm""
   )
)
"),"03:19")</f>
        <v>03:19</v>
      </c>
      <c r="AJ529" s="27">
        <f t="shared" si="9"/>
        <v>0</v>
      </c>
      <c r="AK529" s="63" t="str">
        <f t="shared" si="10"/>
        <v>Pass</v>
      </c>
    </row>
    <row r="530">
      <c r="A530" s="45">
        <v>45941.0</v>
      </c>
      <c r="B530" s="49">
        <v>0.6854166666666667</v>
      </c>
      <c r="C530" s="45">
        <v>45941.0</v>
      </c>
      <c r="D530" s="49">
        <v>0.6875</v>
      </c>
      <c r="E530" s="21" t="s">
        <v>4377</v>
      </c>
      <c r="F530" s="21" t="s">
        <v>2530</v>
      </c>
      <c r="G530" s="21" t="s">
        <v>4378</v>
      </c>
      <c r="H530" s="21" t="s">
        <v>566</v>
      </c>
      <c r="I530" s="21" t="s">
        <v>567</v>
      </c>
      <c r="J530" s="21" t="s">
        <v>567</v>
      </c>
      <c r="K530" s="21" t="s">
        <v>4379</v>
      </c>
      <c r="L530" s="21" t="s">
        <v>3735</v>
      </c>
      <c r="M530" s="21" t="s">
        <v>4380</v>
      </c>
      <c r="N530" s="21" t="s">
        <v>4381</v>
      </c>
      <c r="O530" s="48" t="s">
        <v>4382</v>
      </c>
      <c r="P530" s="21" t="s">
        <v>48</v>
      </c>
      <c r="Q530" s="24" t="s">
        <v>65</v>
      </c>
      <c r="R530" s="21" t="s">
        <v>4383</v>
      </c>
      <c r="S530" s="21" t="s">
        <v>51</v>
      </c>
      <c r="T530" s="21" t="s">
        <v>52</v>
      </c>
      <c r="U530" s="21" t="s">
        <v>52</v>
      </c>
      <c r="V530" s="21" t="s">
        <v>52</v>
      </c>
      <c r="W530" s="45">
        <v>45942.0</v>
      </c>
      <c r="X530" s="49">
        <v>0.3173611111111111</v>
      </c>
      <c r="Y530" s="45">
        <v>45942.0</v>
      </c>
      <c r="Z530" s="49">
        <v>0.3958333333333333</v>
      </c>
      <c r="AA530" s="49">
        <v>0.39652777777777776</v>
      </c>
      <c r="AB530" s="25">
        <v>0.40625</v>
      </c>
      <c r="AC530" s="85">
        <v>0.4479166666666667</v>
      </c>
      <c r="AD530" s="85">
        <v>0.4479166666666667</v>
      </c>
      <c r="AE530" s="45">
        <v>45942.0</v>
      </c>
      <c r="AF530" s="21" t="s">
        <v>2711</v>
      </c>
      <c r="AG530" s="21" t="s">
        <v>4384</v>
      </c>
      <c r="AH530" s="21" t="s">
        <v>4385</v>
      </c>
      <c r="AI530" s="62" t="str">
        <f>IFERROR(__xludf.DUMMYFUNCTION("IF(OR(W530="""",X530="""",AE530="""",AD530=""""),"""",
   TEXT(
     (
       (AE530+AD530 + IF(AE530+AD530 &lt; W530+X530,1,0)) - (W530+X530)
     )
     - IF(AND(AB530&lt;&gt;"""",AC530&lt;&gt;""""), 
          SUM(ARRAYFORMULA(SPLIT(AC530,"","") - SPLIT(AB530,"",""))"&amp;"), 
          0
       ),
     ""[hh]:mm""
   )
)
"),"02:08")</f>
        <v>02:08</v>
      </c>
      <c r="AJ530" s="27">
        <f t="shared" si="9"/>
        <v>0</v>
      </c>
      <c r="AK530" s="63" t="str">
        <f t="shared" si="10"/>
        <v>Pass</v>
      </c>
    </row>
    <row r="531">
      <c r="A531" s="45">
        <v>45941.0</v>
      </c>
      <c r="B531" s="49">
        <v>0.7270833333333333</v>
      </c>
      <c r="C531" s="45">
        <v>45941.0</v>
      </c>
      <c r="D531" s="49">
        <v>0.7298611111111111</v>
      </c>
      <c r="E531" s="21" t="s">
        <v>4386</v>
      </c>
      <c r="F531" s="21" t="s">
        <v>2547</v>
      </c>
      <c r="G531" s="21" t="s">
        <v>2548</v>
      </c>
      <c r="H531" s="21" t="s">
        <v>566</v>
      </c>
      <c r="I531" s="21" t="s">
        <v>567</v>
      </c>
      <c r="J531" s="21" t="s">
        <v>567</v>
      </c>
      <c r="K531" s="47"/>
      <c r="L531" s="21" t="s">
        <v>2902</v>
      </c>
      <c r="M531" s="21" t="s">
        <v>4387</v>
      </c>
      <c r="N531" s="21" t="s">
        <v>4388</v>
      </c>
      <c r="O531" s="48" t="s">
        <v>4389</v>
      </c>
      <c r="P531" s="21" t="s">
        <v>48</v>
      </c>
      <c r="Q531" s="24" t="s">
        <v>65</v>
      </c>
      <c r="R531" s="21" t="s">
        <v>4390</v>
      </c>
      <c r="S531" s="21" t="s">
        <v>51</v>
      </c>
      <c r="T531" s="21" t="s">
        <v>52</v>
      </c>
      <c r="U531" s="21" t="s">
        <v>52</v>
      </c>
      <c r="V531" s="21" t="s">
        <v>52</v>
      </c>
      <c r="W531" s="45">
        <v>45942.0</v>
      </c>
      <c r="X531" s="49">
        <v>0.5180555555555556</v>
      </c>
      <c r="Y531" s="45">
        <v>45942.0</v>
      </c>
      <c r="Z531" s="49">
        <v>0.5513888888888889</v>
      </c>
      <c r="AA531" s="49">
        <v>0.5625</v>
      </c>
      <c r="AB531" s="25">
        <v>0.6354166666666666</v>
      </c>
      <c r="AC531" s="25">
        <v>0.6493055555555556</v>
      </c>
      <c r="AD531" s="25">
        <v>0.6645833333333333</v>
      </c>
      <c r="AE531" s="45">
        <v>45942.0</v>
      </c>
      <c r="AF531" s="21" t="s">
        <v>2839</v>
      </c>
      <c r="AG531" s="21" t="s">
        <v>4391</v>
      </c>
      <c r="AH531" s="21" t="s">
        <v>4392</v>
      </c>
      <c r="AI531" s="62" t="str">
        <f>IFERROR(__xludf.DUMMYFUNCTION("IF(OR(W531="""",X531="""",AE531="""",AD531=""""),"""",
   TEXT(
     (
       (AE531+AD531 + IF(AE531+AD531 &lt; W531+X531,1,0)) - (W531+X531)
     )
     - IF(AND(AB531&lt;&gt;"""",AC531&lt;&gt;""""), 
          SUM(ARRAYFORMULA(SPLIT(AC531,"","") - SPLIT(AB531,"",""))"&amp;"), 
          0
       ),
     ""[hh]:mm""
   )
)
"),"03:11")</f>
        <v>03:11</v>
      </c>
      <c r="AJ531" s="27">
        <f t="shared" si="9"/>
        <v>0</v>
      </c>
      <c r="AK531" s="63" t="str">
        <f t="shared" si="10"/>
        <v>Pass</v>
      </c>
    </row>
    <row r="532">
      <c r="A532" s="45">
        <v>45941.0</v>
      </c>
      <c r="B532" s="49">
        <v>0.7361111111111112</v>
      </c>
      <c r="C532" s="45">
        <v>45941.0</v>
      </c>
      <c r="D532" s="49">
        <v>0.7402777777777778</v>
      </c>
      <c r="E532" s="21" t="s">
        <v>4393</v>
      </c>
      <c r="F532" s="21" t="s">
        <v>4394</v>
      </c>
      <c r="G532" s="21" t="s">
        <v>4395</v>
      </c>
      <c r="H532" s="21" t="s">
        <v>566</v>
      </c>
      <c r="I532" s="21" t="s">
        <v>567</v>
      </c>
      <c r="J532" s="21" t="s">
        <v>567</v>
      </c>
      <c r="K532" s="21" t="s">
        <v>4379</v>
      </c>
      <c r="L532" s="21" t="s">
        <v>3735</v>
      </c>
      <c r="M532" s="21" t="s">
        <v>4396</v>
      </c>
      <c r="N532" s="21" t="s">
        <v>4397</v>
      </c>
      <c r="O532" s="48" t="s">
        <v>4398</v>
      </c>
      <c r="P532" s="21" t="s">
        <v>48</v>
      </c>
      <c r="Q532" s="24" t="s">
        <v>65</v>
      </c>
      <c r="R532" s="21" t="s">
        <v>4399</v>
      </c>
      <c r="S532" s="21" t="s">
        <v>51</v>
      </c>
      <c r="T532" s="21" t="s">
        <v>52</v>
      </c>
      <c r="U532" s="21" t="s">
        <v>52</v>
      </c>
      <c r="V532" s="21" t="s">
        <v>52</v>
      </c>
      <c r="W532" s="45">
        <v>45941.0</v>
      </c>
      <c r="X532" s="49">
        <v>0.7402777777777778</v>
      </c>
      <c r="Y532" s="45">
        <v>45942.0</v>
      </c>
      <c r="Z532" s="49">
        <v>0.44166666666666665</v>
      </c>
      <c r="AA532" s="49">
        <v>0.4423611111111111</v>
      </c>
      <c r="AB532" s="29"/>
      <c r="AC532" s="29"/>
      <c r="AD532" s="25">
        <v>0.4965277777777778</v>
      </c>
      <c r="AE532" s="45">
        <v>45942.0</v>
      </c>
      <c r="AF532" s="21" t="s">
        <v>3218</v>
      </c>
      <c r="AG532" s="21" t="s">
        <v>3254</v>
      </c>
      <c r="AH532" s="21" t="s">
        <v>4400</v>
      </c>
      <c r="AI532" s="62" t="str">
        <f>IFERROR(__xludf.DUMMYFUNCTION("IF(OR(W532="""",X532="""",AE532="""",AD532=""""),"""",
   TEXT(
     (
       (AE532+AD532 + IF(AE532+AD532 &lt; W532+X532,1,0)) - (W532+X532)
     )
     - IF(AND(AB532&lt;&gt;"""",AC532&lt;&gt;""""), 
          SUM(ARRAYFORMULA(SPLIT(AC532,"","") - SPLIT(AB532,"",""))"&amp;"), 
          0
       ),
     ""[hh]:mm""
   )
)
"),"18:09")</f>
        <v>18:09</v>
      </c>
      <c r="AJ532" s="27">
        <f t="shared" si="9"/>
        <v>0.25625</v>
      </c>
      <c r="AK532" s="63" t="str">
        <f t="shared" si="10"/>
        <v>Fail</v>
      </c>
    </row>
    <row r="533">
      <c r="A533" s="45">
        <v>45942.0</v>
      </c>
      <c r="B533" s="49">
        <v>0.3701388888888889</v>
      </c>
      <c r="C533" s="45">
        <v>45942.0</v>
      </c>
      <c r="D533" s="49">
        <v>0.38680555555555557</v>
      </c>
      <c r="E533" s="21" t="s">
        <v>4401</v>
      </c>
      <c r="F533" s="21" t="s">
        <v>4402</v>
      </c>
      <c r="G533" s="21" t="s">
        <v>3792</v>
      </c>
      <c r="H533" s="21" t="s">
        <v>4256</v>
      </c>
      <c r="I533" s="21" t="s">
        <v>131</v>
      </c>
      <c r="J533" s="21" t="s">
        <v>2253</v>
      </c>
      <c r="K533" s="21" t="s">
        <v>43</v>
      </c>
      <c r="L533" s="21" t="s">
        <v>805</v>
      </c>
      <c r="M533" s="21" t="s">
        <v>4403</v>
      </c>
      <c r="N533" s="21" t="s">
        <v>4404</v>
      </c>
      <c r="O533" s="48" t="s">
        <v>4405</v>
      </c>
      <c r="P533" s="21" t="s">
        <v>75</v>
      </c>
      <c r="Q533" s="24" t="s">
        <v>65</v>
      </c>
      <c r="R533" s="21" t="s">
        <v>4406</v>
      </c>
      <c r="S533" s="21" t="s">
        <v>51</v>
      </c>
      <c r="T533" s="21" t="s">
        <v>2253</v>
      </c>
      <c r="U533" s="21" t="s">
        <v>4407</v>
      </c>
      <c r="V533" s="21" t="s">
        <v>4403</v>
      </c>
      <c r="W533" s="45">
        <v>45942.0</v>
      </c>
      <c r="X533" s="49">
        <v>0.38680555555555557</v>
      </c>
      <c r="Y533" s="45">
        <v>45942.0</v>
      </c>
      <c r="Z533" s="49">
        <v>0.4444444444444444</v>
      </c>
      <c r="AA533" s="49">
        <v>0.44583333333333336</v>
      </c>
      <c r="AB533" s="89" t="s">
        <v>4408</v>
      </c>
      <c r="AC533" s="89" t="s">
        <v>4409</v>
      </c>
      <c r="AD533" s="25">
        <v>0.5416666666666666</v>
      </c>
      <c r="AE533" s="45">
        <v>45942.0</v>
      </c>
      <c r="AF533" s="21" t="s">
        <v>2931</v>
      </c>
      <c r="AG533" s="21" t="s">
        <v>293</v>
      </c>
      <c r="AH533" s="21" t="s">
        <v>4410</v>
      </c>
      <c r="AI533" s="62" t="str">
        <f>IFERROR(__xludf.DUMMYFUNCTION("IF(OR(W533="""",X533="""",AE533="""",AD533=""""),"""",
   TEXT(
     (
       (AE533+AD533 + IF(AE533+AD533 &lt; W533+X533,1,0)) - (W533+X533)
     )
     - IF(AND(AB533&lt;&gt;"""",AC533&lt;&gt;""""), 
          SUM(ARRAYFORMULA(SPLIT(AC533,"","") - SPLIT(AB533,"",""))"&amp;"), 
          0
       ),
     ""[hh]:mm""
   )
)
"),"02:03")</f>
        <v>02:03</v>
      </c>
      <c r="AJ533" s="27">
        <f t="shared" si="9"/>
        <v>0</v>
      </c>
      <c r="AK533" s="63" t="str">
        <f t="shared" si="10"/>
        <v>Pass</v>
      </c>
    </row>
    <row r="534">
      <c r="A534" s="45">
        <v>45942.0</v>
      </c>
      <c r="B534" s="49">
        <v>0.42916666666666664</v>
      </c>
      <c r="C534" s="45">
        <v>45942.0</v>
      </c>
      <c r="D534" s="49">
        <v>0.43194444444444446</v>
      </c>
      <c r="E534" s="21" t="s">
        <v>4411</v>
      </c>
      <c r="F534" s="21" t="s">
        <v>4412</v>
      </c>
      <c r="G534" s="21" t="s">
        <v>4413</v>
      </c>
      <c r="H534" s="21" t="s">
        <v>756</v>
      </c>
      <c r="I534" s="21" t="s">
        <v>41</v>
      </c>
      <c r="J534" s="21" t="s">
        <v>95</v>
      </c>
      <c r="K534" s="21" t="s">
        <v>4414</v>
      </c>
      <c r="L534" s="21" t="s">
        <v>4415</v>
      </c>
      <c r="M534" s="21" t="s">
        <v>4416</v>
      </c>
      <c r="N534" s="21" t="s">
        <v>4417</v>
      </c>
      <c r="O534" s="48" t="s">
        <v>4418</v>
      </c>
      <c r="P534" s="21" t="s">
        <v>48</v>
      </c>
      <c r="Q534" s="24" t="s">
        <v>49</v>
      </c>
      <c r="R534" s="21" t="s">
        <v>4419</v>
      </c>
      <c r="S534" s="21" t="s">
        <v>51</v>
      </c>
      <c r="T534" s="21" t="s">
        <v>52</v>
      </c>
      <c r="U534" s="21" t="s">
        <v>52</v>
      </c>
      <c r="V534" s="21" t="s">
        <v>52</v>
      </c>
      <c r="W534" s="45">
        <v>45942.0</v>
      </c>
      <c r="X534" s="49">
        <v>0.43194444444444446</v>
      </c>
      <c r="Y534" s="45">
        <v>45942.0</v>
      </c>
      <c r="Z534" s="49">
        <v>0.5208333333333334</v>
      </c>
      <c r="AA534" s="49">
        <v>0.5243055555555556</v>
      </c>
      <c r="AB534" s="25">
        <v>0.5381944444444444</v>
      </c>
      <c r="AC534" s="25">
        <v>0.5659722222222222</v>
      </c>
      <c r="AD534" s="25">
        <v>0.5833333333333334</v>
      </c>
      <c r="AE534" s="45">
        <v>45942.0</v>
      </c>
      <c r="AF534" s="21" t="s">
        <v>3218</v>
      </c>
      <c r="AG534" s="21" t="s">
        <v>67</v>
      </c>
      <c r="AH534" s="21" t="s">
        <v>4420</v>
      </c>
      <c r="AI534" s="62" t="str">
        <f>IFERROR(__xludf.DUMMYFUNCTION("IF(OR(W534="""",X534="""",AE534="""",AD534=""""),"""",
   TEXT(
     (
       (AE534+AD534 + IF(AE534+AD534 &lt; W534+X534,1,0)) - (W534+X534)
     )
     - IF(AND(AB534&lt;&gt;"""",AC534&lt;&gt;""""), 
          SUM(ARRAYFORMULA(SPLIT(AC534,"","") - SPLIT(AB534,"",""))"&amp;"), 
          0
       ),
     ""[hh]:mm""
   )
)
"),"02:58")</f>
        <v>02:58</v>
      </c>
      <c r="AJ534" s="27">
        <f t="shared" si="9"/>
        <v>0</v>
      </c>
      <c r="AK534" s="63" t="str">
        <f t="shared" si="10"/>
        <v>Pass</v>
      </c>
    </row>
    <row r="535">
      <c r="A535" s="45">
        <v>45942.0</v>
      </c>
      <c r="B535" s="49">
        <v>0.6131944444444445</v>
      </c>
      <c r="C535" s="45">
        <v>45942.0</v>
      </c>
      <c r="D535" s="49">
        <v>0.6166666666666667</v>
      </c>
      <c r="E535" s="21" t="s">
        <v>4421</v>
      </c>
      <c r="F535" s="21" t="s">
        <v>4422</v>
      </c>
      <c r="G535" s="21" t="s">
        <v>4423</v>
      </c>
      <c r="H535" s="21" t="s">
        <v>130</v>
      </c>
      <c r="I535" s="21" t="s">
        <v>60</v>
      </c>
      <c r="J535" s="21" t="s">
        <v>3813</v>
      </c>
      <c r="K535" s="21" t="s">
        <v>61</v>
      </c>
      <c r="L535" s="21" t="s">
        <v>183</v>
      </c>
      <c r="M535" s="21" t="s">
        <v>4424</v>
      </c>
      <c r="N535" s="21" t="s">
        <v>4425</v>
      </c>
      <c r="O535" s="48" t="s">
        <v>4426</v>
      </c>
      <c r="P535" s="21" t="s">
        <v>75</v>
      </c>
      <c r="Q535" s="24" t="s">
        <v>65</v>
      </c>
      <c r="R535" s="21" t="s">
        <v>4427</v>
      </c>
      <c r="S535" s="21" t="s">
        <v>51</v>
      </c>
      <c r="T535" s="21" t="s">
        <v>4428</v>
      </c>
      <c r="U535" s="21" t="s">
        <v>52</v>
      </c>
      <c r="V535" s="21" t="s">
        <v>52</v>
      </c>
      <c r="W535" s="45">
        <v>45942.0</v>
      </c>
      <c r="X535" s="49">
        <v>0.6166666666666667</v>
      </c>
      <c r="Y535" s="45">
        <v>45942.0</v>
      </c>
      <c r="Z535" s="49">
        <v>0.6173611111111111</v>
      </c>
      <c r="AA535" s="49">
        <v>0.6194444444444445</v>
      </c>
      <c r="AB535" s="24" t="s">
        <v>4429</v>
      </c>
      <c r="AC535" s="24" t="s">
        <v>4430</v>
      </c>
      <c r="AD535" s="25">
        <v>0.8333333333333334</v>
      </c>
      <c r="AE535" s="45">
        <v>45942.0</v>
      </c>
      <c r="AF535" s="21" t="s">
        <v>2971</v>
      </c>
      <c r="AG535" s="21" t="s">
        <v>4431</v>
      </c>
      <c r="AH535" s="21" t="s">
        <v>4432</v>
      </c>
      <c r="AI535" s="62" t="str">
        <f>IFERROR(__xludf.DUMMYFUNCTION("IF(OR(W535="""",X535="""",AE535="""",AD535=""""),"""",
   TEXT(
     (
       (AE535+AD535 + IF(AE535+AD535 &lt; W535+X535,1,0)) - (W535+X535)
     )
     - IF(AND(AB535&lt;&gt;"""",AC535&lt;&gt;""""), 
          SUM(ARRAYFORMULA(SPLIT(AC535,"","") - SPLIT(AB535,"",""))"&amp;"), 
          0
       ),
     ""[hh]:mm""
   )
)
"),"03:27")</f>
        <v>03:27</v>
      </c>
      <c r="AJ535" s="27">
        <f t="shared" si="9"/>
        <v>0</v>
      </c>
      <c r="AK535" s="63" t="str">
        <f t="shared" si="10"/>
        <v>Pass</v>
      </c>
    </row>
    <row r="536">
      <c r="A536" s="18">
        <v>45942.0</v>
      </c>
      <c r="B536" s="20">
        <v>0.6694444444444444</v>
      </c>
      <c r="C536" s="18">
        <v>45942.0</v>
      </c>
      <c r="D536" s="20">
        <v>0.6763888888888889</v>
      </c>
      <c r="E536" s="22" t="s">
        <v>4433</v>
      </c>
      <c r="F536" s="22" t="s">
        <v>4434</v>
      </c>
      <c r="G536" s="22" t="s">
        <v>4435</v>
      </c>
      <c r="H536" s="22" t="s">
        <v>1287</v>
      </c>
      <c r="I536" s="22" t="s">
        <v>616</v>
      </c>
      <c r="J536" s="22" t="s">
        <v>3813</v>
      </c>
      <c r="K536" s="22" t="s">
        <v>61</v>
      </c>
      <c r="L536" s="22" t="s">
        <v>1699</v>
      </c>
      <c r="M536" s="22" t="s">
        <v>4436</v>
      </c>
      <c r="N536" s="22" t="s">
        <v>4437</v>
      </c>
      <c r="O536" s="23" t="s">
        <v>4438</v>
      </c>
      <c r="P536" s="22" t="s">
        <v>75</v>
      </c>
      <c r="Q536" s="50" t="s">
        <v>49</v>
      </c>
      <c r="R536" s="22" t="s">
        <v>4439</v>
      </c>
      <c r="S536" s="22" t="s">
        <v>51</v>
      </c>
      <c r="T536" s="22" t="s">
        <v>2253</v>
      </c>
      <c r="U536" s="22" t="s">
        <v>4440</v>
      </c>
      <c r="V536" s="22" t="s">
        <v>4436</v>
      </c>
      <c r="W536" s="18">
        <v>45943.0</v>
      </c>
      <c r="X536" s="20">
        <v>0.2916666666666667</v>
      </c>
      <c r="Y536" s="18">
        <v>45943.0</v>
      </c>
      <c r="Z536" s="20">
        <v>0.41041666666666665</v>
      </c>
      <c r="AA536" s="20">
        <v>0.4125</v>
      </c>
      <c r="AB536" s="50" t="s">
        <v>4441</v>
      </c>
      <c r="AC536" s="50" t="s">
        <v>4442</v>
      </c>
      <c r="AD536" s="51">
        <v>0.7125</v>
      </c>
      <c r="AE536" s="18">
        <v>45943.0</v>
      </c>
      <c r="AF536" s="22" t="s">
        <v>2931</v>
      </c>
      <c r="AG536" s="22" t="s">
        <v>313</v>
      </c>
      <c r="AH536" s="22" t="s">
        <v>4443</v>
      </c>
      <c r="AI536" s="62" t="str">
        <f>IFERROR(__xludf.DUMMYFUNCTION("IF(OR(W536="""",X536="""",AE536="""",AD536=""""),"""",
   TEXT(
     (
       (AE536+AD536 + IF(AE536+AD536 &lt; W536+X536,1,0)) - (W536+X536)
     )
     - IF(AND(AB536&lt;&gt;"""",AC536&lt;&gt;""""), 
          SUM(ARRAYFORMULA(SPLIT(AC536,"","") - SPLIT(AB536,"",""))"&amp;"), 
          0
       ),
     ""[hh]:mm""
   )
)
"),"03:38")</f>
        <v>03:38</v>
      </c>
      <c r="AJ536" s="27">
        <f t="shared" si="9"/>
        <v>0</v>
      </c>
      <c r="AK536" s="63" t="str">
        <f t="shared" si="10"/>
        <v>Pass</v>
      </c>
    </row>
    <row r="537">
      <c r="A537" s="18">
        <v>45942.0</v>
      </c>
      <c r="B537" s="20">
        <v>0.6694444444444444</v>
      </c>
      <c r="C537" s="18">
        <v>45942.0</v>
      </c>
      <c r="D537" s="20">
        <v>0.6763888888888889</v>
      </c>
      <c r="E537" s="22" t="s">
        <v>4444</v>
      </c>
      <c r="F537" s="22" t="s">
        <v>4434</v>
      </c>
      <c r="G537" s="22" t="s">
        <v>4435</v>
      </c>
      <c r="H537" s="22" t="s">
        <v>1287</v>
      </c>
      <c r="I537" s="22" t="s">
        <v>131</v>
      </c>
      <c r="J537" s="22" t="s">
        <v>3813</v>
      </c>
      <c r="K537" s="22" t="s">
        <v>61</v>
      </c>
      <c r="L537" s="22" t="s">
        <v>1699</v>
      </c>
      <c r="M537" s="22" t="s">
        <v>4445</v>
      </c>
      <c r="N537" s="22" t="s">
        <v>4446</v>
      </c>
      <c r="O537" s="23" t="s">
        <v>4438</v>
      </c>
      <c r="P537" s="22" t="s">
        <v>75</v>
      </c>
      <c r="Q537" s="50" t="s">
        <v>49</v>
      </c>
      <c r="R537" s="22" t="s">
        <v>4439</v>
      </c>
      <c r="S537" s="22" t="s">
        <v>51</v>
      </c>
      <c r="T537" s="22" t="s">
        <v>2253</v>
      </c>
      <c r="U537" s="22" t="s">
        <v>4447</v>
      </c>
      <c r="V537" s="22" t="s">
        <v>4448</v>
      </c>
      <c r="W537" s="18">
        <v>45943.0</v>
      </c>
      <c r="X537" s="20">
        <v>0.2916666666666667</v>
      </c>
      <c r="Y537" s="18">
        <v>45943.0</v>
      </c>
      <c r="Z537" s="20">
        <v>0.41041666666666665</v>
      </c>
      <c r="AA537" s="20">
        <v>0.4125</v>
      </c>
      <c r="AB537" s="50" t="s">
        <v>4441</v>
      </c>
      <c r="AC537" s="50" t="s">
        <v>4442</v>
      </c>
      <c r="AD537" s="51">
        <v>0.7125</v>
      </c>
      <c r="AE537" s="18">
        <v>45943.0</v>
      </c>
      <c r="AF537" s="22" t="s">
        <v>2931</v>
      </c>
      <c r="AG537" s="22" t="s">
        <v>313</v>
      </c>
      <c r="AH537" s="22" t="s">
        <v>4443</v>
      </c>
      <c r="AI537" s="62" t="str">
        <f>IFERROR(__xludf.DUMMYFUNCTION("IF(OR(W537="""",X537="""",AE537="""",AD537=""""),"""",
   TEXT(
     (
       (AE537+AD537 + IF(AE537+AD537 &lt; W537+X537,1,0)) - (W537+X537)
     )
     - IF(AND(AB537&lt;&gt;"""",AC537&lt;&gt;""""), 
          SUM(ARRAYFORMULA(SPLIT(AC537,"","") - SPLIT(AB537,"",""))"&amp;"), 
          0
       ),
     ""[hh]:mm""
   )
)
"),"03:38")</f>
        <v>03:38</v>
      </c>
      <c r="AJ537" s="27">
        <f t="shared" si="9"/>
        <v>0</v>
      </c>
      <c r="AK537" s="63" t="str">
        <f t="shared" si="10"/>
        <v>Pass</v>
      </c>
    </row>
    <row r="538">
      <c r="A538" s="18">
        <v>45942.0</v>
      </c>
      <c r="B538" s="20">
        <v>0.8715277777777778</v>
      </c>
      <c r="C538" s="18">
        <v>45942.0</v>
      </c>
      <c r="D538" s="20">
        <v>0.8763888888888889</v>
      </c>
      <c r="E538" s="22" t="s">
        <v>4449</v>
      </c>
      <c r="F538" s="22" t="s">
        <v>4289</v>
      </c>
      <c r="G538" s="22" t="s">
        <v>4290</v>
      </c>
      <c r="H538" s="22" t="s">
        <v>756</v>
      </c>
      <c r="I538" s="22" t="s">
        <v>41</v>
      </c>
      <c r="J538" s="22" t="s">
        <v>3813</v>
      </c>
      <c r="K538" s="22" t="s">
        <v>61</v>
      </c>
      <c r="L538" s="22" t="s">
        <v>1699</v>
      </c>
      <c r="M538" s="22" t="s">
        <v>4450</v>
      </c>
      <c r="N538" s="22" t="s">
        <v>4293</v>
      </c>
      <c r="O538" s="23" t="s">
        <v>4451</v>
      </c>
      <c r="P538" s="22" t="s">
        <v>48</v>
      </c>
      <c r="Q538" s="50" t="s">
        <v>49</v>
      </c>
      <c r="R538" s="22" t="s">
        <v>4452</v>
      </c>
      <c r="S538" s="22" t="s">
        <v>51</v>
      </c>
      <c r="T538" s="22" t="s">
        <v>52</v>
      </c>
      <c r="U538" s="22" t="s">
        <v>52</v>
      </c>
      <c r="V538" s="22" t="s">
        <v>52</v>
      </c>
      <c r="W538" s="18">
        <v>45943.0</v>
      </c>
      <c r="X538" s="20">
        <v>0.3333333333333333</v>
      </c>
      <c r="Y538" s="18">
        <v>45943.0</v>
      </c>
      <c r="Z538" s="20">
        <v>0.40069444444444446</v>
      </c>
      <c r="AA538" s="75">
        <v>0.40208333333333335</v>
      </c>
      <c r="AB538" s="50" t="s">
        <v>4453</v>
      </c>
      <c r="AC538" s="50" t="s">
        <v>4454</v>
      </c>
      <c r="AD538" s="51">
        <v>0.5798611111111112</v>
      </c>
      <c r="AE538" s="18">
        <v>45943.0</v>
      </c>
      <c r="AF538" s="22" t="s">
        <v>2839</v>
      </c>
      <c r="AG538" s="22" t="s">
        <v>583</v>
      </c>
      <c r="AH538" s="22" t="s">
        <v>4455</v>
      </c>
      <c r="AI538" s="62" t="str">
        <f>IFERROR(__xludf.DUMMYFUNCTION("IF(OR(W538="""",X538="""",AE538="""",AD538=""""),"""",
   TEXT(
     (
       (AE538+AD538 + IF(AE538+AD538 &lt; W538+X538,1,0)) - (W538+X538)
     )
     - IF(AND(AB538&lt;&gt;"""",AC538&lt;&gt;""""), 
          SUM(ARRAYFORMULA(SPLIT(AC538,"","") - SPLIT(AB538,"",""))"&amp;"), 
          0
       ),
     ""[hh]:mm""
   )
)
"),"02:20")</f>
        <v>02:20</v>
      </c>
      <c r="AJ538" s="27">
        <f t="shared" si="9"/>
        <v>0</v>
      </c>
      <c r="AK538" s="63" t="str">
        <f t="shared" si="10"/>
        <v>Pass</v>
      </c>
    </row>
    <row r="539">
      <c r="A539" s="18">
        <v>45943.0</v>
      </c>
      <c r="B539" s="20">
        <v>0.5034722222222222</v>
      </c>
      <c r="C539" s="18">
        <v>45943.0</v>
      </c>
      <c r="D539" s="20">
        <v>0.5041666666666667</v>
      </c>
      <c r="E539" s="22" t="s">
        <v>4456</v>
      </c>
      <c r="F539" s="22" t="s">
        <v>3275</v>
      </c>
      <c r="G539" s="22" t="s">
        <v>3276</v>
      </c>
      <c r="H539" s="22" t="s">
        <v>343</v>
      </c>
      <c r="I539" s="22" t="s">
        <v>644</v>
      </c>
      <c r="J539" s="22" t="s">
        <v>644</v>
      </c>
      <c r="K539" s="31"/>
      <c r="L539" s="31"/>
      <c r="M539" s="31"/>
      <c r="N539" s="22" t="s">
        <v>4457</v>
      </c>
      <c r="O539" s="23" t="s">
        <v>4458</v>
      </c>
      <c r="P539" s="22" t="s">
        <v>187</v>
      </c>
      <c r="Q539" s="50" t="s">
        <v>65</v>
      </c>
      <c r="R539" s="22" t="s">
        <v>4459</v>
      </c>
      <c r="S539" s="22" t="s">
        <v>51</v>
      </c>
      <c r="T539" s="22" t="s">
        <v>324</v>
      </c>
      <c r="U539" s="22" t="s">
        <v>491</v>
      </c>
      <c r="V539" s="22" t="s">
        <v>4460</v>
      </c>
      <c r="W539" s="18">
        <v>45943.0</v>
      </c>
      <c r="X539" s="20">
        <v>0.5041666666666667</v>
      </c>
      <c r="Y539" s="18">
        <v>45943.0</v>
      </c>
      <c r="Z539" s="20">
        <v>0.625</v>
      </c>
      <c r="AA539" s="75">
        <v>0.6354166666666666</v>
      </c>
      <c r="AB539" s="51">
        <v>0.6701388888888888</v>
      </c>
      <c r="AC539" s="77">
        <v>0.7659722222222223</v>
      </c>
      <c r="AD539" s="51">
        <v>0.7916666666666666</v>
      </c>
      <c r="AE539" s="18">
        <v>45943.0</v>
      </c>
      <c r="AF539" s="22" t="s">
        <v>3054</v>
      </c>
      <c r="AG539" s="22" t="s">
        <v>1475</v>
      </c>
      <c r="AH539" s="22" t="s">
        <v>4461</v>
      </c>
      <c r="AI539" s="62" t="str">
        <f>IFERROR(__xludf.DUMMYFUNCTION("IF(OR(W539="""",X539="""",AE539="""",AD539=""""),"""",
   TEXT(
     (
       (AE539+AD539 + IF(AE539+AD539 &lt; W539+X539,1,0)) - (W539+X539)
     )
     - IF(AND(AB539&lt;&gt;"""",AC539&lt;&gt;""""), 
          SUM(ARRAYFORMULA(SPLIT(AC539,"","") - SPLIT(AB539,"",""))"&amp;"), 
          0
       ),
     ""[hh]:mm""
   )
)
"),"04:36")</f>
        <v>04:36</v>
      </c>
      <c r="AJ539" s="27">
        <f t="shared" si="9"/>
        <v>0</v>
      </c>
      <c r="AK539" s="63" t="str">
        <f t="shared" si="10"/>
        <v>Pass</v>
      </c>
    </row>
    <row r="540">
      <c r="A540" s="18">
        <v>45943.0</v>
      </c>
      <c r="B540" s="20">
        <v>0.5048611111111111</v>
      </c>
      <c r="C540" s="18">
        <v>45943.0</v>
      </c>
      <c r="D540" s="20">
        <v>0.5145833333333333</v>
      </c>
      <c r="E540" s="22" t="s">
        <v>4462</v>
      </c>
      <c r="F540" s="22" t="s">
        <v>4463</v>
      </c>
      <c r="G540" s="22" t="s">
        <v>4464</v>
      </c>
      <c r="H540" s="22" t="s">
        <v>1610</v>
      </c>
      <c r="I540" s="22" t="s">
        <v>1612</v>
      </c>
      <c r="J540" s="22" t="s">
        <v>1612</v>
      </c>
      <c r="K540" s="22" t="s">
        <v>143</v>
      </c>
      <c r="L540" s="22" t="s">
        <v>4465</v>
      </c>
      <c r="M540" s="22" t="s">
        <v>4466</v>
      </c>
      <c r="N540" s="22" t="s">
        <v>4090</v>
      </c>
      <c r="O540" s="23" t="s">
        <v>4467</v>
      </c>
      <c r="P540" s="22" t="s">
        <v>187</v>
      </c>
      <c r="Q540" s="50" t="s">
        <v>65</v>
      </c>
      <c r="R540" s="22" t="s">
        <v>4468</v>
      </c>
      <c r="S540" s="22" t="s">
        <v>51</v>
      </c>
      <c r="T540" s="21" t="s">
        <v>52</v>
      </c>
      <c r="U540" s="21" t="s">
        <v>52</v>
      </c>
      <c r="V540" s="21" t="s">
        <v>52</v>
      </c>
      <c r="W540" s="18">
        <v>45943.0</v>
      </c>
      <c r="X540" s="20">
        <v>0.5145833333333333</v>
      </c>
      <c r="Y540" s="18">
        <v>45943.0</v>
      </c>
      <c r="Z540" s="20">
        <v>0.7215277777777778</v>
      </c>
      <c r="AA540" s="20">
        <v>0.7256944444444444</v>
      </c>
      <c r="AB540" s="54"/>
      <c r="AC540" s="54"/>
      <c r="AD540" s="51">
        <v>0.8229166666666666</v>
      </c>
      <c r="AE540" s="18">
        <v>45943.0</v>
      </c>
      <c r="AF540" s="22" t="s">
        <v>2744</v>
      </c>
      <c r="AG540" s="22" t="s">
        <v>879</v>
      </c>
      <c r="AH540" s="22" t="s">
        <v>4469</v>
      </c>
      <c r="AI540" s="62" t="str">
        <f>IFERROR(__xludf.DUMMYFUNCTION("IF(OR(W540="""",X540="""",AE540="""",AD540=""""),"""",
   TEXT(
     (
       (AE540+AD540 + IF(AE540+AD540 &lt; W540+X540,1,0)) - (W540+X540)
     )
     - IF(AND(AB540&lt;&gt;"""",AC540&lt;&gt;""""), 
          SUM(ARRAYFORMULA(SPLIT(AC540,"","") - SPLIT(AB540,"",""))"&amp;"), 
          0
       ),
     ""[hh]:mm""
   )
)
"),"07:24")</f>
        <v>07:24</v>
      </c>
      <c r="AJ540" s="27">
        <f t="shared" si="9"/>
        <v>0</v>
      </c>
      <c r="AK540" s="63" t="str">
        <f t="shared" si="10"/>
        <v>Pass</v>
      </c>
    </row>
    <row r="541">
      <c r="A541" s="18">
        <v>45943.0</v>
      </c>
      <c r="B541" s="20">
        <v>0.7</v>
      </c>
      <c r="C541" s="18">
        <v>45943.0</v>
      </c>
      <c r="D541" s="20">
        <v>0.7041666666666667</v>
      </c>
      <c r="E541" s="22" t="s">
        <v>4470</v>
      </c>
      <c r="F541" s="22" t="s">
        <v>251</v>
      </c>
      <c r="G541" s="22" t="s">
        <v>1717</v>
      </c>
      <c r="H541" s="31"/>
      <c r="I541" s="31"/>
      <c r="J541" s="31"/>
      <c r="K541" s="22" t="s">
        <v>333</v>
      </c>
      <c r="L541" s="22" t="s">
        <v>1726</v>
      </c>
      <c r="M541" s="22" t="s">
        <v>3546</v>
      </c>
      <c r="N541" s="22" t="s">
        <v>4471</v>
      </c>
      <c r="O541" s="23" t="s">
        <v>4472</v>
      </c>
      <c r="P541" s="22" t="s">
        <v>75</v>
      </c>
      <c r="Q541" s="50" t="s">
        <v>65</v>
      </c>
      <c r="R541" s="22" t="s">
        <v>4473</v>
      </c>
      <c r="S541" s="22" t="s">
        <v>51</v>
      </c>
      <c r="T541" s="21" t="s">
        <v>52</v>
      </c>
      <c r="U541" s="21" t="s">
        <v>52</v>
      </c>
      <c r="V541" s="21" t="s">
        <v>52</v>
      </c>
      <c r="W541" s="18">
        <v>45943.0</v>
      </c>
      <c r="X541" s="20">
        <v>0.7041666666666667</v>
      </c>
      <c r="Y541" s="18">
        <v>45943.0</v>
      </c>
      <c r="Z541" s="20">
        <v>0.7951388888888888</v>
      </c>
      <c r="AA541" s="20">
        <v>0.7972222222222223</v>
      </c>
      <c r="AB541" s="50" t="s">
        <v>4474</v>
      </c>
      <c r="AC541" s="50" t="s">
        <v>4475</v>
      </c>
      <c r="AD541" s="51">
        <v>0.9465277777777777</v>
      </c>
      <c r="AE541" s="18">
        <v>45943.0</v>
      </c>
      <c r="AF541" s="22" t="s">
        <v>2839</v>
      </c>
      <c r="AG541" s="22" t="s">
        <v>313</v>
      </c>
      <c r="AH541" s="22" t="s">
        <v>4476</v>
      </c>
      <c r="AI541" s="62" t="str">
        <f>IFERROR(__xludf.DUMMYFUNCTION("IF(OR(W541="""",X541="""",AE541="""",AD541=""""),"""",
   TEXT(
     (
       (AE541+AD541 + IF(AE541+AD541 &lt; W541+X541,1,0)) - (W541+X541)
     )
     - IF(AND(AB541&lt;&gt;"""",AC541&lt;&gt;""""), 
          SUM(ARRAYFORMULA(SPLIT(AC541,"","") - SPLIT(AB541,"",""))"&amp;"), 
          0
       ),
     ""[hh]:mm""
   )
)
"),"04:35")</f>
        <v>04:35</v>
      </c>
      <c r="AJ541" s="27">
        <f t="shared" si="9"/>
        <v>0</v>
      </c>
      <c r="AK541" s="63" t="str">
        <f t="shared" si="10"/>
        <v>Pass</v>
      </c>
    </row>
    <row r="542">
      <c r="A542" s="18">
        <v>45943.0</v>
      </c>
      <c r="B542" s="20">
        <v>0.7666666666666667</v>
      </c>
      <c r="C542" s="18">
        <v>45943.0</v>
      </c>
      <c r="D542" s="20">
        <v>0.7736111111111111</v>
      </c>
      <c r="E542" s="22" t="s">
        <v>4477</v>
      </c>
      <c r="F542" s="22" t="s">
        <v>1336</v>
      </c>
      <c r="G542" s="22" t="s">
        <v>1337</v>
      </c>
      <c r="H542" s="31"/>
      <c r="I542" s="31"/>
      <c r="J542" s="31"/>
      <c r="K542" s="22" t="s">
        <v>43</v>
      </c>
      <c r="L542" s="22" t="s">
        <v>805</v>
      </c>
      <c r="M542" s="22" t="s">
        <v>4478</v>
      </c>
      <c r="N542" s="22" t="s">
        <v>4479</v>
      </c>
      <c r="O542" s="23" t="s">
        <v>4480</v>
      </c>
      <c r="P542" s="22" t="s">
        <v>75</v>
      </c>
      <c r="Q542" s="24" t="s">
        <v>65</v>
      </c>
      <c r="R542" s="22" t="s">
        <v>4481</v>
      </c>
      <c r="S542" s="22" t="s">
        <v>51</v>
      </c>
      <c r="T542" s="21" t="s">
        <v>52</v>
      </c>
      <c r="U542" s="21" t="s">
        <v>52</v>
      </c>
      <c r="V542" s="21" t="s">
        <v>52</v>
      </c>
      <c r="W542" s="18">
        <v>45943.0</v>
      </c>
      <c r="X542" s="20">
        <v>0.7736111111111111</v>
      </c>
      <c r="Y542" s="18">
        <v>45943.0</v>
      </c>
      <c r="Z542" s="20">
        <v>0.8388888888888889</v>
      </c>
      <c r="AA542" s="20">
        <v>0.8402777777777778</v>
      </c>
      <c r="AB542" s="29"/>
      <c r="AC542" s="29"/>
      <c r="AD542" s="85">
        <v>0.8618055555555556</v>
      </c>
      <c r="AE542" s="18">
        <v>45943.0</v>
      </c>
      <c r="AF542" s="22" t="s">
        <v>3358</v>
      </c>
      <c r="AG542" s="22" t="s">
        <v>162</v>
      </c>
      <c r="AH542" s="22" t="s">
        <v>4482</v>
      </c>
      <c r="AI542" s="62" t="str">
        <f>IFERROR(__xludf.DUMMYFUNCTION("IF(OR(W542="""",X542="""",AE542="""",AD542=""""),"""",
   TEXT(
     (
       (AE542+AD542 + IF(AE542+AD542 &lt; W542+X542,1,0)) - (W542+X542)
     )
     - IF(AND(AB542&lt;&gt;"""",AC542&lt;&gt;""""), 
          SUM(ARRAYFORMULA(SPLIT(AC542,"","") - SPLIT(AB542,"",""))"&amp;"), 
          0
       ),
     ""[hh]:mm""
   )
)
"),"02:07")</f>
        <v>02:07</v>
      </c>
      <c r="AJ542" s="27">
        <f t="shared" si="9"/>
        <v>0</v>
      </c>
      <c r="AK542" s="63" t="str">
        <f t="shared" si="10"/>
        <v>Pass</v>
      </c>
    </row>
    <row r="543">
      <c r="A543" s="18">
        <v>45943.0</v>
      </c>
      <c r="B543" s="20">
        <v>0.4583333333333333</v>
      </c>
      <c r="C543" s="18">
        <v>45943.0</v>
      </c>
      <c r="D543" s="20">
        <v>0.4666666666666667</v>
      </c>
      <c r="E543" s="22" t="s">
        <v>4483</v>
      </c>
      <c r="F543" s="22" t="s">
        <v>4484</v>
      </c>
      <c r="G543" s="22" t="s">
        <v>4485</v>
      </c>
      <c r="H543" s="22" t="s">
        <v>3471</v>
      </c>
      <c r="I543" s="22" t="s">
        <v>815</v>
      </c>
      <c r="J543" s="22" t="s">
        <v>1084</v>
      </c>
      <c r="K543" s="22" t="s">
        <v>3472</v>
      </c>
      <c r="L543" s="22" t="s">
        <v>1894</v>
      </c>
      <c r="M543" s="22">
        <v>2.0230815319E10</v>
      </c>
      <c r="N543" s="22" t="s">
        <v>4486</v>
      </c>
      <c r="O543" s="23" t="s">
        <v>4487</v>
      </c>
      <c r="P543" s="22" t="s">
        <v>48</v>
      </c>
      <c r="Q543" s="50" t="s">
        <v>198</v>
      </c>
      <c r="R543" s="22" t="s">
        <v>4488</v>
      </c>
      <c r="S543" s="22" t="s">
        <v>51</v>
      </c>
      <c r="T543" s="22" t="s">
        <v>52</v>
      </c>
      <c r="U543" s="22" t="s">
        <v>52</v>
      </c>
      <c r="V543" s="22" t="s">
        <v>52</v>
      </c>
      <c r="W543" s="18">
        <v>45944.0</v>
      </c>
      <c r="X543" s="20">
        <v>0.4166666666666667</v>
      </c>
      <c r="Y543" s="18">
        <v>45944.0</v>
      </c>
      <c r="Z543" s="20">
        <v>0.65625</v>
      </c>
      <c r="AA543" s="20">
        <v>0.6701388888888888</v>
      </c>
      <c r="AB543" s="51">
        <v>0.6770833333333334</v>
      </c>
      <c r="AC543" s="51">
        <v>0.7395833333333334</v>
      </c>
      <c r="AD543" s="51">
        <v>0.75</v>
      </c>
      <c r="AE543" s="18">
        <v>45944.0</v>
      </c>
      <c r="AF543" s="22" t="s">
        <v>2730</v>
      </c>
      <c r="AG543" s="22" t="s">
        <v>78</v>
      </c>
      <c r="AH543" s="22" t="s">
        <v>4489</v>
      </c>
      <c r="AI543" s="62" t="str">
        <f>IFERROR(__xludf.DUMMYFUNCTION("IF(OR(W543="""",X543="""",AE543="""",AD543=""""),"""",
   TEXT(
     (
       (AE543+AD543 + IF(AE543+AD543 &lt; W543+X543,1,0)) - (W543+X543)
     )
     - IF(AND(AB543&lt;&gt;"""",AC543&lt;&gt;""""), 
          SUM(ARRAYFORMULA(SPLIT(AC543,"","") - SPLIT(AB543,"",""))"&amp;"), 
          0
       ),
     ""[hh]:mm""
   )
)
"),"06:30")</f>
        <v>06:30</v>
      </c>
      <c r="AJ543" s="27">
        <f t="shared" si="9"/>
        <v>0</v>
      </c>
      <c r="AK543" s="63" t="str">
        <f t="shared" si="10"/>
        <v>Pass</v>
      </c>
    </row>
    <row r="544">
      <c r="A544" s="18">
        <v>45943.0</v>
      </c>
      <c r="B544" s="20">
        <v>0.33958333333333335</v>
      </c>
      <c r="C544" s="18">
        <v>45943.0</v>
      </c>
      <c r="D544" s="20">
        <v>0.3423611111111111</v>
      </c>
      <c r="E544" s="22" t="s">
        <v>4490</v>
      </c>
      <c r="F544" s="22" t="s">
        <v>4491</v>
      </c>
      <c r="G544" s="22" t="s">
        <v>4492</v>
      </c>
      <c r="H544" s="22" t="s">
        <v>3471</v>
      </c>
      <c r="I544" s="22" t="s">
        <v>815</v>
      </c>
      <c r="J544" s="22" t="s">
        <v>1084</v>
      </c>
      <c r="K544" s="22" t="s">
        <v>2912</v>
      </c>
      <c r="L544" s="22" t="s">
        <v>4131</v>
      </c>
      <c r="M544" s="22">
        <v>8.61585041570589E14</v>
      </c>
      <c r="N544" s="22" t="s">
        <v>4493</v>
      </c>
      <c r="O544" s="23" t="s">
        <v>4494</v>
      </c>
      <c r="P544" s="22" t="s">
        <v>48</v>
      </c>
      <c r="Q544" s="50" t="s">
        <v>198</v>
      </c>
      <c r="R544" s="22" t="s">
        <v>4495</v>
      </c>
      <c r="S544" s="22" t="s">
        <v>51</v>
      </c>
      <c r="T544" s="22" t="s">
        <v>52</v>
      </c>
      <c r="U544" s="22" t="s">
        <v>52</v>
      </c>
      <c r="V544" s="22" t="s">
        <v>52</v>
      </c>
      <c r="W544" s="18">
        <v>45944.0</v>
      </c>
      <c r="X544" s="20">
        <v>0.4166666666666667</v>
      </c>
      <c r="Y544" s="18">
        <v>45944.0</v>
      </c>
      <c r="Z544" s="20">
        <v>0.4791666666666667</v>
      </c>
      <c r="AA544" s="20">
        <v>0.4986111111111111</v>
      </c>
      <c r="AB544" s="51">
        <v>0.5</v>
      </c>
      <c r="AC544" s="51">
        <v>0.5486111111111112</v>
      </c>
      <c r="AD544" s="51">
        <v>0.5854166666666667</v>
      </c>
      <c r="AE544" s="18">
        <v>45944.0</v>
      </c>
      <c r="AF544" s="22" t="s">
        <v>2730</v>
      </c>
      <c r="AG544" s="22" t="s">
        <v>293</v>
      </c>
      <c r="AH544" s="22" t="s">
        <v>4496</v>
      </c>
      <c r="AI544" s="62" t="str">
        <f>IFERROR(__xludf.DUMMYFUNCTION("IF(OR(W544="""",X544="""",AE544="""",AD544=""""),"""",
   TEXT(
     (
       (AE544+AD544 + IF(AE544+AD544 &lt; W544+X544,1,0)) - (W544+X544)
     )
     - IF(AND(AB544&lt;&gt;"""",AC544&lt;&gt;""""), 
          SUM(ARRAYFORMULA(SPLIT(AC544,"","") - SPLIT(AB544,"",""))"&amp;"), 
          0
       ),
     ""[hh]:mm""
   )
)
"),"02:53")</f>
        <v>02:53</v>
      </c>
      <c r="AJ544" s="27">
        <f t="shared" si="9"/>
        <v>0</v>
      </c>
      <c r="AK544" s="63" t="str">
        <f t="shared" si="10"/>
        <v>Pass</v>
      </c>
    </row>
    <row r="545">
      <c r="A545" s="18">
        <v>45943.0</v>
      </c>
      <c r="B545" s="20">
        <v>0.3611111111111111</v>
      </c>
      <c r="C545" s="18">
        <v>45943.0</v>
      </c>
      <c r="D545" s="20">
        <v>0.3625</v>
      </c>
      <c r="E545" s="22" t="s">
        <v>4497</v>
      </c>
      <c r="F545" s="22" t="s">
        <v>2399</v>
      </c>
      <c r="G545" s="22" t="s">
        <v>2400</v>
      </c>
      <c r="H545" s="22" t="s">
        <v>3471</v>
      </c>
      <c r="I545" s="22" t="s">
        <v>815</v>
      </c>
      <c r="J545" s="22" t="s">
        <v>1084</v>
      </c>
      <c r="K545" s="22" t="s">
        <v>1893</v>
      </c>
      <c r="L545" s="22" t="s">
        <v>1894</v>
      </c>
      <c r="M545" s="22" t="s">
        <v>4498</v>
      </c>
      <c r="N545" s="22" t="s">
        <v>4499</v>
      </c>
      <c r="O545" s="23" t="s">
        <v>4500</v>
      </c>
      <c r="P545" s="22" t="s">
        <v>48</v>
      </c>
      <c r="Q545" s="50" t="s">
        <v>198</v>
      </c>
      <c r="R545" s="22" t="s">
        <v>4501</v>
      </c>
      <c r="S545" s="22" t="s">
        <v>51</v>
      </c>
      <c r="T545" s="22" t="s">
        <v>52</v>
      </c>
      <c r="U545" s="22" t="s">
        <v>52</v>
      </c>
      <c r="V545" s="22" t="s">
        <v>52</v>
      </c>
      <c r="W545" s="18">
        <v>45944.0</v>
      </c>
      <c r="X545" s="20">
        <v>0.4166666666666667</v>
      </c>
      <c r="Y545" s="18">
        <v>45944.0</v>
      </c>
      <c r="Z545" s="20">
        <v>0.4583333333333333</v>
      </c>
      <c r="AA545" s="20">
        <v>0.4826388888888889</v>
      </c>
      <c r="AB545" s="54"/>
      <c r="AC545" s="54"/>
      <c r="AD545" s="77">
        <v>0.5416666666666666</v>
      </c>
      <c r="AE545" s="18">
        <v>45944.0</v>
      </c>
      <c r="AF545" s="22" t="s">
        <v>2730</v>
      </c>
      <c r="AG545" s="22" t="s">
        <v>78</v>
      </c>
      <c r="AH545" s="22" t="s">
        <v>4502</v>
      </c>
      <c r="AI545" s="62" t="str">
        <f>IFERROR(__xludf.DUMMYFUNCTION("IF(OR(W545="""",X545="""",AE545="""",AD545=""""),"""",
   TEXT(
     (
       (AE545+AD545 + IF(AE545+AD545 &lt; W545+X545,1,0)) - (W545+X545)
     )
     - IF(AND(AB545&lt;&gt;"""",AC545&lt;&gt;""""), 
          SUM(ARRAYFORMULA(SPLIT(AC545,"","") - SPLIT(AB545,"",""))"&amp;"), 
          0
       ),
     ""[hh]:mm""
   )
)
"),"03:00")</f>
        <v>03:00</v>
      </c>
      <c r="AJ545" s="27">
        <f t="shared" si="9"/>
        <v>0</v>
      </c>
      <c r="AK545" s="63" t="str">
        <f t="shared" si="10"/>
        <v>Pass</v>
      </c>
    </row>
    <row r="546">
      <c r="A546" s="18">
        <v>45940.0</v>
      </c>
      <c r="B546" s="20">
        <v>0.38819444444444445</v>
      </c>
      <c r="C546" s="18">
        <v>45940.0</v>
      </c>
      <c r="D546" s="20">
        <v>0.39166666666666666</v>
      </c>
      <c r="E546" s="22" t="s">
        <v>4503</v>
      </c>
      <c r="F546" s="22" t="s">
        <v>4234</v>
      </c>
      <c r="G546" s="22" t="s">
        <v>4235</v>
      </c>
      <c r="H546" s="22" t="s">
        <v>1450</v>
      </c>
      <c r="I546" s="22" t="s">
        <v>1178</v>
      </c>
      <c r="J546" s="22" t="s">
        <v>2655</v>
      </c>
      <c r="K546" s="22" t="s">
        <v>43</v>
      </c>
      <c r="L546" s="22" t="s">
        <v>4504</v>
      </c>
      <c r="M546" s="22">
        <v>2.01902250119E11</v>
      </c>
      <c r="N546" s="22" t="s">
        <v>4505</v>
      </c>
      <c r="O546" s="23" t="s">
        <v>4506</v>
      </c>
      <c r="P546" s="22" t="s">
        <v>75</v>
      </c>
      <c r="Q546" s="50" t="s">
        <v>65</v>
      </c>
      <c r="R546" s="22" t="s">
        <v>2887</v>
      </c>
      <c r="S546" s="22" t="s">
        <v>51</v>
      </c>
      <c r="T546" s="22" t="s">
        <v>2655</v>
      </c>
      <c r="U546" s="22">
        <v>2.02406280293E11</v>
      </c>
      <c r="V546" s="22">
        <v>2.01902250119E11</v>
      </c>
      <c r="W546" s="18">
        <v>45944.0</v>
      </c>
      <c r="X546" s="20">
        <v>0.2916666666666667</v>
      </c>
      <c r="Y546" s="18">
        <v>45944.0</v>
      </c>
      <c r="Z546" s="20">
        <v>0.46458333333333335</v>
      </c>
      <c r="AA546" s="20">
        <v>0.46805555555555556</v>
      </c>
      <c r="AB546" s="51">
        <v>0.4861111111111111</v>
      </c>
      <c r="AC546" s="51">
        <v>0.61875</v>
      </c>
      <c r="AD546" s="51">
        <v>0.7083333333333334</v>
      </c>
      <c r="AE546" s="18">
        <v>45944.0</v>
      </c>
      <c r="AF546" s="22" t="s">
        <v>2711</v>
      </c>
      <c r="AG546" s="22" t="s">
        <v>313</v>
      </c>
      <c r="AH546" s="22" t="s">
        <v>4507</v>
      </c>
      <c r="AI546" s="62" t="str">
        <f>IFERROR(__xludf.DUMMYFUNCTION("IF(OR(W546="""",X546="""",AE546="""",AD546=""""),"""",
   TEXT(
     (
       (AE546+AD546 + IF(AE546+AD546 &lt; W546+X546,1,0)) - (W546+X546)
     )
     - IF(AND(AB546&lt;&gt;"""",AC546&lt;&gt;""""), 
          SUM(ARRAYFORMULA(SPLIT(AC546,"","") - SPLIT(AB546,"",""))"&amp;"), 
          0
       ),
     ""[hh]:mm""
   )
)
"),"06:49")</f>
        <v>06:49</v>
      </c>
      <c r="AJ546" s="27">
        <f t="shared" si="9"/>
        <v>0</v>
      </c>
      <c r="AK546" s="63" t="str">
        <f t="shared" si="10"/>
        <v>Pass</v>
      </c>
    </row>
    <row r="547">
      <c r="A547" s="18">
        <v>45940.0</v>
      </c>
      <c r="B547" s="20">
        <v>0.4125</v>
      </c>
      <c r="C547" s="18">
        <v>45940.0</v>
      </c>
      <c r="D547" s="20">
        <v>0.4152777777777778</v>
      </c>
      <c r="E547" s="22" t="s">
        <v>4508</v>
      </c>
      <c r="F547" s="22" t="s">
        <v>4234</v>
      </c>
      <c r="G547" s="22" t="s">
        <v>4235</v>
      </c>
      <c r="H547" s="22" t="s">
        <v>1450</v>
      </c>
      <c r="I547" s="22" t="s">
        <v>1632</v>
      </c>
      <c r="J547" s="22" t="s">
        <v>2655</v>
      </c>
      <c r="K547" s="22" t="s">
        <v>43</v>
      </c>
      <c r="L547" s="22" t="s">
        <v>4509</v>
      </c>
      <c r="M547" s="22">
        <v>2.01902250189E11</v>
      </c>
      <c r="N547" s="22" t="s">
        <v>4510</v>
      </c>
      <c r="O547" s="23" t="s">
        <v>4511</v>
      </c>
      <c r="P547" s="22" t="s">
        <v>75</v>
      </c>
      <c r="Q547" s="50" t="s">
        <v>65</v>
      </c>
      <c r="R547" s="22" t="s">
        <v>2887</v>
      </c>
      <c r="S547" s="22" t="s">
        <v>51</v>
      </c>
      <c r="T547" s="22" t="s">
        <v>2655</v>
      </c>
      <c r="U547" s="22">
        <v>2.02406280444E11</v>
      </c>
      <c r="V547" s="22">
        <v>2.01902250189E11</v>
      </c>
      <c r="W547" s="18">
        <v>45944.0</v>
      </c>
      <c r="X547" s="20">
        <v>0.2916666666666667</v>
      </c>
      <c r="Y547" s="18">
        <v>45944.0</v>
      </c>
      <c r="Z547" s="20">
        <v>0.46458333333333335</v>
      </c>
      <c r="AA547" s="20">
        <v>0.47430555555555554</v>
      </c>
      <c r="AB547" s="51">
        <v>0.4861111111111111</v>
      </c>
      <c r="AC547" s="51">
        <v>0.61875</v>
      </c>
      <c r="AD547" s="51">
        <v>0.7083333333333334</v>
      </c>
      <c r="AE547" s="18">
        <v>45944.0</v>
      </c>
      <c r="AF547" s="22" t="s">
        <v>2711</v>
      </c>
      <c r="AG547" s="22" t="s">
        <v>313</v>
      </c>
      <c r="AH547" s="22" t="s">
        <v>4507</v>
      </c>
      <c r="AI547" s="62" t="str">
        <f>IFERROR(__xludf.DUMMYFUNCTION("IF(OR(W547="""",X547="""",AE547="""",AD547=""""),"""",
   TEXT(
     (
       (AE547+AD547 + IF(AE547+AD547 &lt; W547+X547,1,0)) - (W547+X547)
     )
     - IF(AND(AB547&lt;&gt;"""",AC547&lt;&gt;""""), 
          SUM(ARRAYFORMULA(SPLIT(AC547,"","") - SPLIT(AB547,"",""))"&amp;"), 
          0
       ),
     ""[hh]:mm""
   )
)
"),"06:49")</f>
        <v>06:49</v>
      </c>
      <c r="AJ547" s="27">
        <f t="shared" si="9"/>
        <v>0</v>
      </c>
      <c r="AK547" s="63" t="str">
        <f t="shared" si="10"/>
        <v>Pass</v>
      </c>
    </row>
    <row r="548">
      <c r="A548" s="18">
        <v>45940.0</v>
      </c>
      <c r="B548" s="20">
        <v>0.3958333333333333</v>
      </c>
      <c r="C548" s="18">
        <v>45940.0</v>
      </c>
      <c r="D548" s="20">
        <v>0.3958333333333333</v>
      </c>
      <c r="E548" s="22" t="s">
        <v>4512</v>
      </c>
      <c r="F548" s="22" t="s">
        <v>4234</v>
      </c>
      <c r="G548" s="22" t="s">
        <v>4235</v>
      </c>
      <c r="H548" s="22" t="s">
        <v>1638</v>
      </c>
      <c r="I548" s="22" t="s">
        <v>567</v>
      </c>
      <c r="J548" s="22" t="s">
        <v>567</v>
      </c>
      <c r="K548" s="22" t="s">
        <v>568</v>
      </c>
      <c r="L548" s="22" t="s">
        <v>4071</v>
      </c>
      <c r="M548" s="22" t="s">
        <v>4513</v>
      </c>
      <c r="N548" s="22" t="s">
        <v>4514</v>
      </c>
      <c r="O548" s="23" t="s">
        <v>4515</v>
      </c>
      <c r="P548" s="22" t="s">
        <v>48</v>
      </c>
      <c r="Q548" s="50" t="s">
        <v>198</v>
      </c>
      <c r="R548" s="22" t="s">
        <v>4516</v>
      </c>
      <c r="S548" s="22" t="s">
        <v>51</v>
      </c>
      <c r="T548" s="22" t="s">
        <v>52</v>
      </c>
      <c r="U548" s="22" t="s">
        <v>52</v>
      </c>
      <c r="V548" s="22" t="s">
        <v>52</v>
      </c>
      <c r="W548" s="18">
        <v>45944.0</v>
      </c>
      <c r="X548" s="20">
        <v>0.2916666666666667</v>
      </c>
      <c r="Y548" s="18">
        <v>45944.0</v>
      </c>
      <c r="Z548" s="20">
        <v>0.46458333333333335</v>
      </c>
      <c r="AA548" s="75">
        <v>0.54375</v>
      </c>
      <c r="AB548" s="51">
        <v>0.5</v>
      </c>
      <c r="AC548" s="51">
        <v>0.5416666666666666</v>
      </c>
      <c r="AD548" s="51">
        <v>0.7083333333333334</v>
      </c>
      <c r="AE548" s="18">
        <v>45944.0</v>
      </c>
      <c r="AF548" s="22" t="s">
        <v>2711</v>
      </c>
      <c r="AG548" s="22" t="s">
        <v>313</v>
      </c>
      <c r="AH548" s="22" t="s">
        <v>4507</v>
      </c>
      <c r="AI548" s="62" t="str">
        <f>IFERROR(__xludf.DUMMYFUNCTION("IF(OR(W548="""",X548="""",AE548="""",AD548=""""),"""",
   TEXT(
     (
       (AE548+AD548 + IF(AE548+AD548 &lt; W548+X548,1,0)) - (W548+X548)
     )
     - IF(AND(AB548&lt;&gt;"""",AC548&lt;&gt;""""), 
          SUM(ARRAYFORMULA(SPLIT(AC548,"","") - SPLIT(AB548,"",""))"&amp;"), 
          0
       ),
     ""[hh]:mm""
   )
)
"),"09:00")</f>
        <v>09:00</v>
      </c>
      <c r="AJ548" s="27">
        <f t="shared" si="9"/>
        <v>0</v>
      </c>
      <c r="AK548" s="63" t="str">
        <f t="shared" si="10"/>
        <v>Pass</v>
      </c>
    </row>
    <row r="549">
      <c r="A549" s="18">
        <v>45943.0</v>
      </c>
      <c r="B549" s="20">
        <v>0.6756944444444445</v>
      </c>
      <c r="C549" s="18">
        <v>45943.0</v>
      </c>
      <c r="D549" s="20">
        <v>0.6916666666666667</v>
      </c>
      <c r="E549" s="22" t="s">
        <v>4517</v>
      </c>
      <c r="F549" s="22" t="s">
        <v>444</v>
      </c>
      <c r="G549" s="22" t="s">
        <v>445</v>
      </c>
      <c r="H549" s="22" t="s">
        <v>1881</v>
      </c>
      <c r="I549" s="22" t="s">
        <v>95</v>
      </c>
      <c r="J549" s="22" t="s">
        <v>95</v>
      </c>
      <c r="K549" s="22" t="s">
        <v>333</v>
      </c>
      <c r="L549" s="22" t="s">
        <v>1441</v>
      </c>
      <c r="M549" s="22" t="s">
        <v>4518</v>
      </c>
      <c r="N549" s="22" t="s">
        <v>4519</v>
      </c>
      <c r="O549" s="23" t="s">
        <v>4520</v>
      </c>
      <c r="P549" s="22" t="s">
        <v>187</v>
      </c>
      <c r="Q549" s="50" t="s">
        <v>65</v>
      </c>
      <c r="R549" s="22" t="s">
        <v>4521</v>
      </c>
      <c r="S549" s="22" t="s">
        <v>51</v>
      </c>
      <c r="T549" s="22" t="s">
        <v>52</v>
      </c>
      <c r="U549" s="22" t="s">
        <v>52</v>
      </c>
      <c r="V549" s="22" t="s">
        <v>52</v>
      </c>
      <c r="W549" s="18">
        <v>45944.0</v>
      </c>
      <c r="X549" s="20">
        <v>0.375</v>
      </c>
      <c r="Y549" s="18">
        <v>45944.0</v>
      </c>
      <c r="Z549" s="20">
        <v>0.4097222222222222</v>
      </c>
      <c r="AA549" s="20">
        <v>0.41180555555555554</v>
      </c>
      <c r="AB549" s="54"/>
      <c r="AC549" s="54"/>
      <c r="AD549" s="51">
        <v>0.4583333333333333</v>
      </c>
      <c r="AE549" s="18">
        <v>45944.0</v>
      </c>
      <c r="AF549" s="22" t="s">
        <v>2711</v>
      </c>
      <c r="AG549" s="22" t="s">
        <v>3197</v>
      </c>
      <c r="AH549" s="22" t="s">
        <v>4522</v>
      </c>
      <c r="AI549" s="62" t="str">
        <f>IFERROR(__xludf.DUMMYFUNCTION("IF(OR(W549="""",X549="""",AE549="""",AD549=""""),"""",
   TEXT(
     (
       (AE549+AD549 + IF(AE549+AD549 &lt; W549+X549,1,0)) - (W549+X549)
     )
     - IF(AND(AB549&lt;&gt;"""",AC549&lt;&gt;""""), 
          SUM(ARRAYFORMULA(SPLIT(AC549,"","") - SPLIT(AB549,"",""))"&amp;"), 
          0
       ),
     ""[hh]:mm""
   )
)
"),"02:00")</f>
        <v>02:00</v>
      </c>
      <c r="AJ549" s="27">
        <f t="shared" si="9"/>
        <v>0</v>
      </c>
      <c r="AK549" s="63" t="str">
        <f t="shared" si="10"/>
        <v>Pass</v>
      </c>
    </row>
    <row r="550">
      <c r="A550" s="18">
        <v>45944.0</v>
      </c>
      <c r="B550" s="20">
        <v>0.08333333333333333</v>
      </c>
      <c r="C550" s="18">
        <v>45944.0</v>
      </c>
      <c r="D550" s="20">
        <v>0.34375</v>
      </c>
      <c r="E550" s="22" t="s">
        <v>4523</v>
      </c>
      <c r="F550" s="22" t="s">
        <v>2167</v>
      </c>
      <c r="G550" s="22" t="s">
        <v>2168</v>
      </c>
      <c r="H550" s="22" t="s">
        <v>59</v>
      </c>
      <c r="I550" s="22" t="s">
        <v>131</v>
      </c>
      <c r="J550" s="22" t="s">
        <v>2253</v>
      </c>
      <c r="K550" s="22" t="s">
        <v>43</v>
      </c>
      <c r="L550" s="22" t="s">
        <v>805</v>
      </c>
      <c r="M550" s="22" t="s">
        <v>4524</v>
      </c>
      <c r="N550" s="22" t="s">
        <v>4525</v>
      </c>
      <c r="O550" s="23" t="s">
        <v>4526</v>
      </c>
      <c r="P550" s="22" t="s">
        <v>75</v>
      </c>
      <c r="Q550" s="50" t="s">
        <v>65</v>
      </c>
      <c r="R550" s="22" t="s">
        <v>4527</v>
      </c>
      <c r="S550" s="22" t="s">
        <v>51</v>
      </c>
      <c r="T550" s="22" t="s">
        <v>52</v>
      </c>
      <c r="U550" s="22" t="s">
        <v>52</v>
      </c>
      <c r="V550" s="22" t="s">
        <v>52</v>
      </c>
      <c r="W550" s="18">
        <v>45944.0</v>
      </c>
      <c r="X550" s="20">
        <v>0.375</v>
      </c>
      <c r="Y550" s="18">
        <v>45944.0</v>
      </c>
      <c r="Z550" s="20">
        <v>0.40347222222222223</v>
      </c>
      <c r="AA550" s="20">
        <v>0.4166666666666667</v>
      </c>
      <c r="AB550" s="54"/>
      <c r="AC550" s="54"/>
      <c r="AD550" s="51">
        <v>0.4652777777777778</v>
      </c>
      <c r="AE550" s="18">
        <v>45944.0</v>
      </c>
      <c r="AF550" s="22" t="s">
        <v>2828</v>
      </c>
      <c r="AG550" s="22" t="s">
        <v>583</v>
      </c>
      <c r="AH550" s="22" t="s">
        <v>4528</v>
      </c>
      <c r="AI550" s="62" t="str">
        <f>IFERROR(__xludf.DUMMYFUNCTION("IF(OR(W550="""",X550="""",AE550="""",AD550=""""),"""",
   TEXT(
     (
       (AE550+AD550 + IF(AE550+AD550 &lt; W550+X550,1,0)) - (W550+X550)
     )
     - IF(AND(AB550&lt;&gt;"""",AC550&lt;&gt;""""), 
          SUM(ARRAYFORMULA(SPLIT(AC550,"","") - SPLIT(AB550,"",""))"&amp;"), 
          0
       ),
     ""[hh]:mm""
   )
)
"),"02:10")</f>
        <v>02:10</v>
      </c>
      <c r="AJ550" s="27">
        <f t="shared" si="9"/>
        <v>0</v>
      </c>
      <c r="AK550" s="63" t="str">
        <f t="shared" si="10"/>
        <v>Pass</v>
      </c>
    </row>
    <row r="551">
      <c r="A551" s="18">
        <v>45944.0</v>
      </c>
      <c r="B551" s="20">
        <v>0.49236111111111114</v>
      </c>
      <c r="C551" s="18">
        <v>45944.0</v>
      </c>
      <c r="D551" s="20">
        <v>0.4951388888888889</v>
      </c>
      <c r="E551" s="22" t="s">
        <v>4529</v>
      </c>
      <c r="F551" s="22" t="s">
        <v>726</v>
      </c>
      <c r="G551" s="22" t="s">
        <v>727</v>
      </c>
      <c r="H551" s="22" t="s">
        <v>566</v>
      </c>
      <c r="I551" s="22" t="s">
        <v>815</v>
      </c>
      <c r="J551" s="22" t="s">
        <v>1084</v>
      </c>
      <c r="K551" s="22" t="s">
        <v>1085</v>
      </c>
      <c r="L551" s="22" t="s">
        <v>4530</v>
      </c>
      <c r="M551" s="22" t="s">
        <v>4531</v>
      </c>
      <c r="N551" s="22" t="s">
        <v>4532</v>
      </c>
      <c r="O551" s="23" t="s">
        <v>4533</v>
      </c>
      <c r="P551" s="22" t="s">
        <v>48</v>
      </c>
      <c r="Q551" s="50" t="s">
        <v>198</v>
      </c>
      <c r="R551" s="22" t="s">
        <v>4534</v>
      </c>
      <c r="S551" s="22" t="s">
        <v>51</v>
      </c>
      <c r="T551" s="22" t="s">
        <v>52</v>
      </c>
      <c r="U551" s="22" t="s">
        <v>52</v>
      </c>
      <c r="V551" s="22" t="s">
        <v>52</v>
      </c>
      <c r="W551" s="18">
        <v>45944.0</v>
      </c>
      <c r="X551" s="20">
        <v>0.4951388888888889</v>
      </c>
      <c r="Y551" s="18">
        <v>45944.0</v>
      </c>
      <c r="Z551" s="20">
        <v>0.6194444444444445</v>
      </c>
      <c r="AA551" s="20">
        <v>0.6243055555555556</v>
      </c>
      <c r="AB551" s="54"/>
      <c r="AC551" s="54"/>
      <c r="AD551" s="51">
        <v>0.6388888888888888</v>
      </c>
      <c r="AE551" s="18">
        <v>45944.0</v>
      </c>
      <c r="AF551" s="22" t="s">
        <v>2918</v>
      </c>
      <c r="AG551" s="22" t="s">
        <v>239</v>
      </c>
      <c r="AH551" s="22" t="s">
        <v>4535</v>
      </c>
      <c r="AI551" s="62" t="str">
        <f>IFERROR(__xludf.DUMMYFUNCTION("IF(OR(W551="""",X551="""",AE551="""",AD551=""""),"""",
   TEXT(
     (
       (AE551+AD551 + IF(AE551+AD551 &lt; W551+X551,1,0)) - (W551+X551)
     )
     - IF(AND(AB551&lt;&gt;"""",AC551&lt;&gt;""""), 
          SUM(ARRAYFORMULA(SPLIT(AC551,"","") - SPLIT(AB551,"",""))"&amp;"), 
          0
       ),
     ""[hh]:mm""
   )
)
"),"03:27")</f>
        <v>03:27</v>
      </c>
      <c r="AJ551" s="27">
        <f t="shared" si="9"/>
        <v>0</v>
      </c>
      <c r="AK551" s="63" t="str">
        <f t="shared" si="10"/>
        <v>Pass</v>
      </c>
    </row>
    <row r="552">
      <c r="A552" s="18">
        <v>45944.0</v>
      </c>
      <c r="B552" s="20">
        <v>0.5354166666666667</v>
      </c>
      <c r="C552" s="18">
        <v>45944.0</v>
      </c>
      <c r="D552" s="20">
        <v>0.5368055555555555</v>
      </c>
      <c r="E552" s="22" t="s">
        <v>4536</v>
      </c>
      <c r="F552" s="22" t="s">
        <v>1008</v>
      </c>
      <c r="G552" s="22" t="s">
        <v>1009</v>
      </c>
      <c r="H552" s="22" t="s">
        <v>253</v>
      </c>
      <c r="I552" s="22" t="s">
        <v>60</v>
      </c>
      <c r="J552" s="22" t="s">
        <v>3813</v>
      </c>
      <c r="K552" s="22" t="s">
        <v>61</v>
      </c>
      <c r="L552" s="22" t="s">
        <v>183</v>
      </c>
      <c r="M552" s="22" t="s">
        <v>4537</v>
      </c>
      <c r="N552" s="22" t="s">
        <v>4538</v>
      </c>
      <c r="O552" s="23" t="s">
        <v>4539</v>
      </c>
      <c r="P552" s="22" t="s">
        <v>75</v>
      </c>
      <c r="Q552" s="50" t="s">
        <v>198</v>
      </c>
      <c r="R552" s="22" t="s">
        <v>4540</v>
      </c>
      <c r="S552" s="22" t="s">
        <v>51</v>
      </c>
      <c r="T552" s="22" t="s">
        <v>52</v>
      </c>
      <c r="U552" s="22" t="s">
        <v>52</v>
      </c>
      <c r="V552" s="22" t="s">
        <v>52</v>
      </c>
      <c r="W552" s="18">
        <v>45944.0</v>
      </c>
      <c r="X552" s="20">
        <v>0.5368055555555555</v>
      </c>
      <c r="Y552" s="18">
        <v>45944.0</v>
      </c>
      <c r="Z552" s="20">
        <v>0.6138888888888889</v>
      </c>
      <c r="AA552" s="20">
        <v>0.6145833333333334</v>
      </c>
      <c r="AB552" s="54"/>
      <c r="AC552" s="54"/>
      <c r="AD552" s="51">
        <v>0.65625</v>
      </c>
      <c r="AE552" s="18">
        <v>45944.0</v>
      </c>
      <c r="AF552" s="22" t="s">
        <v>2711</v>
      </c>
      <c r="AG552" s="22" t="s">
        <v>4541</v>
      </c>
      <c r="AH552" s="22" t="s">
        <v>4542</v>
      </c>
      <c r="AI552" s="62" t="str">
        <f>IFERROR(__xludf.DUMMYFUNCTION("IF(OR(W552="""",X552="""",AE552="""",AD552=""""),"""",
   TEXT(
     (
       (AE552+AD552 + IF(AE552+AD552 &lt; W552+X552,1,0)) - (W552+X552)
     )
     - IF(AND(AB552&lt;&gt;"""",AC552&lt;&gt;""""), 
          SUM(ARRAYFORMULA(SPLIT(AC552,"","") - SPLIT(AB552,"",""))"&amp;"), 
          0
       ),
     ""[hh]:mm""
   )
)
"),"02:52")</f>
        <v>02:52</v>
      </c>
      <c r="AJ552" s="27">
        <f t="shared" si="9"/>
        <v>0</v>
      </c>
      <c r="AK552" s="63" t="str">
        <f t="shared" si="10"/>
        <v>Pass</v>
      </c>
    </row>
    <row r="553">
      <c r="A553" s="18">
        <v>45944.0</v>
      </c>
      <c r="B553" s="20">
        <v>0.6055555555555555</v>
      </c>
      <c r="C553" s="18">
        <v>45944.0</v>
      </c>
      <c r="D553" s="20">
        <v>0.6069444444444444</v>
      </c>
      <c r="E553" s="22" t="s">
        <v>4543</v>
      </c>
      <c r="F553" s="22" t="s">
        <v>4079</v>
      </c>
      <c r="G553" s="22" t="s">
        <v>4080</v>
      </c>
      <c r="H553" s="22" t="s">
        <v>377</v>
      </c>
      <c r="I553" s="22" t="s">
        <v>234</v>
      </c>
      <c r="J553" s="22" t="s">
        <v>3813</v>
      </c>
      <c r="K553" s="22" t="s">
        <v>61</v>
      </c>
      <c r="L553" s="22" t="s">
        <v>183</v>
      </c>
      <c r="M553" s="22" t="s">
        <v>4544</v>
      </c>
      <c r="N553" s="22" t="s">
        <v>4545</v>
      </c>
      <c r="O553" s="23" t="s">
        <v>4546</v>
      </c>
      <c r="P553" s="22" t="s">
        <v>75</v>
      </c>
      <c r="Q553" s="50" t="s">
        <v>65</v>
      </c>
      <c r="R553" s="22" t="s">
        <v>4547</v>
      </c>
      <c r="S553" s="22" t="s">
        <v>51</v>
      </c>
      <c r="T553" s="22" t="s">
        <v>52</v>
      </c>
      <c r="U553" s="22" t="s">
        <v>52</v>
      </c>
      <c r="V553" s="22" t="s">
        <v>52</v>
      </c>
      <c r="W553" s="18">
        <v>45944.0</v>
      </c>
      <c r="X553" s="20">
        <v>0.6069444444444444</v>
      </c>
      <c r="Y553" s="18">
        <v>45944.0</v>
      </c>
      <c r="Z553" s="20">
        <v>0.6277777777777778</v>
      </c>
      <c r="AA553" s="20">
        <v>0.6291666666666667</v>
      </c>
      <c r="AB553" s="54"/>
      <c r="AC553" s="54"/>
      <c r="AD553" s="51">
        <v>0.6458333333333334</v>
      </c>
      <c r="AE553" s="18">
        <v>45944.0</v>
      </c>
      <c r="AF553" s="22" t="s">
        <v>2931</v>
      </c>
      <c r="AG553" s="22" t="s">
        <v>848</v>
      </c>
      <c r="AH553" s="22" t="s">
        <v>4548</v>
      </c>
      <c r="AI553" s="62" t="str">
        <f>IFERROR(__xludf.DUMMYFUNCTION("IF(OR(W553="""",X553="""",AE553="""",AD553=""""),"""",
   TEXT(
     (
       (AE553+AD553 + IF(AE553+AD553 &lt; W553+X553,1,0)) - (W553+X553)
     )
     - IF(AND(AB553&lt;&gt;"""",AC553&lt;&gt;""""), 
          SUM(ARRAYFORMULA(SPLIT(AC553,"","") - SPLIT(AB553,"",""))"&amp;"), 
          0
       ),
     ""[hh]:mm""
   )
)
"),"00:56")</f>
        <v>00:56</v>
      </c>
      <c r="AJ553" s="27">
        <f t="shared" si="9"/>
        <v>0</v>
      </c>
      <c r="AK553" s="63" t="str">
        <f t="shared" si="10"/>
        <v>Pass</v>
      </c>
    </row>
    <row r="554">
      <c r="A554" s="18">
        <v>45944.0</v>
      </c>
      <c r="B554" s="20">
        <v>0.5666666666666667</v>
      </c>
      <c r="C554" s="18">
        <v>45944.0</v>
      </c>
      <c r="D554" s="20">
        <v>0.5826388888888889</v>
      </c>
      <c r="E554" s="22" t="s">
        <v>4549</v>
      </c>
      <c r="F554" s="22" t="s">
        <v>251</v>
      </c>
      <c r="G554" s="22" t="s">
        <v>1717</v>
      </c>
      <c r="H554" s="22" t="s">
        <v>244</v>
      </c>
      <c r="I554" s="22" t="s">
        <v>234</v>
      </c>
      <c r="J554" s="22" t="s">
        <v>3806</v>
      </c>
      <c r="K554" s="22" t="s">
        <v>43</v>
      </c>
      <c r="L554" s="22" t="s">
        <v>52</v>
      </c>
      <c r="M554" s="22" t="s">
        <v>4550</v>
      </c>
      <c r="N554" s="22" t="s">
        <v>4551</v>
      </c>
      <c r="O554" s="23" t="s">
        <v>4552</v>
      </c>
      <c r="P554" s="22" t="s">
        <v>75</v>
      </c>
      <c r="Q554" s="50" t="s">
        <v>65</v>
      </c>
      <c r="R554" s="22" t="s">
        <v>4553</v>
      </c>
      <c r="S554" s="22" t="s">
        <v>51</v>
      </c>
      <c r="T554" s="22" t="s">
        <v>52</v>
      </c>
      <c r="U554" s="22" t="s">
        <v>52</v>
      </c>
      <c r="V554" s="22" t="s">
        <v>52</v>
      </c>
      <c r="W554" s="18">
        <v>45944.0</v>
      </c>
      <c r="X554" s="20">
        <v>0.5826388888888889</v>
      </c>
      <c r="Y554" s="18">
        <v>45944.0</v>
      </c>
      <c r="Z554" s="20">
        <v>0.79375</v>
      </c>
      <c r="AA554" s="20">
        <v>0.7965277777777777</v>
      </c>
      <c r="AB554" s="54"/>
      <c r="AC554" s="54"/>
      <c r="AD554" s="51">
        <v>0.8090277777777778</v>
      </c>
      <c r="AE554" s="18">
        <v>45944.0</v>
      </c>
      <c r="AF554" s="22" t="s">
        <v>2744</v>
      </c>
      <c r="AG554" s="22" t="s">
        <v>313</v>
      </c>
      <c r="AH554" s="22" t="s">
        <v>1859</v>
      </c>
      <c r="AI554" s="62" t="str">
        <f>IFERROR(__xludf.DUMMYFUNCTION("IF(OR(W554="""",X554="""",AE554="""",AD554=""""),"""",
   TEXT(
     (
       (AE554+AD554 + IF(AE554+AD554 &lt; W554+X554,1,0)) - (W554+X554)
     )
     - IF(AND(AB554&lt;&gt;"""",AC554&lt;&gt;""""), 
          SUM(ARRAYFORMULA(SPLIT(AC554,"","") - SPLIT(AB554,"",""))"&amp;"), 
          0
       ),
     ""[hh]:mm""
   )
)
"),"05:26")</f>
        <v>05:26</v>
      </c>
      <c r="AJ554" s="27">
        <f t="shared" si="9"/>
        <v>0</v>
      </c>
      <c r="AK554" s="63" t="str">
        <f t="shared" si="10"/>
        <v>Pass</v>
      </c>
    </row>
    <row r="555">
      <c r="A555" s="18">
        <v>45944.0</v>
      </c>
      <c r="B555" s="20">
        <v>0.7416666666666667</v>
      </c>
      <c r="C555" s="18">
        <v>45944.0</v>
      </c>
      <c r="D555" s="20">
        <v>0.7520833333333333</v>
      </c>
      <c r="E555" s="22" t="s">
        <v>4554</v>
      </c>
      <c r="F555" s="22" t="s">
        <v>4555</v>
      </c>
      <c r="G555" s="22" t="s">
        <v>4556</v>
      </c>
      <c r="H555" s="22" t="s">
        <v>1881</v>
      </c>
      <c r="I555" s="22" t="s">
        <v>644</v>
      </c>
      <c r="J555" s="22" t="s">
        <v>644</v>
      </c>
      <c r="K555" s="22" t="s">
        <v>386</v>
      </c>
      <c r="L555" s="22" t="s">
        <v>4557</v>
      </c>
      <c r="M555" s="22" t="s">
        <v>4558</v>
      </c>
      <c r="N555" s="22" t="s">
        <v>1882</v>
      </c>
      <c r="O555" s="23" t="s">
        <v>4559</v>
      </c>
      <c r="P555" s="22" t="s">
        <v>187</v>
      </c>
      <c r="Q555" s="50" t="s">
        <v>65</v>
      </c>
      <c r="R555" s="22" t="s">
        <v>2482</v>
      </c>
      <c r="S555" s="22" t="s">
        <v>51</v>
      </c>
      <c r="T555" s="22" t="s">
        <v>52</v>
      </c>
      <c r="U555" s="22" t="s">
        <v>52</v>
      </c>
      <c r="V555" s="22" t="s">
        <v>52</v>
      </c>
      <c r="W555" s="18">
        <v>45944.0</v>
      </c>
      <c r="X555" s="20">
        <v>0.7520833333333333</v>
      </c>
      <c r="Y555" s="18">
        <v>45944.0</v>
      </c>
      <c r="Z555" s="20">
        <v>0.7638888888888888</v>
      </c>
      <c r="AA555" s="20">
        <v>0.7673611111111112</v>
      </c>
      <c r="AB555" s="54"/>
      <c r="AC555" s="54"/>
      <c r="AD555" s="51">
        <v>0.7861111111111111</v>
      </c>
      <c r="AE555" s="18">
        <v>45944.0</v>
      </c>
      <c r="AF555" s="22" t="s">
        <v>2839</v>
      </c>
      <c r="AG555" s="22" t="s">
        <v>593</v>
      </c>
      <c r="AH555" s="22" t="s">
        <v>4560</v>
      </c>
      <c r="AI555" s="62" t="str">
        <f>IFERROR(__xludf.DUMMYFUNCTION("IF(OR(W555="""",X555="""",AE555="""",AD555=""""),"""",
   TEXT(
     (
       (AE555+AD555 + IF(AE555+AD555 &lt; W555+X555,1,0)) - (W555+X555)
     )
     - IF(AND(AB555&lt;&gt;"""",AC555&lt;&gt;""""), 
          SUM(ARRAYFORMULA(SPLIT(AC555,"","") - SPLIT(AB555,"",""))"&amp;"), 
          0
       ),
     ""[hh]:mm""
   )
)
"),"00:49")</f>
        <v>00:49</v>
      </c>
      <c r="AJ555" s="27">
        <f t="shared" si="9"/>
        <v>0</v>
      </c>
      <c r="AK555" s="63" t="str">
        <f t="shared" si="10"/>
        <v>Pass</v>
      </c>
    </row>
    <row r="556">
      <c r="A556" s="45">
        <v>45944.0</v>
      </c>
      <c r="B556" s="49">
        <v>0.7847222222222222</v>
      </c>
      <c r="C556" s="45">
        <v>45944.0</v>
      </c>
      <c r="D556" s="49">
        <v>0.8083333333333333</v>
      </c>
      <c r="E556" s="21" t="s">
        <v>4561</v>
      </c>
      <c r="F556" s="21" t="s">
        <v>882</v>
      </c>
      <c r="G556" s="21" t="s">
        <v>883</v>
      </c>
      <c r="H556" s="21" t="s">
        <v>566</v>
      </c>
      <c r="I556" s="21" t="s">
        <v>644</v>
      </c>
      <c r="J556" s="21" t="s">
        <v>644</v>
      </c>
      <c r="K556" s="21" t="s">
        <v>143</v>
      </c>
      <c r="L556" s="21" t="s">
        <v>4562</v>
      </c>
      <c r="M556" s="21" t="s">
        <v>4563</v>
      </c>
      <c r="N556" s="21" t="s">
        <v>4564</v>
      </c>
      <c r="O556" s="48" t="s">
        <v>4565</v>
      </c>
      <c r="P556" s="21" t="s">
        <v>48</v>
      </c>
      <c r="Q556" s="24" t="s">
        <v>65</v>
      </c>
      <c r="R556" s="21" t="s">
        <v>4566</v>
      </c>
      <c r="S556" s="21" t="s">
        <v>51</v>
      </c>
      <c r="T556" s="21" t="s">
        <v>52</v>
      </c>
      <c r="U556" s="21" t="s">
        <v>52</v>
      </c>
      <c r="V556" s="21" t="s">
        <v>52</v>
      </c>
      <c r="W556" s="45">
        <v>45944.0</v>
      </c>
      <c r="X556" s="49">
        <v>0.8083333333333333</v>
      </c>
      <c r="Y556" s="45">
        <v>45944.0</v>
      </c>
      <c r="Z556" s="49">
        <v>0.8659722222222223</v>
      </c>
      <c r="AA556" s="49">
        <v>0.8715277777777778</v>
      </c>
      <c r="AB556" s="29"/>
      <c r="AC556" s="29"/>
      <c r="AD556" s="25">
        <v>0.9375</v>
      </c>
      <c r="AE556" s="45">
        <v>45944.0</v>
      </c>
      <c r="AF556" s="21" t="s">
        <v>2931</v>
      </c>
      <c r="AG556" s="21" t="s">
        <v>2086</v>
      </c>
      <c r="AH556" s="21" t="s">
        <v>4567</v>
      </c>
      <c r="AI556" s="62" t="str">
        <f>IFERROR(__xludf.DUMMYFUNCTION("IF(OR(W556="""",X556="""",AE556="""",AD556=""""),"""",
   TEXT(
     (
       (AE556+AD556 + IF(AE556+AD556 &lt; W556+X556,1,0)) - (W556+X556)
     )
     - IF(AND(AB556&lt;&gt;"""",AC556&lt;&gt;""""), 
          SUM(ARRAYFORMULA(SPLIT(AC556,"","") - SPLIT(AB556,"",""))"&amp;"), 
          0
       ),
     ""[hh]:mm""
   )
)
"),"03:06")</f>
        <v>03:06</v>
      </c>
      <c r="AJ556" s="27">
        <f t="shared" si="9"/>
        <v>0</v>
      </c>
      <c r="AK556" s="63" t="str">
        <f t="shared" si="10"/>
        <v>Pass</v>
      </c>
    </row>
    <row r="557">
      <c r="A557" s="45">
        <v>45944.0</v>
      </c>
      <c r="B557" s="49">
        <v>0.8520833333333333</v>
      </c>
      <c r="C557" s="45">
        <v>45944.0</v>
      </c>
      <c r="D557" s="49">
        <v>0.8555555555555555</v>
      </c>
      <c r="E557" s="21" t="s">
        <v>4568</v>
      </c>
      <c r="F557" s="21" t="s">
        <v>3707</v>
      </c>
      <c r="G557" s="21" t="s">
        <v>3708</v>
      </c>
      <c r="H557" s="21" t="s">
        <v>566</v>
      </c>
      <c r="I557" s="21" t="s">
        <v>234</v>
      </c>
      <c r="J557" s="21" t="s">
        <v>3813</v>
      </c>
      <c r="K557" s="21" t="s">
        <v>61</v>
      </c>
      <c r="L557" s="21" t="s">
        <v>183</v>
      </c>
      <c r="M557" s="21" t="s">
        <v>4569</v>
      </c>
      <c r="N557" s="21" t="s">
        <v>4570</v>
      </c>
      <c r="O557" s="48" t="s">
        <v>4571</v>
      </c>
      <c r="P557" s="21" t="s">
        <v>48</v>
      </c>
      <c r="Q557" s="24" t="s">
        <v>65</v>
      </c>
      <c r="R557" s="21" t="s">
        <v>4572</v>
      </c>
      <c r="S557" s="21" t="s">
        <v>51</v>
      </c>
      <c r="T557" s="21" t="s">
        <v>52</v>
      </c>
      <c r="U557" s="21" t="s">
        <v>52</v>
      </c>
      <c r="V557" s="21" t="s">
        <v>52</v>
      </c>
      <c r="W557" s="45">
        <v>45944.0</v>
      </c>
      <c r="X557" s="49">
        <v>0.8555555555555555</v>
      </c>
      <c r="Y557" s="45">
        <v>45944.0</v>
      </c>
      <c r="Z557" s="49">
        <v>0.9145833333333333</v>
      </c>
      <c r="AA557" s="49">
        <v>0.9166666666666666</v>
      </c>
      <c r="AB557" s="29"/>
      <c r="AC557" s="29"/>
      <c r="AD557" s="25">
        <v>0.0</v>
      </c>
      <c r="AE557" s="45">
        <v>45945.0</v>
      </c>
      <c r="AF557" s="21" t="s">
        <v>2744</v>
      </c>
      <c r="AG557" s="21" t="s">
        <v>239</v>
      </c>
      <c r="AH557" s="21" t="s">
        <v>4573</v>
      </c>
      <c r="AI557" s="62" t="str">
        <f>IFERROR(__xludf.DUMMYFUNCTION("IF(OR(W557="""",X557="""",AE557="""",AD557=""""),"""",
   TEXT(
     (
       (AE557+AD557 + IF(AE557+AD557 &lt; W557+X557,1,0)) - (W557+X557)
     )
     - IF(AND(AB557&lt;&gt;"""",AC557&lt;&gt;""""), 
          SUM(ARRAYFORMULA(SPLIT(AC557,"","") - SPLIT(AB557,"",""))"&amp;"), 
          0
       ),
     ""[hh]:mm""
   )
)
"),"03:28")</f>
        <v>03:28</v>
      </c>
      <c r="AJ557" s="27">
        <f t="shared" si="9"/>
        <v>0</v>
      </c>
      <c r="AK557" s="63" t="str">
        <f t="shared" si="10"/>
        <v>Pass</v>
      </c>
    </row>
    <row r="558">
      <c r="A558" s="45">
        <v>45944.0</v>
      </c>
      <c r="B558" s="49">
        <v>0.5798611111111112</v>
      </c>
      <c r="C558" s="45">
        <v>45944.0</v>
      </c>
      <c r="D558" s="49">
        <v>0.5840277777777778</v>
      </c>
      <c r="E558" s="21" t="s">
        <v>4574</v>
      </c>
      <c r="F558" s="21" t="s">
        <v>3221</v>
      </c>
      <c r="G558" s="21" t="s">
        <v>3222</v>
      </c>
      <c r="H558" s="21" t="s">
        <v>566</v>
      </c>
      <c r="I558" s="47"/>
      <c r="J558" s="21" t="s">
        <v>1084</v>
      </c>
      <c r="K558" s="21" t="s">
        <v>857</v>
      </c>
      <c r="L558" s="21" t="s">
        <v>4575</v>
      </c>
      <c r="M558" s="21" t="s">
        <v>4576</v>
      </c>
      <c r="N558" s="21" t="s">
        <v>4577</v>
      </c>
      <c r="O558" s="48" t="s">
        <v>4578</v>
      </c>
      <c r="P558" s="21" t="s">
        <v>48</v>
      </c>
      <c r="Q558" s="24" t="s">
        <v>49</v>
      </c>
      <c r="R558" s="21" t="s">
        <v>4579</v>
      </c>
      <c r="S558" s="21" t="s">
        <v>51</v>
      </c>
      <c r="T558" s="21" t="s">
        <v>52</v>
      </c>
      <c r="U558" s="21" t="s">
        <v>52</v>
      </c>
      <c r="V558" s="21" t="s">
        <v>52</v>
      </c>
      <c r="W558" s="45">
        <v>45945.0</v>
      </c>
      <c r="X558" s="49">
        <v>0.4166666666666667</v>
      </c>
      <c r="Y558" s="45">
        <v>45945.0</v>
      </c>
      <c r="Z558" s="49">
        <v>0.5</v>
      </c>
      <c r="AA558" s="49">
        <v>0.5208333333333334</v>
      </c>
      <c r="AB558" s="25">
        <v>0.53125</v>
      </c>
      <c r="AC558" s="25">
        <v>0.5555555555555556</v>
      </c>
      <c r="AD558" s="25">
        <v>0.6041666666666666</v>
      </c>
      <c r="AE558" s="45">
        <v>45945.0</v>
      </c>
      <c r="AF558" s="21" t="s">
        <v>2918</v>
      </c>
      <c r="AG558" s="21" t="s">
        <v>78</v>
      </c>
      <c r="AH558" s="21" t="s">
        <v>3230</v>
      </c>
      <c r="AI558" s="62" t="str">
        <f>IFERROR(__xludf.DUMMYFUNCTION("IF(OR(W558="""",X558="""",AE558="""",AD558=""""),"""",
   TEXT(
     (
       (AE558+AD558 + IF(AE558+AD558 &lt; W558+X558,1,0)) - (W558+X558)
     )
     - IF(AND(AB558&lt;&gt;"""",AC558&lt;&gt;""""), 
          SUM(ARRAYFORMULA(SPLIT(AC558,"","") - SPLIT(AB558,"",""))"&amp;"), 
          0
       ),
     ""[hh]:mm""
   )
)
"),"03:55")</f>
        <v>03:55</v>
      </c>
      <c r="AJ558" s="27">
        <f t="shared" si="9"/>
        <v>0</v>
      </c>
      <c r="AK558" s="63" t="str">
        <f t="shared" si="10"/>
        <v>Pass</v>
      </c>
    </row>
    <row r="559">
      <c r="A559" s="45">
        <v>45944.0</v>
      </c>
      <c r="B559" s="49">
        <v>0.8027777777777778</v>
      </c>
      <c r="C559" s="45">
        <v>45944.0</v>
      </c>
      <c r="D559" s="49">
        <v>0.8090277777777778</v>
      </c>
      <c r="E559" s="21" t="s">
        <v>4580</v>
      </c>
      <c r="F559" s="21" t="s">
        <v>4581</v>
      </c>
      <c r="G559" s="21" t="s">
        <v>4582</v>
      </c>
      <c r="H559" s="21" t="s">
        <v>746</v>
      </c>
      <c r="I559" s="21" t="s">
        <v>1135</v>
      </c>
      <c r="J559" s="21" t="s">
        <v>3813</v>
      </c>
      <c r="K559" s="21" t="s">
        <v>61</v>
      </c>
      <c r="L559" s="21" t="s">
        <v>84</v>
      </c>
      <c r="M559" s="21" t="s">
        <v>4583</v>
      </c>
      <c r="N559" s="21" t="s">
        <v>4584</v>
      </c>
      <c r="O559" s="48" t="s">
        <v>4585</v>
      </c>
      <c r="P559" s="21" t="s">
        <v>75</v>
      </c>
      <c r="Q559" s="24" t="s">
        <v>65</v>
      </c>
      <c r="R559" s="21" t="s">
        <v>4586</v>
      </c>
      <c r="S559" s="21" t="s">
        <v>51</v>
      </c>
      <c r="T559" s="21" t="s">
        <v>4587</v>
      </c>
      <c r="U559" s="21" t="s">
        <v>52</v>
      </c>
      <c r="V559" s="21" t="s">
        <v>52</v>
      </c>
      <c r="W559" s="45">
        <v>45945.0</v>
      </c>
      <c r="X559" s="49">
        <v>0.3784722222222222</v>
      </c>
      <c r="Y559" s="45">
        <v>45945.0</v>
      </c>
      <c r="Z559" s="49">
        <v>0.4791666666666667</v>
      </c>
      <c r="AA559" s="49">
        <v>0.4861111111111111</v>
      </c>
      <c r="AB559" s="25">
        <v>0.4895833333333333</v>
      </c>
      <c r="AC559" s="25">
        <v>0.6076388888888888</v>
      </c>
      <c r="AD559" s="25">
        <v>0.6645833333333333</v>
      </c>
      <c r="AE559" s="45">
        <v>45945.0</v>
      </c>
      <c r="AF559" s="21" t="s">
        <v>2839</v>
      </c>
      <c r="AG559" s="21" t="s">
        <v>293</v>
      </c>
      <c r="AH559" s="21" t="s">
        <v>4588</v>
      </c>
      <c r="AI559" s="62" t="str">
        <f>IFERROR(__xludf.DUMMYFUNCTION("IF(OR(W559="""",X559="""",AE559="""",AD559=""""),"""",
   TEXT(
     (
       (AE559+AD559 + IF(AE559+AD559 &lt; W559+X559,1,0)) - (W559+X559)
     )
     - IF(AND(AB559&lt;&gt;"""",AC559&lt;&gt;""""), 
          SUM(ARRAYFORMULA(SPLIT(AC559,"","") - SPLIT(AB559,"",""))"&amp;"), 
          0
       ),
     ""[hh]:mm""
   )
)
"),"04:02")</f>
        <v>04:02</v>
      </c>
      <c r="AJ559" s="27">
        <f t="shared" si="9"/>
        <v>0</v>
      </c>
      <c r="AK559" s="63" t="str">
        <f t="shared" si="10"/>
        <v>Pass</v>
      </c>
    </row>
    <row r="560">
      <c r="A560" s="45">
        <v>45944.0</v>
      </c>
      <c r="B560" s="49">
        <v>0.9298611111111111</v>
      </c>
      <c r="C560" s="45">
        <v>45945.0</v>
      </c>
      <c r="D560" s="80">
        <v>0.36527777777777776</v>
      </c>
      <c r="E560" s="21" t="s">
        <v>4589</v>
      </c>
      <c r="F560" s="21" t="s">
        <v>2216</v>
      </c>
      <c r="G560" s="21" t="s">
        <v>2217</v>
      </c>
      <c r="H560" s="21" t="s">
        <v>1610</v>
      </c>
      <c r="I560" s="21" t="s">
        <v>1612</v>
      </c>
      <c r="J560" s="21" t="s">
        <v>1612</v>
      </c>
      <c r="K560" s="21" t="s">
        <v>143</v>
      </c>
      <c r="L560" s="21" t="s">
        <v>1613</v>
      </c>
      <c r="M560" s="21" t="s">
        <v>4590</v>
      </c>
      <c r="N560" s="21" t="s">
        <v>4591</v>
      </c>
      <c r="O560" s="48" t="s">
        <v>4592</v>
      </c>
      <c r="P560" s="21" t="s">
        <v>187</v>
      </c>
      <c r="Q560" s="24" t="s">
        <v>65</v>
      </c>
      <c r="R560" s="21" t="s">
        <v>4593</v>
      </c>
      <c r="S560" s="21" t="s">
        <v>51</v>
      </c>
      <c r="T560" s="21" t="s">
        <v>52</v>
      </c>
      <c r="U560" s="21" t="s">
        <v>52</v>
      </c>
      <c r="V560" s="21" t="s">
        <v>52</v>
      </c>
      <c r="W560" s="45">
        <v>45945.0</v>
      </c>
      <c r="X560" s="49">
        <v>0.36527777777777776</v>
      </c>
      <c r="Y560" s="45">
        <v>45945.0</v>
      </c>
      <c r="Z560" s="49">
        <v>0.5083333333333333</v>
      </c>
      <c r="AA560" s="49">
        <v>0.5347222222222222</v>
      </c>
      <c r="AB560" s="25">
        <v>0.5555555555555556</v>
      </c>
      <c r="AC560" s="25">
        <v>0.5798611111111112</v>
      </c>
      <c r="AD560" s="25">
        <v>0.8402777777777778</v>
      </c>
      <c r="AE560" s="45">
        <v>45945.0</v>
      </c>
      <c r="AF560" s="21" t="s">
        <v>2931</v>
      </c>
      <c r="AG560" s="21" t="s">
        <v>583</v>
      </c>
      <c r="AH560" s="21" t="s">
        <v>4594</v>
      </c>
      <c r="AI560" s="62" t="str">
        <f>IFERROR(__xludf.DUMMYFUNCTION("IF(OR(W560="""",X560="""",AE560="""",AD560=""""),"""",
   TEXT(
     (
       (AE560+AD560 + IF(AE560+AD560 &lt; W560+X560,1,0)) - (W560+X560)
     )
     - IF(AND(AB560&lt;&gt;"""",AC560&lt;&gt;""""), 
          SUM(ARRAYFORMULA(SPLIT(AC560,"","") - SPLIT(AB560,"",""))"&amp;"), 
          0
       ),
     ""[hh]:mm""
   )
)
"),"10:49")</f>
        <v>10:49</v>
      </c>
      <c r="AJ560" s="27">
        <f t="shared" si="9"/>
        <v>0</v>
      </c>
      <c r="AK560" s="63" t="str">
        <f t="shared" si="10"/>
        <v>Pass</v>
      </c>
    </row>
    <row r="561">
      <c r="A561" s="45">
        <v>45945.0</v>
      </c>
      <c r="B561" s="49">
        <v>0.3333333333333333</v>
      </c>
      <c r="C561" s="45">
        <v>45945.0</v>
      </c>
      <c r="D561" s="49">
        <v>0.3645833333333333</v>
      </c>
      <c r="E561" s="21" t="s">
        <v>4595</v>
      </c>
      <c r="F561" s="21" t="s">
        <v>2942</v>
      </c>
      <c r="G561" s="21" t="s">
        <v>4596</v>
      </c>
      <c r="H561" s="21" t="s">
        <v>2337</v>
      </c>
      <c r="I561" s="21" t="s">
        <v>1814</v>
      </c>
      <c r="J561" s="21" t="s">
        <v>3991</v>
      </c>
      <c r="K561" s="21" t="s">
        <v>72</v>
      </c>
      <c r="L561" s="21" t="s">
        <v>216</v>
      </c>
      <c r="M561" s="21" t="s">
        <v>4597</v>
      </c>
      <c r="N561" s="21" t="s">
        <v>4598</v>
      </c>
      <c r="O561" s="48" t="s">
        <v>4599</v>
      </c>
      <c r="P561" s="21" t="s">
        <v>75</v>
      </c>
      <c r="Q561" s="24" t="s">
        <v>65</v>
      </c>
      <c r="R561" s="21" t="s">
        <v>4600</v>
      </c>
      <c r="S561" s="21" t="s">
        <v>51</v>
      </c>
      <c r="T561" s="21" t="s">
        <v>77</v>
      </c>
      <c r="U561" s="21" t="s">
        <v>4601</v>
      </c>
      <c r="V561" s="21">
        <v>1.514980652E9</v>
      </c>
      <c r="W561" s="45">
        <v>45945.0</v>
      </c>
      <c r="X561" s="49">
        <v>0.3645833333333333</v>
      </c>
      <c r="Y561" s="45">
        <v>45945.0</v>
      </c>
      <c r="Z561" s="49">
        <v>0.4722222222222222</v>
      </c>
      <c r="AA561" s="49">
        <v>0.4756944444444444</v>
      </c>
      <c r="AB561" s="25">
        <v>0.4791666666666667</v>
      </c>
      <c r="AC561" s="25">
        <v>0.5625</v>
      </c>
      <c r="AD561" s="25">
        <v>0.5763888888888888</v>
      </c>
      <c r="AE561" s="45">
        <v>45945.0</v>
      </c>
      <c r="AF561" s="21" t="s">
        <v>3218</v>
      </c>
      <c r="AG561" s="21" t="s">
        <v>54</v>
      </c>
      <c r="AH561" s="21" t="s">
        <v>4602</v>
      </c>
      <c r="AI561" s="62" t="str">
        <f>IFERROR(__xludf.DUMMYFUNCTION("IF(OR(W561="""",X561="""",AE561="""",AD561=""""),"""",
   TEXT(
     (
       (AE561+AD561 + IF(AE561+AD561 &lt; W561+X561,1,0)) - (W561+X561)
     )
     - IF(AND(AB561&lt;&gt;"""",AC561&lt;&gt;""""), 
          SUM(ARRAYFORMULA(SPLIT(AC561,"","") - SPLIT(AB561,"",""))"&amp;"), 
          0
       ),
     ""[hh]:mm""
   )
)
"),"03:05")</f>
        <v>03:05</v>
      </c>
      <c r="AJ561" s="27">
        <f t="shared" si="9"/>
        <v>0</v>
      </c>
      <c r="AK561" s="63" t="str">
        <f t="shared" si="10"/>
        <v>Pass</v>
      </c>
    </row>
    <row r="562">
      <c r="A562" s="45">
        <v>45945.0</v>
      </c>
      <c r="B562" s="49">
        <v>0.3597222222222222</v>
      </c>
      <c r="C562" s="45">
        <v>45945.0</v>
      </c>
      <c r="D562" s="49">
        <v>0.3638888888888889</v>
      </c>
      <c r="E562" s="21" t="s">
        <v>4603</v>
      </c>
      <c r="F562" s="21" t="s">
        <v>1210</v>
      </c>
      <c r="G562" s="21" t="s">
        <v>1211</v>
      </c>
      <c r="H562" s="21" t="s">
        <v>244</v>
      </c>
      <c r="I562" s="21" t="s">
        <v>60</v>
      </c>
      <c r="J562" s="21" t="s">
        <v>3813</v>
      </c>
      <c r="K562" s="21" t="s">
        <v>61</v>
      </c>
      <c r="L562" s="21" t="s">
        <v>183</v>
      </c>
      <c r="M562" s="21" t="s">
        <v>4604</v>
      </c>
      <c r="N562" s="21" t="s">
        <v>4605</v>
      </c>
      <c r="O562" s="48" t="s">
        <v>4606</v>
      </c>
      <c r="P562" s="21" t="s">
        <v>48</v>
      </c>
      <c r="Q562" s="24" t="s">
        <v>65</v>
      </c>
      <c r="R562" s="21" t="s">
        <v>4607</v>
      </c>
      <c r="S562" s="21" t="s">
        <v>51</v>
      </c>
      <c r="T562" s="21" t="s">
        <v>52</v>
      </c>
      <c r="U562" s="21" t="s">
        <v>52</v>
      </c>
      <c r="V562" s="21" t="s">
        <v>52</v>
      </c>
      <c r="W562" s="45">
        <v>45945.0</v>
      </c>
      <c r="X562" s="49">
        <v>0.3638888888888889</v>
      </c>
      <c r="Y562" s="45">
        <v>45945.0</v>
      </c>
      <c r="Z562" s="49">
        <v>0.6104166666666667</v>
      </c>
      <c r="AA562" s="49">
        <v>0.6131944444444445</v>
      </c>
      <c r="AB562" s="29"/>
      <c r="AC562" s="29"/>
      <c r="AD562" s="25">
        <v>0.6666666666666666</v>
      </c>
      <c r="AE562" s="45">
        <v>45945.0</v>
      </c>
      <c r="AF562" s="21" t="s">
        <v>2744</v>
      </c>
      <c r="AG562" s="21" t="s">
        <v>313</v>
      </c>
      <c r="AH562" s="21" t="s">
        <v>4608</v>
      </c>
      <c r="AI562" s="62" t="str">
        <f>IFERROR(__xludf.DUMMYFUNCTION("IF(OR(W562="""",X562="""",AE562="""",AD562=""""),"""",
   TEXT(
     (
       (AE562+AD562 + IF(AE562+AD562 &lt; W562+X562,1,0)) - (W562+X562)
     )
     - IF(AND(AB562&lt;&gt;"""",AC562&lt;&gt;""""), 
          SUM(ARRAYFORMULA(SPLIT(AC562,"","") - SPLIT(AB562,"",""))"&amp;"), 
          0
       ),
     ""[hh]:mm""
   )
)
"),"07:16")</f>
        <v>07:16</v>
      </c>
      <c r="AJ562" s="27">
        <f t="shared" si="9"/>
        <v>0</v>
      </c>
      <c r="AK562" s="63" t="str">
        <f t="shared" si="10"/>
        <v>Pass</v>
      </c>
    </row>
    <row r="563">
      <c r="A563" s="45">
        <v>45945.0</v>
      </c>
      <c r="B563" s="49">
        <v>0.39791666666666664</v>
      </c>
      <c r="C563" s="45">
        <v>45945.0</v>
      </c>
      <c r="D563" s="49">
        <v>0.40555555555555556</v>
      </c>
      <c r="E563" s="21" t="s">
        <v>4609</v>
      </c>
      <c r="F563" s="21" t="s">
        <v>969</v>
      </c>
      <c r="G563" s="21" t="s">
        <v>2323</v>
      </c>
      <c r="H563" s="21" t="s">
        <v>566</v>
      </c>
      <c r="I563" s="21" t="s">
        <v>815</v>
      </c>
      <c r="J563" s="21" t="s">
        <v>1084</v>
      </c>
      <c r="K563" s="21" t="s">
        <v>4610</v>
      </c>
      <c r="L563" s="21" t="s">
        <v>2303</v>
      </c>
      <c r="M563" s="21" t="s">
        <v>4611</v>
      </c>
      <c r="N563" s="21" t="s">
        <v>4612</v>
      </c>
      <c r="O563" s="48" t="s">
        <v>4613</v>
      </c>
      <c r="P563" s="21" t="s">
        <v>48</v>
      </c>
      <c r="Q563" s="24" t="s">
        <v>198</v>
      </c>
      <c r="R563" s="21" t="s">
        <v>4614</v>
      </c>
      <c r="S563" s="21" t="s">
        <v>51</v>
      </c>
      <c r="T563" s="21" t="s">
        <v>52</v>
      </c>
      <c r="U563" s="21" t="s">
        <v>52</v>
      </c>
      <c r="V563" s="21" t="s">
        <v>52</v>
      </c>
      <c r="W563" s="45">
        <v>45945.0</v>
      </c>
      <c r="X563" s="49">
        <v>0.4166666666666667</v>
      </c>
      <c r="Y563" s="45">
        <v>45945.0</v>
      </c>
      <c r="Z563" s="49">
        <v>0.6784722222222223</v>
      </c>
      <c r="AA563" s="49">
        <v>0.6798611111111111</v>
      </c>
      <c r="AB563" s="29"/>
      <c r="AC563" s="29"/>
      <c r="AD563" s="25">
        <v>0.7291666666666666</v>
      </c>
      <c r="AE563" s="45">
        <v>45945.0</v>
      </c>
      <c r="AF563" s="21" t="s">
        <v>2918</v>
      </c>
      <c r="AG563" s="21" t="s">
        <v>162</v>
      </c>
      <c r="AH563" s="21" t="s">
        <v>2448</v>
      </c>
      <c r="AI563" s="62" t="str">
        <f>IFERROR(__xludf.DUMMYFUNCTION("IF(OR(W563="""",X563="""",AE563="""",AD563=""""),"""",
   TEXT(
     (
       (AE563+AD563 + IF(AE563+AD563 &lt; W563+X563,1,0)) - (W563+X563)
     )
     - IF(AND(AB563&lt;&gt;"""",AC563&lt;&gt;""""), 
          SUM(ARRAYFORMULA(SPLIT(AC563,"","") - SPLIT(AB563,"",""))"&amp;"), 
          0
       ),
     ""[hh]:mm""
   )
)
"),"07:30")</f>
        <v>07:30</v>
      </c>
      <c r="AJ563" s="27">
        <f t="shared" si="9"/>
        <v>0</v>
      </c>
      <c r="AK563" s="63" t="str">
        <f t="shared" si="10"/>
        <v>Pass</v>
      </c>
    </row>
    <row r="564">
      <c r="A564" s="45">
        <v>45945.0</v>
      </c>
      <c r="B564" s="49">
        <v>0.45555555555555555</v>
      </c>
      <c r="C564" s="45">
        <v>45945.0</v>
      </c>
      <c r="D564" s="49">
        <v>0.4597222222222222</v>
      </c>
      <c r="E564" s="21" t="s">
        <v>4615</v>
      </c>
      <c r="F564" s="21" t="s">
        <v>4616</v>
      </c>
      <c r="G564" s="21" t="s">
        <v>4617</v>
      </c>
      <c r="H564" s="21" t="s">
        <v>214</v>
      </c>
      <c r="I564" s="21" t="s">
        <v>60</v>
      </c>
      <c r="J564" s="21" t="s">
        <v>3813</v>
      </c>
      <c r="K564" s="21" t="s">
        <v>61</v>
      </c>
      <c r="L564" s="21" t="s">
        <v>2585</v>
      </c>
      <c r="M564" s="21" t="s">
        <v>4618</v>
      </c>
      <c r="N564" s="21" t="s">
        <v>4619</v>
      </c>
      <c r="O564" s="48" t="s">
        <v>4620</v>
      </c>
      <c r="P564" s="21" t="s">
        <v>75</v>
      </c>
      <c r="Q564" s="24" t="s">
        <v>65</v>
      </c>
      <c r="R564" s="21" t="s">
        <v>4621</v>
      </c>
      <c r="S564" s="21" t="s">
        <v>51</v>
      </c>
      <c r="T564" s="21" t="s">
        <v>52</v>
      </c>
      <c r="U564" s="21" t="s">
        <v>52</v>
      </c>
      <c r="V564" s="21" t="s">
        <v>52</v>
      </c>
      <c r="W564" s="45">
        <v>45945.0</v>
      </c>
      <c r="X564" s="49">
        <v>0.4597222222222222</v>
      </c>
      <c r="Y564" s="45">
        <v>45945.0</v>
      </c>
      <c r="Z564" s="49">
        <v>0.5583333333333333</v>
      </c>
      <c r="AA564" s="49">
        <v>0.5625</v>
      </c>
      <c r="AB564" s="29"/>
      <c r="AC564" s="29"/>
      <c r="AD564" s="25">
        <v>0.5798611111111112</v>
      </c>
      <c r="AE564" s="45">
        <v>45945.0</v>
      </c>
      <c r="AF564" s="21" t="s">
        <v>2971</v>
      </c>
      <c r="AG564" s="21" t="s">
        <v>4622</v>
      </c>
      <c r="AH564" s="21" t="s">
        <v>4623</v>
      </c>
      <c r="AI564" s="62" t="str">
        <f>IFERROR(__xludf.DUMMYFUNCTION("IF(OR(W564="""",X564="""",AE564="""",AD564=""""),"""",
   TEXT(
     (
       (AE564+AD564 + IF(AE564+AD564 &lt; W564+X564,1,0)) - (W564+X564)
     )
     - IF(AND(AB564&lt;&gt;"""",AC564&lt;&gt;""""), 
          SUM(ARRAYFORMULA(SPLIT(AC564,"","") - SPLIT(AB564,"",""))"&amp;"), 
          0
       ),
     ""[hh]:mm""
   )
)
"),"02:53")</f>
        <v>02:53</v>
      </c>
      <c r="AJ564" s="27">
        <f t="shared" si="9"/>
        <v>0</v>
      </c>
      <c r="AK564" s="63" t="str">
        <f t="shared" si="10"/>
        <v>Pass</v>
      </c>
    </row>
    <row r="565">
      <c r="A565" s="45">
        <v>45945.0</v>
      </c>
      <c r="B565" s="49">
        <v>0.7534722222222222</v>
      </c>
      <c r="C565" s="45">
        <v>45945.0</v>
      </c>
      <c r="D565" s="49">
        <v>0.7569444444444444</v>
      </c>
      <c r="E565" s="21" t="s">
        <v>4624</v>
      </c>
      <c r="F565" s="21" t="s">
        <v>1648</v>
      </c>
      <c r="G565" s="21" t="s">
        <v>4625</v>
      </c>
      <c r="H565" s="21" t="s">
        <v>244</v>
      </c>
      <c r="I565" s="21" t="s">
        <v>1055</v>
      </c>
      <c r="J565" s="21" t="s">
        <v>1056</v>
      </c>
      <c r="K565" s="21" t="s">
        <v>635</v>
      </c>
      <c r="L565" s="21" t="s">
        <v>664</v>
      </c>
      <c r="M565" s="21" t="s">
        <v>1650</v>
      </c>
      <c r="N565" s="21" t="s">
        <v>4626</v>
      </c>
      <c r="O565" s="48" t="s">
        <v>4627</v>
      </c>
      <c r="P565" s="21" t="s">
        <v>48</v>
      </c>
      <c r="Q565" s="24" t="s">
        <v>65</v>
      </c>
      <c r="R565" s="21" t="s">
        <v>4628</v>
      </c>
      <c r="S565" s="21" t="s">
        <v>51</v>
      </c>
      <c r="T565" s="21" t="s">
        <v>52</v>
      </c>
      <c r="U565" s="21" t="s">
        <v>52</v>
      </c>
      <c r="V565" s="21" t="s">
        <v>52</v>
      </c>
      <c r="W565" s="45">
        <v>45945.0</v>
      </c>
      <c r="X565" s="49">
        <v>0.7569444444444444</v>
      </c>
      <c r="Y565" s="45">
        <v>45945.0</v>
      </c>
      <c r="Z565" s="49">
        <v>0.7881944444444444</v>
      </c>
      <c r="AA565" s="49">
        <v>0.7909722222222222</v>
      </c>
      <c r="AB565" s="29"/>
      <c r="AC565" s="29"/>
      <c r="AD565" s="25">
        <v>0.8208333333333333</v>
      </c>
      <c r="AE565" s="45">
        <v>45945.0</v>
      </c>
      <c r="AF565" s="21" t="s">
        <v>2839</v>
      </c>
      <c r="AG565" s="21" t="s">
        <v>1482</v>
      </c>
      <c r="AH565" s="21" t="s">
        <v>4629</v>
      </c>
      <c r="AI565" s="62" t="str">
        <f>IFERROR(__xludf.DUMMYFUNCTION("IF(OR(W565="""",X565="""",AE565="""",AD565=""""),"""",
   TEXT(
     (
       (AE565+AD565 + IF(AE565+AD565 &lt; W565+X565,1,0)) - (W565+X565)
     )
     - IF(AND(AB565&lt;&gt;"""",AC565&lt;&gt;""""), 
          SUM(ARRAYFORMULA(SPLIT(AC565,"","") - SPLIT(AB565,"",""))"&amp;"), 
          0
       ),
     ""[hh]:mm""
   )
)
"),"01:32")</f>
        <v>01:32</v>
      </c>
      <c r="AJ565" s="27">
        <f t="shared" si="9"/>
        <v>0</v>
      </c>
      <c r="AK565" s="63" t="str">
        <f t="shared" si="10"/>
        <v>Pass</v>
      </c>
    </row>
    <row r="566">
      <c r="A566" s="45">
        <v>45946.0</v>
      </c>
      <c r="B566" s="49">
        <v>0.14097222222222222</v>
      </c>
      <c r="C566" s="45">
        <v>45946.0</v>
      </c>
      <c r="D566" s="49">
        <v>0.3013888888888889</v>
      </c>
      <c r="E566" s="21" t="s">
        <v>4630</v>
      </c>
      <c r="F566" s="21" t="s">
        <v>363</v>
      </c>
      <c r="G566" s="21" t="s">
        <v>364</v>
      </c>
      <c r="H566" s="21" t="s">
        <v>4631</v>
      </c>
      <c r="I566" s="21" t="s">
        <v>234</v>
      </c>
      <c r="J566" s="21" t="s">
        <v>3806</v>
      </c>
      <c r="K566" s="21" t="s">
        <v>43</v>
      </c>
      <c r="L566" s="21" t="s">
        <v>2433</v>
      </c>
      <c r="M566" s="21" t="s">
        <v>4632</v>
      </c>
      <c r="N566" s="21" t="s">
        <v>4633</v>
      </c>
      <c r="O566" s="48" t="s">
        <v>4634</v>
      </c>
      <c r="P566" s="21" t="s">
        <v>75</v>
      </c>
      <c r="Q566" s="24" t="s">
        <v>65</v>
      </c>
      <c r="R566" s="21" t="s">
        <v>399</v>
      </c>
      <c r="S566" s="21" t="s">
        <v>51</v>
      </c>
      <c r="T566" s="21" t="s">
        <v>52</v>
      </c>
      <c r="U566" s="21" t="s">
        <v>52</v>
      </c>
      <c r="V566" s="21" t="s">
        <v>52</v>
      </c>
      <c r="W566" s="45">
        <v>45946.0</v>
      </c>
      <c r="X566" s="49">
        <v>0.3013888888888889</v>
      </c>
      <c r="Y566" s="45">
        <v>45946.0</v>
      </c>
      <c r="Z566" s="49">
        <v>0.4791666666666667</v>
      </c>
      <c r="AA566" s="49">
        <v>0.4895833333333333</v>
      </c>
      <c r="AB566" s="29"/>
      <c r="AC566" s="29"/>
      <c r="AD566" s="25">
        <v>0.5208333333333334</v>
      </c>
      <c r="AE566" s="45">
        <v>45946.0</v>
      </c>
      <c r="AF566" s="21" t="s">
        <v>2828</v>
      </c>
      <c r="AG566" s="21" t="s">
        <v>78</v>
      </c>
      <c r="AH566" s="21" t="s">
        <v>4635</v>
      </c>
      <c r="AI566" s="62" t="str">
        <f>IFERROR(__xludf.DUMMYFUNCTION("IF(OR(W566="""",X566="""",AE566="""",AD566=""""),"""",
   TEXT(
     (
       (AE566+AD566 + IF(AE566+AD566 &lt; W566+X566,1,0)) - (W566+X566)
     )
     - IF(AND(AB566&lt;&gt;"""",AC566&lt;&gt;""""), 
          SUM(ARRAYFORMULA(SPLIT(AC566,"","") - SPLIT(AB566,"",""))"&amp;"), 
          0
       ),
     ""[hh]:mm""
   )
)
"),"05:16")</f>
        <v>05:16</v>
      </c>
      <c r="AJ566" s="27">
        <f t="shared" si="9"/>
        <v>0</v>
      </c>
      <c r="AK566" s="63" t="str">
        <f t="shared" si="10"/>
        <v>Pass</v>
      </c>
    </row>
    <row r="567">
      <c r="A567" s="45">
        <v>45946.0</v>
      </c>
      <c r="B567" s="49">
        <v>0.3402777777777778</v>
      </c>
      <c r="C567" s="45">
        <v>45946.0</v>
      </c>
      <c r="D567" s="49">
        <v>0.3416666666666667</v>
      </c>
      <c r="E567" s="21" t="s">
        <v>4636</v>
      </c>
      <c r="F567" s="21" t="s">
        <v>2992</v>
      </c>
      <c r="G567" s="21" t="s">
        <v>2993</v>
      </c>
      <c r="H567" s="21" t="s">
        <v>318</v>
      </c>
      <c r="I567" s="21" t="s">
        <v>60</v>
      </c>
      <c r="J567" s="21" t="s">
        <v>3813</v>
      </c>
      <c r="K567" s="21" t="s">
        <v>61</v>
      </c>
      <c r="L567" s="21" t="s">
        <v>183</v>
      </c>
      <c r="M567" s="21" t="s">
        <v>4637</v>
      </c>
      <c r="N567" s="21" t="s">
        <v>4638</v>
      </c>
      <c r="O567" s="48" t="s">
        <v>4639</v>
      </c>
      <c r="P567" s="21" t="s">
        <v>75</v>
      </c>
      <c r="Q567" s="24" t="s">
        <v>65</v>
      </c>
      <c r="R567" s="21" t="s">
        <v>4640</v>
      </c>
      <c r="S567" s="21" t="s">
        <v>51</v>
      </c>
      <c r="T567" s="21" t="s">
        <v>52</v>
      </c>
      <c r="U567" s="21" t="s">
        <v>52</v>
      </c>
      <c r="V567" s="21" t="s">
        <v>52</v>
      </c>
      <c r="W567" s="45">
        <v>45946.0</v>
      </c>
      <c r="X567" s="49">
        <v>0.3416666666666667</v>
      </c>
      <c r="Y567" s="45">
        <v>45946.0</v>
      </c>
      <c r="Z567" s="49">
        <v>0.4722222222222222</v>
      </c>
      <c r="AA567" s="49">
        <v>0.4791666666666667</v>
      </c>
      <c r="AB567" s="29"/>
      <c r="AC567" s="29"/>
      <c r="AD567" s="25">
        <v>0.55625</v>
      </c>
      <c r="AE567" s="45">
        <v>45946.0</v>
      </c>
      <c r="AF567" s="21" t="s">
        <v>2819</v>
      </c>
      <c r="AG567" s="21" t="s">
        <v>293</v>
      </c>
      <c r="AH567" s="21" t="s">
        <v>3002</v>
      </c>
      <c r="AI567" s="62" t="str">
        <f>IFERROR(__xludf.DUMMYFUNCTION("IF(OR(W567="""",X567="""",AE567="""",AD567=""""),"""",
   TEXT(
     (
       (AE567+AD567 + IF(AE567+AD567 &lt; W567+X567,1,0)) - (W567+X567)
     )
     - IF(AND(AB567&lt;&gt;"""",AC567&lt;&gt;""""), 
          SUM(ARRAYFORMULA(SPLIT(AC567,"","") - SPLIT(AB567,"",""))"&amp;"), 
          0
       ),
     ""[hh]:mm""
   )
)
"),"05:09")</f>
        <v>05:09</v>
      </c>
      <c r="AJ567" s="27">
        <f t="shared" si="9"/>
        <v>0</v>
      </c>
      <c r="AK567" s="63" t="str">
        <f t="shared" si="10"/>
        <v>Pass</v>
      </c>
    </row>
    <row r="568">
      <c r="A568" s="45">
        <v>45946.0</v>
      </c>
      <c r="B568" s="49">
        <v>0.38263888888888886</v>
      </c>
      <c r="C568" s="45">
        <v>45946.0</v>
      </c>
      <c r="D568" s="49">
        <v>0.40069444444444446</v>
      </c>
      <c r="E568" s="21" t="s">
        <v>4641</v>
      </c>
      <c r="F568" s="21" t="s">
        <v>1648</v>
      </c>
      <c r="G568" s="21" t="s">
        <v>4642</v>
      </c>
      <c r="H568" s="21" t="s">
        <v>2461</v>
      </c>
      <c r="I568" s="21" t="s">
        <v>4643</v>
      </c>
      <c r="J568" s="21" t="s">
        <v>2253</v>
      </c>
      <c r="K568" s="21" t="s">
        <v>43</v>
      </c>
      <c r="L568" s="21" t="s">
        <v>4644</v>
      </c>
      <c r="M568" s="21" t="s">
        <v>4645</v>
      </c>
      <c r="N568" s="21" t="s">
        <v>4646</v>
      </c>
      <c r="O568" s="48" t="s">
        <v>4647</v>
      </c>
      <c r="P568" s="21" t="s">
        <v>75</v>
      </c>
      <c r="Q568" s="24" t="s">
        <v>49</v>
      </c>
      <c r="R568" s="21" t="s">
        <v>4648</v>
      </c>
      <c r="S568" s="21" t="s">
        <v>51</v>
      </c>
      <c r="T568" s="21" t="s">
        <v>52</v>
      </c>
      <c r="U568" s="21" t="s">
        <v>52</v>
      </c>
      <c r="V568" s="21" t="s">
        <v>52</v>
      </c>
      <c r="W568" s="45">
        <v>45946.0</v>
      </c>
      <c r="X568" s="49">
        <v>0.40069444444444446</v>
      </c>
      <c r="Y568" s="45">
        <v>45946.0</v>
      </c>
      <c r="Z568" s="49">
        <v>0.5881944444444445</v>
      </c>
      <c r="AA568" s="49">
        <v>0.59375</v>
      </c>
      <c r="AB568" s="29"/>
      <c r="AC568" s="29"/>
      <c r="AD568" s="25">
        <v>0.6111111111111112</v>
      </c>
      <c r="AE568" s="45">
        <v>45946.0</v>
      </c>
      <c r="AF568" s="21" t="s">
        <v>2744</v>
      </c>
      <c r="AG568" s="21" t="s">
        <v>102</v>
      </c>
      <c r="AH568" s="21" t="s">
        <v>4649</v>
      </c>
      <c r="AI568" s="62" t="str">
        <f>IFERROR(__xludf.DUMMYFUNCTION("IF(OR(W568="""",X568="""",AE568="""",AD568=""""),"""",
   TEXT(
     (
       (AE568+AD568 + IF(AE568+AD568 &lt; W568+X568,1,0)) - (W568+X568)
     )
     - IF(AND(AB568&lt;&gt;"""",AC568&lt;&gt;""""), 
          SUM(ARRAYFORMULA(SPLIT(AC568,"","") - SPLIT(AB568,"",""))"&amp;"), 
          0
       ),
     ""[hh]:mm""
   )
)
"),"05:03")</f>
        <v>05:03</v>
      </c>
      <c r="AJ568" s="27">
        <f t="shared" si="9"/>
        <v>0.04375</v>
      </c>
      <c r="AK568" s="63" t="str">
        <f t="shared" si="10"/>
        <v>Fail</v>
      </c>
    </row>
    <row r="569">
      <c r="A569" s="45">
        <v>45946.0</v>
      </c>
      <c r="B569" s="49">
        <v>0.3993055555555556</v>
      </c>
      <c r="C569" s="45">
        <v>45946.0</v>
      </c>
      <c r="D569" s="49">
        <v>0.4041666666666667</v>
      </c>
      <c r="E569" s="21" t="s">
        <v>4650</v>
      </c>
      <c r="F569" s="21" t="s">
        <v>3461</v>
      </c>
      <c r="G569" s="21" t="s">
        <v>4651</v>
      </c>
      <c r="H569" s="21" t="s">
        <v>2461</v>
      </c>
      <c r="I569" s="21" t="s">
        <v>60</v>
      </c>
      <c r="J569" s="21" t="s">
        <v>3813</v>
      </c>
      <c r="K569" s="21" t="s">
        <v>61</v>
      </c>
      <c r="L569" s="21" t="s">
        <v>183</v>
      </c>
      <c r="M569" s="21" t="s">
        <v>3463</v>
      </c>
      <c r="N569" s="21" t="s">
        <v>4652</v>
      </c>
      <c r="O569" s="48" t="s">
        <v>4653</v>
      </c>
      <c r="P569" s="21" t="s">
        <v>75</v>
      </c>
      <c r="Q569" s="24" t="s">
        <v>65</v>
      </c>
      <c r="R569" s="21" t="s">
        <v>4654</v>
      </c>
      <c r="S569" s="21" t="s">
        <v>51</v>
      </c>
      <c r="T569" s="21" t="s">
        <v>52</v>
      </c>
      <c r="U569" s="21" t="s">
        <v>52</v>
      </c>
      <c r="V569" s="21" t="s">
        <v>52</v>
      </c>
      <c r="W569" s="45">
        <v>45946.0</v>
      </c>
      <c r="X569" s="49">
        <v>0.4041666666666667</v>
      </c>
      <c r="Y569" s="45">
        <v>45946.0</v>
      </c>
      <c r="Z569" s="49">
        <v>0.5152777777777777</v>
      </c>
      <c r="AA569" s="49">
        <v>0.5173611111111112</v>
      </c>
      <c r="AB569" s="29"/>
      <c r="AC569" s="29"/>
      <c r="AD569" s="25">
        <v>0.5486111111111112</v>
      </c>
      <c r="AE569" s="45">
        <v>45946.0</v>
      </c>
      <c r="AF569" s="21" t="s">
        <v>2839</v>
      </c>
      <c r="AG569" s="21" t="s">
        <v>162</v>
      </c>
      <c r="AH569" s="21" t="s">
        <v>4655</v>
      </c>
      <c r="AI569" s="62" t="str">
        <f>IFERROR(__xludf.DUMMYFUNCTION("IF(OR(W569="""",X569="""",AE569="""",AD569=""""),"""",
   TEXT(
     (
       (AE569+AD569 + IF(AE569+AD569 &lt; W569+X569,1,0)) - (W569+X569)
     )
     - IF(AND(AB569&lt;&gt;"""",AC569&lt;&gt;""""), 
          SUM(ARRAYFORMULA(SPLIT(AC569,"","") - SPLIT(AB569,"",""))"&amp;"), 
          0
       ),
     ""[hh]:mm""
   )
)
"),"03:28")</f>
        <v>03:28</v>
      </c>
      <c r="AJ569" s="27">
        <f t="shared" si="9"/>
        <v>0</v>
      </c>
      <c r="AK569" s="63" t="str">
        <f t="shared" si="10"/>
        <v>Pass</v>
      </c>
    </row>
    <row r="570">
      <c r="A570" s="45">
        <v>45946.0</v>
      </c>
      <c r="B570" s="49">
        <v>0.425</v>
      </c>
      <c r="C570" s="45">
        <v>45946.0</v>
      </c>
      <c r="D570" s="49">
        <v>0.4263888888888889</v>
      </c>
      <c r="E570" s="21" t="s">
        <v>4656</v>
      </c>
      <c r="F570" s="21" t="s">
        <v>1353</v>
      </c>
      <c r="G570" s="21" t="s">
        <v>1354</v>
      </c>
      <c r="H570" s="21" t="s">
        <v>142</v>
      </c>
      <c r="I570" s="21" t="s">
        <v>644</v>
      </c>
      <c r="J570" s="21" t="s">
        <v>644</v>
      </c>
      <c r="K570" s="21" t="s">
        <v>143</v>
      </c>
      <c r="L570" s="21" t="s">
        <v>4657</v>
      </c>
      <c r="M570" s="21" t="s">
        <v>3399</v>
      </c>
      <c r="N570" s="21" t="s">
        <v>4658</v>
      </c>
      <c r="O570" s="48" t="s">
        <v>4659</v>
      </c>
      <c r="P570" s="21" t="s">
        <v>187</v>
      </c>
      <c r="Q570" s="24" t="s">
        <v>65</v>
      </c>
      <c r="R570" s="21" t="s">
        <v>4660</v>
      </c>
      <c r="S570" s="21" t="s">
        <v>51</v>
      </c>
      <c r="T570" s="21" t="s">
        <v>52</v>
      </c>
      <c r="U570" s="21" t="s">
        <v>52</v>
      </c>
      <c r="V570" s="21" t="s">
        <v>52</v>
      </c>
      <c r="W570" s="45">
        <v>45946.0</v>
      </c>
      <c r="X570" s="49">
        <v>0.4263888888888889</v>
      </c>
      <c r="Y570" s="45">
        <v>45946.0</v>
      </c>
      <c r="Z570" s="49">
        <v>0.7222222222222222</v>
      </c>
      <c r="AA570" s="49">
        <v>0.7326388888888888</v>
      </c>
      <c r="AB570" s="25">
        <v>0.7847222222222222</v>
      </c>
      <c r="AC570" s="25">
        <v>0.8125</v>
      </c>
      <c r="AD570" s="25">
        <v>0.8229166666666666</v>
      </c>
      <c r="AE570" s="45">
        <v>45946.0</v>
      </c>
      <c r="AF570" s="21" t="s">
        <v>2839</v>
      </c>
      <c r="AG570" s="21" t="s">
        <v>78</v>
      </c>
      <c r="AH570" s="21" t="s">
        <v>4661</v>
      </c>
      <c r="AI570" s="62" t="str">
        <f>IFERROR(__xludf.DUMMYFUNCTION("IF(OR(W570="""",X570="""",AE570="""",AD570=""""),"""",
   TEXT(
     (
       (AE570+AD570 + IF(AE570+AD570 &lt; W570+X570,1,0)) - (W570+X570)
     )
     - IF(AND(AB570&lt;&gt;"""",AC570&lt;&gt;""""), 
          SUM(ARRAYFORMULA(SPLIT(AC570,"","") - SPLIT(AB570,"",""))"&amp;"), 
          0
       ),
     ""[hh]:mm""
   )
)
"),"08:51")</f>
        <v>08:51</v>
      </c>
      <c r="AJ570" s="27">
        <f t="shared" si="9"/>
        <v>0</v>
      </c>
      <c r="AK570" s="63" t="str">
        <f t="shared" si="10"/>
        <v>Pass</v>
      </c>
    </row>
    <row r="571">
      <c r="A571" s="45">
        <v>45946.0</v>
      </c>
      <c r="B571" s="49">
        <v>0.43472222222222223</v>
      </c>
      <c r="C571" s="45">
        <v>45946.0</v>
      </c>
      <c r="D571" s="49">
        <v>0.4388888888888889</v>
      </c>
      <c r="E571" s="21" t="s">
        <v>4662</v>
      </c>
      <c r="F571" s="21" t="s">
        <v>564</v>
      </c>
      <c r="G571" s="21" t="s">
        <v>565</v>
      </c>
      <c r="H571" s="21" t="s">
        <v>3471</v>
      </c>
      <c r="I571" s="21" t="s">
        <v>856</v>
      </c>
      <c r="J571" s="21" t="s">
        <v>1084</v>
      </c>
      <c r="K571" s="21" t="s">
        <v>4663</v>
      </c>
      <c r="L571" s="21" t="s">
        <v>4664</v>
      </c>
      <c r="M571" s="21" t="s">
        <v>4665</v>
      </c>
      <c r="N571" s="21" t="s">
        <v>4666</v>
      </c>
      <c r="O571" s="48" t="s">
        <v>4667</v>
      </c>
      <c r="P571" s="21" t="s">
        <v>48</v>
      </c>
      <c r="Q571" s="24" t="s">
        <v>198</v>
      </c>
      <c r="R571" s="21" t="s">
        <v>4668</v>
      </c>
      <c r="S571" s="21" t="s">
        <v>51</v>
      </c>
      <c r="T571" s="21" t="s">
        <v>52</v>
      </c>
      <c r="U571" s="21" t="s">
        <v>52</v>
      </c>
      <c r="V571" s="21" t="s">
        <v>52</v>
      </c>
      <c r="W571" s="45">
        <v>45946.0</v>
      </c>
      <c r="X571" s="49">
        <v>0.4388888888888889</v>
      </c>
      <c r="Y571" s="45">
        <v>45946.0</v>
      </c>
      <c r="Z571" s="49">
        <v>0.5</v>
      </c>
      <c r="AA571" s="49">
        <v>0.5034722222222222</v>
      </c>
      <c r="AB571" s="25">
        <v>0.5208333333333334</v>
      </c>
      <c r="AC571" s="25">
        <v>0.5555555555555556</v>
      </c>
      <c r="AD571" s="25">
        <v>0.5625</v>
      </c>
      <c r="AE571" s="45">
        <v>45946.0</v>
      </c>
      <c r="AF571" s="21" t="s">
        <v>2730</v>
      </c>
      <c r="AG571" s="21" t="s">
        <v>54</v>
      </c>
      <c r="AH571" s="21" t="s">
        <v>4669</v>
      </c>
      <c r="AI571" s="62" t="str">
        <f>IFERROR(__xludf.DUMMYFUNCTION("IF(OR(W571="""",X571="""",AE571="""",AD571=""""),"""",
   TEXT(
     (
       (AE571+AD571 + IF(AE571+AD571 &lt; W571+X571,1,0)) - (W571+X571)
     )
     - IF(AND(AB571&lt;&gt;"""",AC571&lt;&gt;""""), 
          SUM(ARRAYFORMULA(SPLIT(AC571,"","") - SPLIT(AB571,"",""))"&amp;"), 
          0
       ),
     ""[hh]:mm""
   )
)
"),"02:08")</f>
        <v>02:08</v>
      </c>
      <c r="AJ571" s="27">
        <f t="shared" si="9"/>
        <v>0</v>
      </c>
      <c r="AK571" s="63" t="str">
        <f t="shared" si="10"/>
        <v>Pass</v>
      </c>
    </row>
    <row r="572">
      <c r="A572" s="45">
        <v>45946.0</v>
      </c>
      <c r="B572" s="49">
        <v>0.43819444444444444</v>
      </c>
      <c r="C572" s="45">
        <v>45946.0</v>
      </c>
      <c r="D572" s="49">
        <v>0.4409722222222222</v>
      </c>
      <c r="E572" s="21" t="s">
        <v>4670</v>
      </c>
      <c r="F572" s="21" t="s">
        <v>4671</v>
      </c>
      <c r="G572" s="21" t="s">
        <v>4672</v>
      </c>
      <c r="H572" s="21" t="s">
        <v>3471</v>
      </c>
      <c r="I572" s="47"/>
      <c r="J572" s="21" t="s">
        <v>1084</v>
      </c>
      <c r="K572" s="21" t="s">
        <v>1470</v>
      </c>
      <c r="L572" s="21" t="s">
        <v>4673</v>
      </c>
      <c r="M572" s="21" t="s">
        <v>4674</v>
      </c>
      <c r="N572" s="21" t="s">
        <v>4666</v>
      </c>
      <c r="O572" s="48" t="s">
        <v>4675</v>
      </c>
      <c r="P572" s="21" t="s">
        <v>48</v>
      </c>
      <c r="Q572" s="24" t="s">
        <v>198</v>
      </c>
      <c r="R572" s="21" t="s">
        <v>4676</v>
      </c>
      <c r="S572" s="21" t="s">
        <v>51</v>
      </c>
      <c r="T572" s="21" t="s">
        <v>822</v>
      </c>
      <c r="U572" s="21" t="s">
        <v>4677</v>
      </c>
      <c r="V572" s="21" t="s">
        <v>4674</v>
      </c>
      <c r="W572" s="45">
        <v>45946.0</v>
      </c>
      <c r="X572" s="49">
        <v>0.4409722222222222</v>
      </c>
      <c r="Y572" s="45">
        <v>45946.0</v>
      </c>
      <c r="Z572" s="49">
        <v>0.6013888888888889</v>
      </c>
      <c r="AA572" s="49">
        <v>0.6020833333333333</v>
      </c>
      <c r="AB572" s="29"/>
      <c r="AC572" s="29"/>
      <c r="AD572" s="25">
        <v>0.6375</v>
      </c>
      <c r="AE572" s="45">
        <v>45946.0</v>
      </c>
      <c r="AF572" s="21" t="s">
        <v>2730</v>
      </c>
      <c r="AG572" s="21" t="s">
        <v>1482</v>
      </c>
      <c r="AH572" s="21" t="s">
        <v>4678</v>
      </c>
      <c r="AI572" s="62" t="str">
        <f>IFERROR(__xludf.DUMMYFUNCTION("IF(OR(W572="""",X572="""",AE572="""",AD572=""""),"""",
   TEXT(
     (
       (AE572+AD572 + IF(AE572+AD572 &lt; W572+X572,1,0)) - (W572+X572)
     )
     - IF(AND(AB572&lt;&gt;"""",AC572&lt;&gt;""""), 
          SUM(ARRAYFORMULA(SPLIT(AC572,"","") - SPLIT(AB572,"",""))"&amp;"), 
          0
       ),
     ""[hh]:mm""
   )
)
"),"04:43")</f>
        <v>04:43</v>
      </c>
      <c r="AJ572" s="27">
        <f t="shared" si="9"/>
        <v>0</v>
      </c>
      <c r="AK572" s="63" t="str">
        <f t="shared" si="10"/>
        <v>Pass</v>
      </c>
    </row>
    <row r="573">
      <c r="A573" s="45">
        <v>45946.0</v>
      </c>
      <c r="B573" s="49">
        <v>0.45625</v>
      </c>
      <c r="C573" s="45">
        <v>45946.0</v>
      </c>
      <c r="D573" s="49">
        <v>0.45625</v>
      </c>
      <c r="E573" s="21" t="s">
        <v>4679</v>
      </c>
      <c r="F573" s="21" t="s">
        <v>2329</v>
      </c>
      <c r="G573" s="21" t="s">
        <v>2330</v>
      </c>
      <c r="H573" s="21" t="s">
        <v>4040</v>
      </c>
      <c r="I573" s="21" t="s">
        <v>836</v>
      </c>
      <c r="J573" s="21" t="s">
        <v>1056</v>
      </c>
      <c r="K573" s="21" t="s">
        <v>635</v>
      </c>
      <c r="L573" s="21" t="s">
        <v>1585</v>
      </c>
      <c r="M573" s="21" t="s">
        <v>4680</v>
      </c>
      <c r="N573" s="21" t="s">
        <v>4681</v>
      </c>
      <c r="O573" s="48" t="s">
        <v>4682</v>
      </c>
      <c r="P573" s="21" t="s">
        <v>48</v>
      </c>
      <c r="Q573" s="24" t="s">
        <v>65</v>
      </c>
      <c r="R573" s="21" t="s">
        <v>4683</v>
      </c>
      <c r="S573" s="21" t="s">
        <v>51</v>
      </c>
      <c r="T573" s="21" t="s">
        <v>52</v>
      </c>
      <c r="U573" s="21" t="s">
        <v>52</v>
      </c>
      <c r="V573" s="21" t="s">
        <v>52</v>
      </c>
      <c r="W573" s="45">
        <v>45946.0</v>
      </c>
      <c r="X573" s="49">
        <v>0.45625</v>
      </c>
      <c r="Y573" s="45">
        <v>45946.0</v>
      </c>
      <c r="Z573" s="49">
        <v>0.6152777777777778</v>
      </c>
      <c r="AA573" s="49">
        <v>0.6840277777777778</v>
      </c>
      <c r="AB573" s="29"/>
      <c r="AC573" s="29"/>
      <c r="AD573" s="25">
        <v>0.7569444444444444</v>
      </c>
      <c r="AE573" s="45">
        <v>45946.0</v>
      </c>
      <c r="AF573" s="21" t="s">
        <v>3007</v>
      </c>
      <c r="AG573" s="21" t="s">
        <v>583</v>
      </c>
      <c r="AH573" s="21" t="s">
        <v>4684</v>
      </c>
      <c r="AI573" s="62" t="str">
        <f>IFERROR(__xludf.DUMMYFUNCTION("IF(OR(W573="""",X573="""",AE573="""",AD573=""""),"""",
   TEXT(
     (
       (AE573+AD573 + IF(AE573+AD573 &lt; W573+X573,1,0)) - (W573+X573)
     )
     - IF(AND(AB573&lt;&gt;"""",AC573&lt;&gt;""""), 
          SUM(ARRAYFORMULA(SPLIT(AC573,"","") - SPLIT(AB573,"",""))"&amp;"), 
          0
       ),
     ""[hh]:mm""
   )
)
"),"07:13")</f>
        <v>07:13</v>
      </c>
      <c r="AJ573" s="27">
        <f t="shared" si="9"/>
        <v>0</v>
      </c>
      <c r="AK573" s="63" t="str">
        <f t="shared" si="10"/>
        <v>Pass</v>
      </c>
    </row>
    <row r="574">
      <c r="A574" s="45">
        <v>45946.0</v>
      </c>
      <c r="B574" s="49">
        <v>0.45625</v>
      </c>
      <c r="C574" s="45">
        <v>45946.0</v>
      </c>
      <c r="D574" s="49">
        <v>0.45625</v>
      </c>
      <c r="E574" s="21" t="s">
        <v>4685</v>
      </c>
      <c r="F574" s="21" t="s">
        <v>4686</v>
      </c>
      <c r="G574" s="21" t="s">
        <v>4687</v>
      </c>
      <c r="H574" s="21" t="s">
        <v>4040</v>
      </c>
      <c r="I574" s="21" t="s">
        <v>836</v>
      </c>
      <c r="J574" s="21" t="s">
        <v>1056</v>
      </c>
      <c r="K574" s="21" t="s">
        <v>635</v>
      </c>
      <c r="L574" s="21" t="s">
        <v>1585</v>
      </c>
      <c r="M574" s="21" t="s">
        <v>4688</v>
      </c>
      <c r="N574" s="21" t="s">
        <v>4681</v>
      </c>
      <c r="O574" s="48" t="s">
        <v>4689</v>
      </c>
      <c r="P574" s="21" t="s">
        <v>48</v>
      </c>
      <c r="Q574" s="24" t="s">
        <v>65</v>
      </c>
      <c r="R574" s="21" t="s">
        <v>4690</v>
      </c>
      <c r="S574" s="21" t="s">
        <v>51</v>
      </c>
      <c r="T574" s="21" t="s">
        <v>52</v>
      </c>
      <c r="U574" s="21" t="s">
        <v>52</v>
      </c>
      <c r="V574" s="21" t="s">
        <v>52</v>
      </c>
      <c r="W574" s="45">
        <v>45946.0</v>
      </c>
      <c r="X574" s="49">
        <v>0.45625</v>
      </c>
      <c r="Y574" s="45">
        <v>45946.0</v>
      </c>
      <c r="Z574" s="49">
        <v>0.7902777777777777</v>
      </c>
      <c r="AA574" s="49">
        <v>0.7951388888888888</v>
      </c>
      <c r="AB574" s="29"/>
      <c r="AC574" s="29"/>
      <c r="AD574" s="25">
        <v>0.8125</v>
      </c>
      <c r="AE574" s="45">
        <v>45946.0</v>
      </c>
      <c r="AF574" s="21" t="s">
        <v>3007</v>
      </c>
      <c r="AG574" s="21" t="s">
        <v>4622</v>
      </c>
      <c r="AH574" s="21" t="s">
        <v>4691</v>
      </c>
      <c r="AI574" s="62" t="str">
        <f>IFERROR(__xludf.DUMMYFUNCTION("IF(OR(W574="""",X574="""",AE574="""",AD574=""""),"""",
   TEXT(
     (
       (AE574+AD574 + IF(AE574+AD574 &lt; W574+X574,1,0)) - (W574+X574)
     )
     - IF(AND(AB574&lt;&gt;"""",AC574&lt;&gt;""""), 
          SUM(ARRAYFORMULA(SPLIT(AC574,"","") - SPLIT(AB574,"",""))"&amp;"), 
          0
       ),
     ""[hh]:mm""
   )
)
"),"08:33")</f>
        <v>08:33</v>
      </c>
      <c r="AJ574" s="27">
        <f t="shared" si="9"/>
        <v>0</v>
      </c>
      <c r="AK574" s="63" t="str">
        <f t="shared" si="10"/>
        <v>Pass</v>
      </c>
    </row>
    <row r="575">
      <c r="A575" s="45">
        <v>45946.0</v>
      </c>
      <c r="B575" s="49">
        <v>0.5965277777777778</v>
      </c>
      <c r="C575" s="45">
        <v>45946.0</v>
      </c>
      <c r="D575" s="49">
        <v>0.6138888888888889</v>
      </c>
      <c r="E575" s="21" t="s">
        <v>4692</v>
      </c>
      <c r="F575" s="21" t="s">
        <v>140</v>
      </c>
      <c r="G575" s="21" t="s">
        <v>835</v>
      </c>
      <c r="H575" s="21" t="s">
        <v>1881</v>
      </c>
      <c r="I575" s="21" t="s">
        <v>1497</v>
      </c>
      <c r="J575" s="21" t="s">
        <v>95</v>
      </c>
      <c r="K575" s="21" t="s">
        <v>143</v>
      </c>
      <c r="L575" s="21" t="s">
        <v>4693</v>
      </c>
      <c r="M575" s="21" t="s">
        <v>145</v>
      </c>
      <c r="N575" s="21" t="s">
        <v>4694</v>
      </c>
      <c r="O575" s="48" t="s">
        <v>4695</v>
      </c>
      <c r="P575" s="21" t="s">
        <v>75</v>
      </c>
      <c r="Q575" s="24" t="s">
        <v>49</v>
      </c>
      <c r="R575" s="21" t="s">
        <v>4696</v>
      </c>
      <c r="S575" s="21" t="s">
        <v>51</v>
      </c>
      <c r="T575" s="21" t="s">
        <v>52</v>
      </c>
      <c r="U575" s="21" t="s">
        <v>52</v>
      </c>
      <c r="V575" s="21" t="s">
        <v>52</v>
      </c>
      <c r="W575" s="45">
        <v>45946.0</v>
      </c>
      <c r="X575" s="49">
        <v>0.6138888888888889</v>
      </c>
      <c r="Y575" s="45">
        <v>45946.0</v>
      </c>
      <c r="Z575" s="49">
        <v>0.6923611111111111</v>
      </c>
      <c r="AA575" s="49">
        <v>0.6930555555555555</v>
      </c>
      <c r="AB575" s="29"/>
      <c r="AC575" s="29"/>
      <c r="AD575" s="25">
        <v>0.7055555555555556</v>
      </c>
      <c r="AE575" s="45">
        <v>45946.0</v>
      </c>
      <c r="AF575" s="21" t="s">
        <v>2819</v>
      </c>
      <c r="AG575" s="21" t="s">
        <v>1482</v>
      </c>
      <c r="AH575" s="21" t="s">
        <v>1483</v>
      </c>
      <c r="AI575" s="62" t="str">
        <f>IFERROR(__xludf.DUMMYFUNCTION("IF(OR(W575="""",X575="""",AE575="""",AD575=""""),"""",
   TEXT(
     (
       (AE575+AD575 + IF(AE575+AD575 &lt; W575+X575,1,0)) - (W575+X575)
     )
     - IF(AND(AB575&lt;&gt;"""",AC575&lt;&gt;""""), 
          SUM(ARRAYFORMULA(SPLIT(AC575,"","") - SPLIT(AB575,"",""))"&amp;"), 
          0
       ),
     ""[hh]:mm""
   )
)
"),"02:12")</f>
        <v>02:12</v>
      </c>
      <c r="AJ575" s="27">
        <f t="shared" si="9"/>
        <v>0</v>
      </c>
      <c r="AK575" s="63" t="str">
        <f t="shared" si="10"/>
        <v>Pass</v>
      </c>
    </row>
    <row r="576">
      <c r="A576" s="45">
        <v>45946.0</v>
      </c>
      <c r="B576" s="49">
        <v>0.8451388888888889</v>
      </c>
      <c r="C576" s="45">
        <v>45946.0</v>
      </c>
      <c r="D576" s="49">
        <v>0.8479166666666667</v>
      </c>
      <c r="E576" s="21" t="s">
        <v>4697</v>
      </c>
      <c r="F576" s="21" t="s">
        <v>2849</v>
      </c>
      <c r="G576" s="21" t="s">
        <v>2850</v>
      </c>
      <c r="H576" s="21" t="s">
        <v>746</v>
      </c>
      <c r="I576" s="21" t="s">
        <v>1135</v>
      </c>
      <c r="J576" s="21" t="s">
        <v>2655</v>
      </c>
      <c r="K576" s="21" t="s">
        <v>43</v>
      </c>
      <c r="L576" s="21" t="s">
        <v>4698</v>
      </c>
      <c r="M576" s="21">
        <v>2.02406280449E11</v>
      </c>
      <c r="N576" s="21" t="s">
        <v>4699</v>
      </c>
      <c r="O576" s="48" t="s">
        <v>4700</v>
      </c>
      <c r="P576" s="21" t="s">
        <v>75</v>
      </c>
      <c r="Q576" s="24" t="s">
        <v>65</v>
      </c>
      <c r="R576" s="21" t="s">
        <v>4701</v>
      </c>
      <c r="S576" s="21" t="s">
        <v>51</v>
      </c>
      <c r="T576" s="21" t="s">
        <v>679</v>
      </c>
      <c r="U576" s="21">
        <v>2.0240628026E11</v>
      </c>
      <c r="V576" s="21">
        <v>2.02406280449E11</v>
      </c>
      <c r="W576" s="45">
        <v>45947.0</v>
      </c>
      <c r="X576" s="49">
        <v>0.2916666666666667</v>
      </c>
      <c r="Y576" s="45">
        <v>45947.0</v>
      </c>
      <c r="Z576" s="49">
        <v>0.4791666666666667</v>
      </c>
      <c r="AA576" s="49">
        <v>0.5902777777777778</v>
      </c>
      <c r="AB576" s="24" t="s">
        <v>4702</v>
      </c>
      <c r="AC576" s="24" t="s">
        <v>4703</v>
      </c>
      <c r="AD576" s="25">
        <v>0.625</v>
      </c>
      <c r="AE576" s="45">
        <v>45947.0</v>
      </c>
      <c r="AF576" s="21" t="s">
        <v>3218</v>
      </c>
      <c r="AG576" s="21" t="s">
        <v>78</v>
      </c>
      <c r="AH576" s="21" t="s">
        <v>4704</v>
      </c>
      <c r="AI576" s="62" t="str">
        <f>IFERROR(__xludf.DUMMYFUNCTION("IF(OR(W576="""",X576="""",AE576="""",AD576=""""),"""",
   TEXT(
     (
       (AE576+AD576 + IF(AE576+AD576 &lt; W576+X576,1,0)) - (W576+X576)
     )
     - IF(AND(AB576&lt;&gt;"""",AC576&lt;&gt;""""), 
          SUM(ARRAYFORMULA(SPLIT(AC576,"","") - SPLIT(AB576,"",""))"&amp;"), 
          0
       ),
     ""[hh]:mm""
   )
)
"),"05:25")</f>
        <v>05:25</v>
      </c>
      <c r="AJ576" s="27">
        <f t="shared" si="9"/>
        <v>0</v>
      </c>
      <c r="AK576" s="63" t="str">
        <f t="shared" si="10"/>
        <v>Pass</v>
      </c>
    </row>
    <row r="577">
      <c r="A577" s="45">
        <v>45947.0</v>
      </c>
      <c r="B577" s="49">
        <v>0.0763888888888889</v>
      </c>
      <c r="C577" s="45">
        <v>45947.0</v>
      </c>
      <c r="D577" s="49">
        <v>0.30972222222222223</v>
      </c>
      <c r="E577" s="21" t="s">
        <v>4705</v>
      </c>
      <c r="F577" s="21" t="s">
        <v>4706</v>
      </c>
      <c r="G577" s="21" t="s">
        <v>4707</v>
      </c>
      <c r="H577" s="21" t="s">
        <v>1287</v>
      </c>
      <c r="I577" s="21" t="s">
        <v>131</v>
      </c>
      <c r="J577" s="21" t="s">
        <v>4708</v>
      </c>
      <c r="K577" s="21" t="s">
        <v>61</v>
      </c>
      <c r="L577" s="21" t="s">
        <v>1699</v>
      </c>
      <c r="M577" s="21" t="s">
        <v>4709</v>
      </c>
      <c r="N577" s="21" t="s">
        <v>4446</v>
      </c>
      <c r="O577" s="48" t="s">
        <v>4710</v>
      </c>
      <c r="P577" s="21" t="s">
        <v>75</v>
      </c>
      <c r="Q577" s="24" t="s">
        <v>65</v>
      </c>
      <c r="R577" s="21" t="s">
        <v>4711</v>
      </c>
      <c r="S577" s="21" t="s">
        <v>51</v>
      </c>
      <c r="T577" s="21" t="s">
        <v>657</v>
      </c>
      <c r="U577" s="21" t="s">
        <v>4712</v>
      </c>
      <c r="V577" s="21" t="s">
        <v>4713</v>
      </c>
      <c r="W577" s="45">
        <v>45947.0</v>
      </c>
      <c r="X577" s="49">
        <v>0.30972222222222223</v>
      </c>
      <c r="Y577" s="45">
        <v>45947.0</v>
      </c>
      <c r="Z577" s="49">
        <v>0.625</v>
      </c>
      <c r="AA577" s="49">
        <v>0.6458333333333334</v>
      </c>
      <c r="AB577" s="24" t="s">
        <v>4714</v>
      </c>
      <c r="AC577" s="24" t="s">
        <v>4715</v>
      </c>
      <c r="AD577" s="25">
        <v>0.7152777777777778</v>
      </c>
      <c r="AE577" s="45">
        <v>45947.0</v>
      </c>
      <c r="AF577" s="21" t="s">
        <v>2711</v>
      </c>
      <c r="AG577" s="21" t="s">
        <v>1117</v>
      </c>
      <c r="AH577" s="21" t="s">
        <v>4716</v>
      </c>
      <c r="AI577" s="62" t="str">
        <f>IFERROR(__xludf.DUMMYFUNCTION("IF(OR(W577="""",X577="""",AE577="""",AD577=""""),"""",
   TEXT(
     (
       (AE577+AD577 + IF(AE577+AD577 &lt; W577+X577,1,0)) - (W577+X577)
     )
     - IF(AND(AB577&lt;&gt;"""",AC577&lt;&gt;""""), 
          SUM(ARRAYFORMULA(SPLIT(AC577,"","") - SPLIT(AB577,"",""))"&amp;"), 
          0
       ),
     ""[hh]:mm""
   )
)
"),"08:44")</f>
        <v>08:44</v>
      </c>
      <c r="AJ577" s="27">
        <f t="shared" si="9"/>
        <v>0</v>
      </c>
      <c r="AK577" s="63" t="str">
        <f t="shared" si="10"/>
        <v>Pass</v>
      </c>
    </row>
    <row r="578">
      <c r="A578" s="45">
        <v>45946.0</v>
      </c>
      <c r="B578" s="49">
        <v>0.2013888888888889</v>
      </c>
      <c r="C578" s="45">
        <v>45946.0</v>
      </c>
      <c r="D578" s="49">
        <v>0.3159722222222222</v>
      </c>
      <c r="E578" s="21" t="s">
        <v>4717</v>
      </c>
      <c r="F578" s="21" t="s">
        <v>4718</v>
      </c>
      <c r="G578" s="21" t="s">
        <v>4719</v>
      </c>
      <c r="H578" s="21" t="s">
        <v>156</v>
      </c>
      <c r="I578" s="21" t="s">
        <v>131</v>
      </c>
      <c r="J578" s="21" t="s">
        <v>2253</v>
      </c>
      <c r="K578" s="21" t="s">
        <v>43</v>
      </c>
      <c r="L578" s="21" t="s">
        <v>1251</v>
      </c>
      <c r="M578" s="21" t="s">
        <v>4720</v>
      </c>
      <c r="N578" s="21" t="s">
        <v>4721</v>
      </c>
      <c r="O578" s="48" t="s">
        <v>4722</v>
      </c>
      <c r="P578" s="21" t="s">
        <v>75</v>
      </c>
      <c r="Q578" s="24" t="s">
        <v>65</v>
      </c>
      <c r="R578" s="21" t="s">
        <v>4723</v>
      </c>
      <c r="S578" s="21" t="s">
        <v>51</v>
      </c>
      <c r="T578" s="21" t="s">
        <v>657</v>
      </c>
      <c r="U578" s="21" t="s">
        <v>4724</v>
      </c>
      <c r="V578" s="21" t="s">
        <v>4725</v>
      </c>
      <c r="W578" s="45">
        <v>45947.0</v>
      </c>
      <c r="X578" s="49">
        <v>0.3159722222222222</v>
      </c>
      <c r="Y578" s="45">
        <v>45947.0</v>
      </c>
      <c r="Z578" s="49">
        <v>0.4375</v>
      </c>
      <c r="AA578" s="49">
        <v>0.4444444444444444</v>
      </c>
      <c r="AB578" s="25">
        <v>0.4513888888888889</v>
      </c>
      <c r="AC578" s="25">
        <v>0.5118055555555555</v>
      </c>
      <c r="AD578" s="25">
        <v>0.5263888888888889</v>
      </c>
      <c r="AE578" s="45">
        <v>45947.0</v>
      </c>
      <c r="AF578" s="21" t="s">
        <v>2931</v>
      </c>
      <c r="AG578" s="21" t="s">
        <v>4726</v>
      </c>
      <c r="AH578" s="21" t="s">
        <v>3002</v>
      </c>
      <c r="AI578" s="62" t="str">
        <f>IFERROR(__xludf.DUMMYFUNCTION("IF(OR(W578="""",X578="""",AE578="""",AD578=""""),"""",
   TEXT(
     (
       (AE578+AD578 + IF(AE578+AD578 &lt; W578+X578,1,0)) - (W578+X578)
     )
     - IF(AND(AB578&lt;&gt;"""",AC578&lt;&gt;""""), 
          SUM(ARRAYFORMULA(SPLIT(AC578,"","") - SPLIT(AB578,"",""))"&amp;"), 
          0
       ),
     ""[hh]:mm""
   )
)
"),"03:36")</f>
        <v>03:36</v>
      </c>
      <c r="AJ578" s="27">
        <f t="shared" si="9"/>
        <v>0</v>
      </c>
      <c r="AK578" s="63" t="str">
        <f t="shared" si="10"/>
        <v>Pass</v>
      </c>
    </row>
    <row r="579">
      <c r="A579" s="45">
        <v>45947.0</v>
      </c>
      <c r="B579" s="49">
        <v>0.37430555555555556</v>
      </c>
      <c r="C579" s="45">
        <v>45947.0</v>
      </c>
      <c r="D579" s="49">
        <v>0.3763888888888889</v>
      </c>
      <c r="E579" s="21" t="s">
        <v>4727</v>
      </c>
      <c r="F579" s="21" t="s">
        <v>939</v>
      </c>
      <c r="G579" s="21" t="s">
        <v>4728</v>
      </c>
      <c r="H579" s="21" t="s">
        <v>130</v>
      </c>
      <c r="I579" s="21" t="s">
        <v>95</v>
      </c>
      <c r="J579" s="21" t="s">
        <v>95</v>
      </c>
      <c r="K579" s="21" t="s">
        <v>143</v>
      </c>
      <c r="L579" s="21" t="s">
        <v>4729</v>
      </c>
      <c r="M579" s="21" t="s">
        <v>4730</v>
      </c>
      <c r="N579" s="21" t="s">
        <v>4731</v>
      </c>
      <c r="O579" s="48" t="s">
        <v>4732</v>
      </c>
      <c r="P579" s="21" t="s">
        <v>75</v>
      </c>
      <c r="Q579" s="24" t="s">
        <v>49</v>
      </c>
      <c r="R579" s="21" t="s">
        <v>4733</v>
      </c>
      <c r="S579" s="21" t="s">
        <v>51</v>
      </c>
      <c r="T579" s="21" t="s">
        <v>4734</v>
      </c>
      <c r="U579" s="21" t="s">
        <v>4735</v>
      </c>
      <c r="V579" s="21" t="s">
        <v>4736</v>
      </c>
      <c r="W579" s="45">
        <v>45947.0</v>
      </c>
      <c r="X579" s="49">
        <v>0.3763888888888889</v>
      </c>
      <c r="Y579" s="45">
        <v>45947.0</v>
      </c>
      <c r="Z579" s="49">
        <v>0.4444444444444444</v>
      </c>
      <c r="AA579" s="49">
        <v>0.4479166666666667</v>
      </c>
      <c r="AB579" s="24" t="s">
        <v>4737</v>
      </c>
      <c r="AC579" s="24" t="s">
        <v>4738</v>
      </c>
      <c r="AD579" s="25">
        <v>0.7638888888888888</v>
      </c>
      <c r="AE579" s="45">
        <v>45947.0</v>
      </c>
      <c r="AF579" s="21" t="s">
        <v>2819</v>
      </c>
      <c r="AG579" s="21" t="s">
        <v>54</v>
      </c>
      <c r="AH579" s="21" t="s">
        <v>4739</v>
      </c>
      <c r="AI579" s="62" t="str">
        <f>IFERROR(__xludf.DUMMYFUNCTION("IF(OR(W579="""",X579="""",AE579="""",AD579=""""),"""",
   TEXT(
     (
       (AE579+AD579 + IF(AE579+AD579 &lt; W579+X579,1,0)) - (W579+X579)
     )
     - IF(AND(AB579&lt;&gt;"""",AC579&lt;&gt;""""), 
          SUM(ARRAYFORMULA(SPLIT(AC579,"","") - SPLIT(AB579,"",""))"&amp;"), 
          0
       ),
     ""[hh]:mm""
   )
)
"),"03:38")</f>
        <v>03:38</v>
      </c>
      <c r="AJ579" s="27">
        <f t="shared" si="9"/>
        <v>0</v>
      </c>
      <c r="AK579" s="63" t="str">
        <f t="shared" si="10"/>
        <v>Pass</v>
      </c>
    </row>
    <row r="580">
      <c r="A580" s="45">
        <v>45946.0</v>
      </c>
      <c r="B580" s="49">
        <v>0.5694444444444444</v>
      </c>
      <c r="C580" s="45">
        <v>45946.0</v>
      </c>
      <c r="D580" s="49">
        <v>0.5770833333333333</v>
      </c>
      <c r="E580" s="21" t="s">
        <v>4740</v>
      </c>
      <c r="F580" s="21" t="s">
        <v>718</v>
      </c>
      <c r="G580" s="21" t="s">
        <v>719</v>
      </c>
      <c r="H580" s="21" t="s">
        <v>3471</v>
      </c>
      <c r="I580" s="21" t="s">
        <v>815</v>
      </c>
      <c r="J580" s="21" t="s">
        <v>1084</v>
      </c>
      <c r="K580" s="21" t="s">
        <v>3525</v>
      </c>
      <c r="L580" s="21" t="s">
        <v>4741</v>
      </c>
      <c r="M580" s="21">
        <v>4.2500000507E10</v>
      </c>
      <c r="N580" s="21" t="s">
        <v>4742</v>
      </c>
      <c r="O580" s="48" t="s">
        <v>4743</v>
      </c>
      <c r="P580" s="21" t="s">
        <v>48</v>
      </c>
      <c r="Q580" s="24" t="s">
        <v>198</v>
      </c>
      <c r="R580" s="21" t="s">
        <v>4744</v>
      </c>
      <c r="S580" s="21" t="s">
        <v>51</v>
      </c>
      <c r="T580" s="21" t="s">
        <v>52</v>
      </c>
      <c r="U580" s="21" t="s">
        <v>52</v>
      </c>
      <c r="V580" s="21" t="s">
        <v>52</v>
      </c>
      <c r="W580" s="45">
        <v>45947.0</v>
      </c>
      <c r="X580" s="49">
        <v>0.4166666666666667</v>
      </c>
      <c r="Y580" s="45">
        <v>45947.0</v>
      </c>
      <c r="Z580" s="49">
        <v>0.48055555555555557</v>
      </c>
      <c r="AA580" s="49">
        <v>0.4826388888888889</v>
      </c>
      <c r="AB580" s="29"/>
      <c r="AC580" s="29"/>
      <c r="AD580" s="25">
        <v>0.5430555555555555</v>
      </c>
      <c r="AE580" s="45">
        <v>45947.0</v>
      </c>
      <c r="AF580" s="21" t="s">
        <v>2730</v>
      </c>
      <c r="AG580" s="21" t="s">
        <v>67</v>
      </c>
      <c r="AH580" s="21" t="s">
        <v>4745</v>
      </c>
      <c r="AI580" s="62" t="str">
        <f>IFERROR(__xludf.DUMMYFUNCTION("IF(OR(W580="""",X580="""",AE580="""",AD580=""""),"""",
   TEXT(
     (
       (AE580+AD580 + IF(AE580+AD580 &lt; W580+X580,1,0)) - (W580+X580)
     )
     - IF(AND(AB580&lt;&gt;"""",AC580&lt;&gt;""""), 
          SUM(ARRAYFORMULA(SPLIT(AC580,"","") - SPLIT(AB580,"",""))"&amp;"), 
          0
       ),
     ""[hh]:mm""
   )
)
"),"03:02")</f>
        <v>03:02</v>
      </c>
      <c r="AJ580" s="27">
        <f t="shared" si="9"/>
        <v>0</v>
      </c>
      <c r="AK580" s="63" t="str">
        <f t="shared" si="10"/>
        <v>Pass</v>
      </c>
    </row>
    <row r="581">
      <c r="A581" s="45">
        <v>45947.0</v>
      </c>
      <c r="B581" s="49">
        <v>0.4284722222222222</v>
      </c>
      <c r="C581" s="45">
        <v>45947.0</v>
      </c>
      <c r="D581" s="49">
        <v>0.42986111111111114</v>
      </c>
      <c r="E581" s="21" t="s">
        <v>4746</v>
      </c>
      <c r="F581" s="21" t="s">
        <v>2284</v>
      </c>
      <c r="G581" s="21" t="s">
        <v>4747</v>
      </c>
      <c r="H581" s="21" t="s">
        <v>4040</v>
      </c>
      <c r="I581" s="21" t="s">
        <v>1854</v>
      </c>
      <c r="J581" s="21" t="s">
        <v>1056</v>
      </c>
      <c r="K581" s="21" t="s">
        <v>635</v>
      </c>
      <c r="L581" s="21" t="s">
        <v>1585</v>
      </c>
      <c r="M581" s="21" t="s">
        <v>4748</v>
      </c>
      <c r="N581" s="21" t="s">
        <v>4749</v>
      </c>
      <c r="O581" s="48" t="s">
        <v>4750</v>
      </c>
      <c r="P581" s="21" t="s">
        <v>48</v>
      </c>
      <c r="Q581" s="24" t="s">
        <v>65</v>
      </c>
      <c r="R581" s="21" t="s">
        <v>4751</v>
      </c>
      <c r="S581" s="21" t="s">
        <v>51</v>
      </c>
      <c r="T581" s="21" t="s">
        <v>52</v>
      </c>
      <c r="U581" s="21" t="s">
        <v>52</v>
      </c>
      <c r="V581" s="21" t="s">
        <v>52</v>
      </c>
      <c r="W581" s="45">
        <v>45947.0</v>
      </c>
      <c r="X581" s="49">
        <v>0.42986111111111114</v>
      </c>
      <c r="Y581" s="45">
        <v>45947.0</v>
      </c>
      <c r="Z581" s="49">
        <v>0.5375</v>
      </c>
      <c r="AA581" s="49">
        <v>0.5375</v>
      </c>
      <c r="AB581" s="29"/>
      <c r="AC581" s="29"/>
      <c r="AD581" s="25">
        <v>0.5777777777777777</v>
      </c>
      <c r="AE581" s="45">
        <v>45947.0</v>
      </c>
      <c r="AF581" s="21" t="s">
        <v>3007</v>
      </c>
      <c r="AG581" s="21" t="s">
        <v>162</v>
      </c>
      <c r="AH581" s="21" t="s">
        <v>4752</v>
      </c>
      <c r="AI581" s="62" t="str">
        <f>IFERROR(__xludf.DUMMYFUNCTION("IF(OR(W581="""",X581="""",AE581="""",AD581=""""),"""",
   TEXT(
     (
       (AE581+AD581 + IF(AE581+AD581 &lt; W581+X581,1,0)) - (W581+X581)
     )
     - IF(AND(AB581&lt;&gt;"""",AC581&lt;&gt;""""), 
          SUM(ARRAYFORMULA(SPLIT(AC581,"","") - SPLIT(AB581,"",""))"&amp;"), 
          0
       ),
     ""[hh]:mm""
   )
)
"),"03:33")</f>
        <v>03:33</v>
      </c>
      <c r="AJ581" s="27">
        <f t="shared" si="9"/>
        <v>0</v>
      </c>
      <c r="AK581" s="63" t="str">
        <f t="shared" si="10"/>
        <v>Pass</v>
      </c>
    </row>
    <row r="582">
      <c r="A582" s="45">
        <v>45939.0</v>
      </c>
      <c r="B582" s="49">
        <v>0.8506944444444444</v>
      </c>
      <c r="C582" s="45">
        <v>45947.0</v>
      </c>
      <c r="D582" s="80">
        <v>0.4652777777777778</v>
      </c>
      <c r="E582" s="21" t="s">
        <v>4753</v>
      </c>
      <c r="F582" s="21" t="s">
        <v>1783</v>
      </c>
      <c r="G582" s="21" t="s">
        <v>4754</v>
      </c>
      <c r="H582" s="21" t="s">
        <v>1610</v>
      </c>
      <c r="I582" s="21" t="s">
        <v>1612</v>
      </c>
      <c r="J582" s="21" t="s">
        <v>1612</v>
      </c>
      <c r="K582" s="21" t="s">
        <v>143</v>
      </c>
      <c r="L582" s="21" t="s">
        <v>4755</v>
      </c>
      <c r="M582" s="21" t="s">
        <v>4756</v>
      </c>
      <c r="N582" s="21" t="s">
        <v>4757</v>
      </c>
      <c r="O582" s="48" t="s">
        <v>4758</v>
      </c>
      <c r="P582" s="21" t="s">
        <v>187</v>
      </c>
      <c r="Q582" s="24" t="s">
        <v>65</v>
      </c>
      <c r="R582" s="21" t="s">
        <v>4759</v>
      </c>
      <c r="S582" s="21" t="s">
        <v>51</v>
      </c>
      <c r="T582" s="21" t="s">
        <v>52</v>
      </c>
      <c r="U582" s="21" t="s">
        <v>52</v>
      </c>
      <c r="V582" s="21" t="s">
        <v>52</v>
      </c>
      <c r="W582" s="45">
        <v>45947.0</v>
      </c>
      <c r="X582" s="49">
        <v>0.4652777777777778</v>
      </c>
      <c r="Y582" s="45">
        <v>45947.0</v>
      </c>
      <c r="Z582" s="49">
        <v>0.5930555555555556</v>
      </c>
      <c r="AA582" s="49">
        <v>0.59375</v>
      </c>
      <c r="AB582" s="29"/>
      <c r="AC582" s="29"/>
      <c r="AD582" s="25">
        <v>0.6458333333333334</v>
      </c>
      <c r="AE582" s="45">
        <v>45947.0</v>
      </c>
      <c r="AF582" s="21" t="s">
        <v>3358</v>
      </c>
      <c r="AG582" s="21" t="s">
        <v>2086</v>
      </c>
      <c r="AH582" s="21" t="s">
        <v>1790</v>
      </c>
      <c r="AI582" s="62" t="str">
        <f>IFERROR(__xludf.DUMMYFUNCTION("IF(OR(W582="""",X582="""",AE582="""",AD582=""""),"""",
   TEXT(
     (
       (AE582+AD582 + IF(AE582+AD582 &lt; W582+X582,1,0)) - (W582+X582)
     )
     - IF(AND(AB582&lt;&gt;"""",AC582&lt;&gt;""""), 
          SUM(ARRAYFORMULA(SPLIT(AC582,"","") - SPLIT(AB582,"",""))"&amp;"), 
          0
       ),
     ""[hh]:mm""
   )
)
"),"04:20")</f>
        <v>04:20</v>
      </c>
      <c r="AJ582" s="27">
        <f t="shared" si="9"/>
        <v>0</v>
      </c>
      <c r="AK582" s="63" t="str">
        <f t="shared" si="10"/>
        <v>Pass</v>
      </c>
    </row>
    <row r="583">
      <c r="A583" s="45">
        <v>45945.0</v>
      </c>
      <c r="B583" s="49">
        <v>0.61875</v>
      </c>
      <c r="C583" s="45">
        <v>45945.0</v>
      </c>
      <c r="D583" s="49">
        <v>0.6208333333333333</v>
      </c>
      <c r="E583" s="21" t="s">
        <v>4760</v>
      </c>
      <c r="F583" s="21" t="s">
        <v>3707</v>
      </c>
      <c r="G583" s="21" t="s">
        <v>3708</v>
      </c>
      <c r="H583" s="21" t="s">
        <v>1610</v>
      </c>
      <c r="I583" s="21" t="s">
        <v>1612</v>
      </c>
      <c r="J583" s="21" t="s">
        <v>1612</v>
      </c>
      <c r="K583" s="21" t="s">
        <v>143</v>
      </c>
      <c r="L583" s="21" t="s">
        <v>1613</v>
      </c>
      <c r="M583" s="21" t="s">
        <v>4761</v>
      </c>
      <c r="N583" s="21" t="s">
        <v>4762</v>
      </c>
      <c r="O583" s="48" t="s">
        <v>4763</v>
      </c>
      <c r="P583" s="21" t="s">
        <v>187</v>
      </c>
      <c r="Q583" s="24" t="s">
        <v>65</v>
      </c>
      <c r="R583" s="21" t="s">
        <v>4764</v>
      </c>
      <c r="S583" s="21" t="s">
        <v>51</v>
      </c>
      <c r="T583" s="21" t="s">
        <v>52</v>
      </c>
      <c r="U583" s="21" t="s">
        <v>52</v>
      </c>
      <c r="V583" s="21" t="s">
        <v>52</v>
      </c>
      <c r="W583" s="45">
        <v>45947.0</v>
      </c>
      <c r="X583" s="49">
        <v>0.5979166666666667</v>
      </c>
      <c r="Y583" s="45">
        <v>45947.0</v>
      </c>
      <c r="Z583" s="49">
        <v>0.7381944444444445</v>
      </c>
      <c r="AA583" s="49">
        <v>0.7381944444444445</v>
      </c>
      <c r="AB583" s="25">
        <v>0.7388888888888889</v>
      </c>
      <c r="AC583" s="25">
        <v>0.7958333333333333</v>
      </c>
      <c r="AD583" s="25">
        <v>0.8194444444444444</v>
      </c>
      <c r="AE583" s="45">
        <v>45947.0</v>
      </c>
      <c r="AF583" s="21" t="s">
        <v>3358</v>
      </c>
      <c r="AG583" s="21" t="s">
        <v>239</v>
      </c>
      <c r="AH583" s="21" t="s">
        <v>3714</v>
      </c>
      <c r="AI583" s="62" t="str">
        <f>IFERROR(__xludf.DUMMYFUNCTION("IF(OR(W583="""",X583="""",AE583="""",AD583=""""),"""",
   TEXT(
     (
       (AE583+AD583 + IF(AE583+AD583 &lt; W583+X583,1,0)) - (W583+X583)
     )
     - IF(AND(AB583&lt;&gt;"""",AC583&lt;&gt;""""), 
          SUM(ARRAYFORMULA(SPLIT(AC583,"","") - SPLIT(AB583,"",""))"&amp;"), 
          0
       ),
     ""[hh]:mm""
   )
)
"),"03:57")</f>
        <v>03:57</v>
      </c>
      <c r="AJ583" s="27">
        <f t="shared" si="9"/>
        <v>0</v>
      </c>
      <c r="AK583" s="63" t="str">
        <f t="shared" si="10"/>
        <v>Pass</v>
      </c>
    </row>
    <row r="584">
      <c r="A584" s="45">
        <v>45947.0</v>
      </c>
      <c r="B584" s="49">
        <v>0.5534722222222223</v>
      </c>
      <c r="C584" s="45">
        <v>45947.0</v>
      </c>
      <c r="D584" s="49">
        <v>0.5680555555555555</v>
      </c>
      <c r="E584" s="21" t="s">
        <v>4765</v>
      </c>
      <c r="F584" s="21" t="s">
        <v>375</v>
      </c>
      <c r="G584" s="21" t="s">
        <v>1134</v>
      </c>
      <c r="H584" s="21" t="s">
        <v>156</v>
      </c>
      <c r="I584" s="21" t="s">
        <v>616</v>
      </c>
      <c r="J584" s="21" t="s">
        <v>4708</v>
      </c>
      <c r="K584" s="21" t="s">
        <v>61</v>
      </c>
      <c r="L584" s="21" t="s">
        <v>1699</v>
      </c>
      <c r="M584" s="21" t="s">
        <v>4766</v>
      </c>
      <c r="N584" s="21" t="s">
        <v>4767</v>
      </c>
      <c r="O584" s="48" t="s">
        <v>4768</v>
      </c>
      <c r="P584" s="21" t="s">
        <v>75</v>
      </c>
      <c r="Q584" s="24" t="s">
        <v>65</v>
      </c>
      <c r="R584" s="21" t="s">
        <v>4769</v>
      </c>
      <c r="S584" s="21" t="s">
        <v>51</v>
      </c>
      <c r="T584" s="21" t="s">
        <v>52</v>
      </c>
      <c r="U584" s="21" t="s">
        <v>52</v>
      </c>
      <c r="V584" s="21" t="s">
        <v>52</v>
      </c>
      <c r="W584" s="45">
        <v>45947.0</v>
      </c>
      <c r="X584" s="49">
        <v>0.5680555555555555</v>
      </c>
      <c r="Y584" s="45">
        <v>45947.0</v>
      </c>
      <c r="Z584" s="49">
        <v>0.7506944444444444</v>
      </c>
      <c r="AA584" s="49">
        <v>0.7569444444444444</v>
      </c>
      <c r="AB584" s="29"/>
      <c r="AC584" s="29"/>
      <c r="AD584" s="25">
        <v>0.7916666666666666</v>
      </c>
      <c r="AE584" s="45">
        <v>45947.0</v>
      </c>
      <c r="AF584" s="21" t="s">
        <v>2819</v>
      </c>
      <c r="AG584" s="21" t="s">
        <v>4391</v>
      </c>
      <c r="AH584" s="21" t="s">
        <v>4770</v>
      </c>
      <c r="AI584" s="62" t="str">
        <f>IFERROR(__xludf.DUMMYFUNCTION("IF(OR(W584="""",X584="""",AE584="""",AD584=""""),"""",
   TEXT(
     (
       (AE584+AD584 + IF(AE584+AD584 &lt; W584+X584,1,0)) - (W584+X584)
     )
     - IF(AND(AB584&lt;&gt;"""",AC584&lt;&gt;""""), 
          SUM(ARRAYFORMULA(SPLIT(AC584,"","") - SPLIT(AB584,"",""))"&amp;"), 
          0
       ),
     ""[hh]:mm""
   )
)
"),"05:22")</f>
        <v>05:22</v>
      </c>
      <c r="AJ584" s="27">
        <f t="shared" si="9"/>
        <v>0</v>
      </c>
      <c r="AK584" s="63" t="str">
        <f t="shared" si="10"/>
        <v>Pass</v>
      </c>
    </row>
    <row r="585">
      <c r="A585" s="45">
        <v>45948.0</v>
      </c>
      <c r="B585" s="49">
        <v>0.40902777777777777</v>
      </c>
      <c r="C585" s="45">
        <v>45948.0</v>
      </c>
      <c r="D585" s="49">
        <v>0.41597222222222224</v>
      </c>
      <c r="E585" s="21" t="s">
        <v>4771</v>
      </c>
      <c r="F585" s="21" t="s">
        <v>1978</v>
      </c>
      <c r="G585" s="21" t="s">
        <v>1979</v>
      </c>
      <c r="H585" s="21" t="s">
        <v>244</v>
      </c>
      <c r="I585" s="21" t="s">
        <v>95</v>
      </c>
      <c r="J585" s="21" t="s">
        <v>95</v>
      </c>
      <c r="K585" s="21" t="s">
        <v>143</v>
      </c>
      <c r="L585" s="21" t="s">
        <v>3049</v>
      </c>
      <c r="M585" s="21" t="s">
        <v>4772</v>
      </c>
      <c r="N585" s="21" t="s">
        <v>4773</v>
      </c>
      <c r="O585" s="48" t="s">
        <v>4774</v>
      </c>
      <c r="P585" s="21" t="s">
        <v>48</v>
      </c>
      <c r="Q585" s="24" t="s">
        <v>49</v>
      </c>
      <c r="R585" s="21" t="s">
        <v>4775</v>
      </c>
      <c r="S585" s="21" t="s">
        <v>51</v>
      </c>
      <c r="T585" s="21" t="s">
        <v>52</v>
      </c>
      <c r="U585" s="21" t="s">
        <v>52</v>
      </c>
      <c r="V585" s="21" t="s">
        <v>52</v>
      </c>
      <c r="W585" s="45">
        <v>45948.0</v>
      </c>
      <c r="X585" s="49">
        <v>0.41597222222222224</v>
      </c>
      <c r="Y585" s="45">
        <v>45948.0</v>
      </c>
      <c r="Z585" s="49">
        <v>0.5472222222222223</v>
      </c>
      <c r="AA585" s="49">
        <v>0.5486111111111112</v>
      </c>
      <c r="AB585" s="25">
        <v>0.5763888888888888</v>
      </c>
      <c r="AC585" s="25">
        <v>0.6180555555555556</v>
      </c>
      <c r="AD585" s="25">
        <v>0.6180555555555556</v>
      </c>
      <c r="AE585" s="45">
        <v>45948.0</v>
      </c>
      <c r="AF585" s="21" t="s">
        <v>2819</v>
      </c>
      <c r="AG585" s="21" t="s">
        <v>293</v>
      </c>
      <c r="AH585" s="21" t="s">
        <v>4776</v>
      </c>
      <c r="AI585" s="62" t="str">
        <f>IFERROR(__xludf.DUMMYFUNCTION("IF(OR(W585="""",X585="""",AE585="""",AD585=""""),"""",
   TEXT(
     (
       (AE585+AD585 + IF(AE585+AD585 &lt; W585+X585,1,0)) - (W585+X585)
     )
     - IF(AND(AB585&lt;&gt;"""",AC585&lt;&gt;""""), 
          SUM(ARRAYFORMULA(SPLIT(AC585,"","") - SPLIT(AB585,"",""))"&amp;"), 
          0
       ),
     ""[hh]:mm""
   )
)
"),"03:51")</f>
        <v>03:51</v>
      </c>
      <c r="AJ585" s="27">
        <f t="shared" si="9"/>
        <v>0</v>
      </c>
      <c r="AK585" s="63" t="str">
        <f t="shared" si="10"/>
        <v>Pass</v>
      </c>
    </row>
    <row r="586">
      <c r="A586" s="45">
        <v>45948.0</v>
      </c>
      <c r="B586" s="49">
        <v>0.4652777777777778</v>
      </c>
      <c r="C586" s="45">
        <v>45948.0</v>
      </c>
      <c r="D586" s="49">
        <v>0.47708333333333336</v>
      </c>
      <c r="E586" s="21" t="s">
        <v>4777</v>
      </c>
      <c r="F586" s="21" t="s">
        <v>1833</v>
      </c>
      <c r="G586" s="21" t="s">
        <v>1834</v>
      </c>
      <c r="H586" s="21" t="s">
        <v>566</v>
      </c>
      <c r="I586" s="21" t="s">
        <v>60</v>
      </c>
      <c r="J586" s="21" t="s">
        <v>3813</v>
      </c>
      <c r="K586" s="21" t="s">
        <v>61</v>
      </c>
      <c r="L586" s="21" t="s">
        <v>183</v>
      </c>
      <c r="M586" s="21" t="s">
        <v>4778</v>
      </c>
      <c r="N586" s="21" t="s">
        <v>4779</v>
      </c>
      <c r="O586" s="48" t="s">
        <v>4780</v>
      </c>
      <c r="P586" s="21" t="s">
        <v>48</v>
      </c>
      <c r="Q586" s="24" t="s">
        <v>65</v>
      </c>
      <c r="R586" s="21" t="s">
        <v>4781</v>
      </c>
      <c r="S586" s="21" t="s">
        <v>51</v>
      </c>
      <c r="T586" s="21" t="s">
        <v>52</v>
      </c>
      <c r="U586" s="21" t="s">
        <v>52</v>
      </c>
      <c r="V586" s="21" t="s">
        <v>52</v>
      </c>
      <c r="W586" s="45">
        <v>45948.0</v>
      </c>
      <c r="X586" s="49">
        <v>0.47708333333333336</v>
      </c>
      <c r="Y586" s="45">
        <v>45948.0</v>
      </c>
      <c r="Z586" s="49">
        <v>0.5729166666666666</v>
      </c>
      <c r="AA586" s="49">
        <v>0.5833333333333334</v>
      </c>
      <c r="AB586" s="25">
        <v>0.6458333333333334</v>
      </c>
      <c r="AC586" s="25">
        <v>0.6666666666666666</v>
      </c>
      <c r="AD586" s="25">
        <v>0.6875</v>
      </c>
      <c r="AE586" s="45">
        <v>45948.0</v>
      </c>
      <c r="AF586" s="21" t="s">
        <v>2711</v>
      </c>
      <c r="AG586" s="21" t="s">
        <v>78</v>
      </c>
      <c r="AH586" s="21" t="s">
        <v>4782</v>
      </c>
      <c r="AI586" s="62" t="str">
        <f>IFERROR(__xludf.DUMMYFUNCTION("IF(OR(W586="""",X586="""",AE586="""",AD586=""""),"""",
   TEXT(
     (
       (AE586+AD586 + IF(AE586+AD586 &lt; W586+X586,1,0)) - (W586+X586)
     )
     - IF(AND(AB586&lt;&gt;"""",AC586&lt;&gt;""""), 
          SUM(ARRAYFORMULA(SPLIT(AC586,"","") - SPLIT(AB586,"",""))"&amp;"), 
          0
       ),
     ""[hh]:mm""
   )
)
"),"04:33")</f>
        <v>04:33</v>
      </c>
      <c r="AJ586" s="27">
        <f t="shared" si="9"/>
        <v>0</v>
      </c>
      <c r="AK586" s="63" t="str">
        <f t="shared" si="10"/>
        <v>Pass</v>
      </c>
    </row>
    <row r="587">
      <c r="A587" s="45">
        <v>45948.0</v>
      </c>
      <c r="B587" s="49">
        <v>0.4652777777777778</v>
      </c>
      <c r="C587" s="45">
        <v>45948.0</v>
      </c>
      <c r="D587" s="49">
        <v>0.47708333333333336</v>
      </c>
      <c r="E587" s="21" t="s">
        <v>4783</v>
      </c>
      <c r="F587" s="21" t="s">
        <v>1833</v>
      </c>
      <c r="G587" s="21" t="s">
        <v>1834</v>
      </c>
      <c r="H587" s="21" t="s">
        <v>566</v>
      </c>
      <c r="I587" s="21" t="s">
        <v>234</v>
      </c>
      <c r="J587" s="21" t="s">
        <v>3813</v>
      </c>
      <c r="K587" s="21" t="s">
        <v>61</v>
      </c>
      <c r="L587" s="21" t="s">
        <v>183</v>
      </c>
      <c r="M587" s="21" t="s">
        <v>4784</v>
      </c>
      <c r="N587" s="21" t="s">
        <v>4785</v>
      </c>
      <c r="O587" s="48" t="s">
        <v>4786</v>
      </c>
      <c r="P587" s="21" t="s">
        <v>48</v>
      </c>
      <c r="Q587" s="24" t="s">
        <v>65</v>
      </c>
      <c r="R587" s="21" t="s">
        <v>4787</v>
      </c>
      <c r="S587" s="21" t="s">
        <v>51</v>
      </c>
      <c r="T587" s="21" t="s">
        <v>52</v>
      </c>
      <c r="U587" s="21" t="s">
        <v>52</v>
      </c>
      <c r="V587" s="21" t="s">
        <v>52</v>
      </c>
      <c r="W587" s="45">
        <v>45948.0</v>
      </c>
      <c r="X587" s="49">
        <v>0.47708333333333336</v>
      </c>
      <c r="Y587" s="45">
        <v>45948.0</v>
      </c>
      <c r="Z587" s="49">
        <v>0.5729166666666666</v>
      </c>
      <c r="AA587" s="49">
        <v>0.5833333333333334</v>
      </c>
      <c r="AB587" s="25">
        <v>0.6458333333333334</v>
      </c>
      <c r="AC587" s="25">
        <v>0.6666666666666666</v>
      </c>
      <c r="AD587" s="25">
        <v>0.6875</v>
      </c>
      <c r="AE587" s="45">
        <v>45948.0</v>
      </c>
      <c r="AF587" s="21" t="s">
        <v>2711</v>
      </c>
      <c r="AG587" s="21" t="s">
        <v>78</v>
      </c>
      <c r="AH587" s="21" t="s">
        <v>4782</v>
      </c>
      <c r="AI587" s="62" t="str">
        <f>IFERROR(__xludf.DUMMYFUNCTION("IF(OR(W587="""",X587="""",AE587="""",AD587=""""),"""",
   TEXT(
     (
       (AE587+AD587 + IF(AE587+AD587 &lt; W587+X587,1,0)) - (W587+X587)
     )
     - IF(AND(AB587&lt;&gt;"""",AC587&lt;&gt;""""), 
          SUM(ARRAYFORMULA(SPLIT(AC587,"","") - SPLIT(AB587,"",""))"&amp;"), 
          0
       ),
     ""[hh]:mm""
   )
)
"),"04:33")</f>
        <v>04:33</v>
      </c>
      <c r="AJ587" s="27">
        <f t="shared" si="9"/>
        <v>0</v>
      </c>
      <c r="AK587" s="63" t="str">
        <f t="shared" si="10"/>
        <v>Pass</v>
      </c>
    </row>
    <row r="588">
      <c r="A588" s="18">
        <v>45948.0</v>
      </c>
      <c r="B588" s="20">
        <v>0.7576388888888889</v>
      </c>
      <c r="C588" s="18">
        <v>45948.0</v>
      </c>
      <c r="D588" s="20">
        <v>0.7604166666666666</v>
      </c>
      <c r="E588" s="22" t="s">
        <v>4788</v>
      </c>
      <c r="F588" s="22" t="s">
        <v>154</v>
      </c>
      <c r="G588" s="22" t="s">
        <v>155</v>
      </c>
      <c r="H588" s="22" t="s">
        <v>1610</v>
      </c>
      <c r="I588" s="22" t="s">
        <v>1612</v>
      </c>
      <c r="J588" s="22" t="s">
        <v>1612</v>
      </c>
      <c r="K588" s="22" t="s">
        <v>143</v>
      </c>
      <c r="L588" s="22" t="s">
        <v>1613</v>
      </c>
      <c r="M588" s="22" t="s">
        <v>4789</v>
      </c>
      <c r="N588" s="22" t="s">
        <v>4790</v>
      </c>
      <c r="O588" s="23" t="s">
        <v>4791</v>
      </c>
      <c r="P588" s="22" t="s">
        <v>187</v>
      </c>
      <c r="Q588" s="50" t="s">
        <v>65</v>
      </c>
      <c r="R588" s="22" t="s">
        <v>4792</v>
      </c>
      <c r="S588" s="22" t="s">
        <v>51</v>
      </c>
      <c r="T588" s="22" t="s">
        <v>52</v>
      </c>
      <c r="U588" s="22" t="s">
        <v>52</v>
      </c>
      <c r="V588" s="22" t="s">
        <v>52</v>
      </c>
      <c r="W588" s="18">
        <v>45948.0</v>
      </c>
      <c r="X588" s="20">
        <v>0.7604166666666666</v>
      </c>
      <c r="Y588" s="18">
        <v>45948.0</v>
      </c>
      <c r="Z588" s="20">
        <v>0.8291666666666667</v>
      </c>
      <c r="AA588" s="20">
        <v>0.8305555555555556</v>
      </c>
      <c r="AB588" s="54"/>
      <c r="AC588" s="54"/>
      <c r="AD588" s="51">
        <v>0.9166666666666666</v>
      </c>
      <c r="AE588" s="18">
        <v>45948.0</v>
      </c>
      <c r="AF588" s="22" t="s">
        <v>3358</v>
      </c>
      <c r="AG588" s="22" t="s">
        <v>2004</v>
      </c>
      <c r="AH588" s="22" t="s">
        <v>4793</v>
      </c>
      <c r="AI588" s="26" t="str">
        <f>IFERROR(__xludf.DUMMYFUNCTION("IF(OR(W588="""",X588="""",AE588="""",AD588=""""),"""",
   TEXT(
     (
       (AE588+AD588 + IF(AE588+AD588 &lt; W588+X588,1,0)) - (W588+X588)
     )
     - IF(AND(AB588&lt;&gt;"""",AC588&lt;&gt;""""), 
          SUM(ARRAYFORMULA(SPLIT(AC588,"","") - SPLIT(AB588,"",""))"&amp;"), 
          0
       ),
     ""[hh]:mm""
   )
)
"),"03:45")</f>
        <v>03:45</v>
      </c>
      <c r="AJ588" s="55">
        <f t="shared" si="9"/>
        <v>0</v>
      </c>
      <c r="AK588" s="28" t="str">
        <f t="shared" si="10"/>
        <v>Pass</v>
      </c>
    </row>
    <row r="589">
      <c r="A589" s="18">
        <v>45948.0</v>
      </c>
      <c r="B589" s="20">
        <v>0.7576388888888889</v>
      </c>
      <c r="C589" s="18">
        <v>45948.0</v>
      </c>
      <c r="D589" s="20">
        <v>0.7604166666666666</v>
      </c>
      <c r="E589" s="22" t="s">
        <v>4794</v>
      </c>
      <c r="F589" s="22" t="s">
        <v>154</v>
      </c>
      <c r="G589" s="22" t="s">
        <v>155</v>
      </c>
      <c r="H589" s="22" t="s">
        <v>1610</v>
      </c>
      <c r="I589" s="22" t="s">
        <v>1612</v>
      </c>
      <c r="J589" s="22" t="s">
        <v>1612</v>
      </c>
      <c r="K589" s="22" t="s">
        <v>143</v>
      </c>
      <c r="L589" s="22" t="s">
        <v>1613</v>
      </c>
      <c r="M589" s="22" t="s">
        <v>4795</v>
      </c>
      <c r="N589" s="22" t="s">
        <v>4796</v>
      </c>
      <c r="O589" s="23" t="s">
        <v>4791</v>
      </c>
      <c r="P589" s="22" t="s">
        <v>187</v>
      </c>
      <c r="Q589" s="50" t="s">
        <v>65</v>
      </c>
      <c r="R589" s="22" t="s">
        <v>4792</v>
      </c>
      <c r="S589" s="22" t="s">
        <v>51</v>
      </c>
      <c r="T589" s="22" t="s">
        <v>52</v>
      </c>
      <c r="U589" s="22" t="s">
        <v>52</v>
      </c>
      <c r="V589" s="22" t="s">
        <v>52</v>
      </c>
      <c r="W589" s="18">
        <v>45948.0</v>
      </c>
      <c r="X589" s="20">
        <v>0.7604166666666666</v>
      </c>
      <c r="Y589" s="18">
        <v>45948.0</v>
      </c>
      <c r="Z589" s="20">
        <v>0.8291666666666667</v>
      </c>
      <c r="AA589" s="20">
        <v>0.8305555555555556</v>
      </c>
      <c r="AB589" s="54"/>
      <c r="AC589" s="54"/>
      <c r="AD589" s="51">
        <v>0.9166666666666666</v>
      </c>
      <c r="AE589" s="18">
        <v>45948.0</v>
      </c>
      <c r="AF589" s="22" t="s">
        <v>3358</v>
      </c>
      <c r="AG589" s="22" t="s">
        <v>2004</v>
      </c>
      <c r="AH589" s="22" t="s">
        <v>4793</v>
      </c>
      <c r="AI589" s="26" t="str">
        <f>IFERROR(__xludf.DUMMYFUNCTION("IF(OR(W589="""",X589="""",AE589="""",AD589=""""),"""",
   TEXT(
     (
       (AE589+AD589 + IF(AE589+AD589 &lt; W589+X589,1,0)) - (W589+X589)
     )
     - IF(AND(AB589&lt;&gt;"""",AC589&lt;&gt;""""), 
          SUM(ARRAYFORMULA(SPLIT(AC589,"","") - SPLIT(AB589,"",""))"&amp;"), 
          0
       ),
     ""[hh]:mm""
   )
)
"),"03:45")</f>
        <v>03:45</v>
      </c>
      <c r="AJ589" s="55">
        <f t="shared" si="9"/>
        <v>0</v>
      </c>
      <c r="AK589" s="28" t="str">
        <f t="shared" si="10"/>
        <v>Pass</v>
      </c>
    </row>
    <row r="590">
      <c r="A590" s="18">
        <v>45948.0</v>
      </c>
      <c r="B590" s="20">
        <v>0.8104166666666667</v>
      </c>
      <c r="C590" s="18">
        <v>45948.0</v>
      </c>
      <c r="D590" s="20">
        <v>0.81875</v>
      </c>
      <c r="E590" s="22" t="s">
        <v>4797</v>
      </c>
      <c r="F590" s="22" t="s">
        <v>3461</v>
      </c>
      <c r="G590" s="22" t="s">
        <v>4798</v>
      </c>
      <c r="H590" s="22" t="s">
        <v>1610</v>
      </c>
      <c r="I590" s="22" t="s">
        <v>1612</v>
      </c>
      <c r="J590" s="22" t="s">
        <v>1612</v>
      </c>
      <c r="K590" s="22" t="s">
        <v>143</v>
      </c>
      <c r="L590" s="22" t="s">
        <v>52</v>
      </c>
      <c r="M590" s="22" t="s">
        <v>4799</v>
      </c>
      <c r="N590" s="22" t="s">
        <v>4800</v>
      </c>
      <c r="O590" s="23" t="s">
        <v>4801</v>
      </c>
      <c r="P590" s="22" t="s">
        <v>187</v>
      </c>
      <c r="Q590" s="50" t="s">
        <v>65</v>
      </c>
      <c r="R590" s="22" t="s">
        <v>4802</v>
      </c>
      <c r="S590" s="22" t="s">
        <v>51</v>
      </c>
      <c r="T590" s="22" t="s">
        <v>52</v>
      </c>
      <c r="U590" s="22" t="s">
        <v>52</v>
      </c>
      <c r="V590" s="22" t="s">
        <v>52</v>
      </c>
      <c r="W590" s="18">
        <v>45949.0</v>
      </c>
      <c r="X590" s="20">
        <v>0.375</v>
      </c>
      <c r="Y590" s="18">
        <v>45949.0</v>
      </c>
      <c r="Z590" s="20">
        <v>0.3993055555555556</v>
      </c>
      <c r="AA590" s="20">
        <v>0.4</v>
      </c>
      <c r="AB590" s="51">
        <v>0.43819444444444444</v>
      </c>
      <c r="AC590" s="77">
        <v>0.45555555555555555</v>
      </c>
      <c r="AD590" s="51">
        <v>0.4791666666666667</v>
      </c>
      <c r="AE590" s="18">
        <v>45949.0</v>
      </c>
      <c r="AF590" s="22" t="s">
        <v>2839</v>
      </c>
      <c r="AG590" s="22" t="s">
        <v>162</v>
      </c>
      <c r="AH590" s="22" t="s">
        <v>3467</v>
      </c>
      <c r="AI590" s="26" t="str">
        <f>IFERROR(__xludf.DUMMYFUNCTION("IF(OR(W590="""",X590="""",AE590="""",AD590=""""),"""",
   TEXT(
     (
       (AE590+AD590 + IF(AE590+AD590 &lt; W590+X590,1,0)) - (W590+X590)
     )
     - IF(AND(AB590&lt;&gt;"""",AC590&lt;&gt;""""), 
          SUM(ARRAYFORMULA(SPLIT(AC590,"","") - SPLIT(AB590,"",""))"&amp;"), 
          0
       ),
     ""[hh]:mm""
   )
)
"),"02:05")</f>
        <v>02:05</v>
      </c>
      <c r="AJ590" s="55">
        <f t="shared" si="9"/>
        <v>0</v>
      </c>
      <c r="AK590" s="28" t="str">
        <f t="shared" si="10"/>
        <v>Pass</v>
      </c>
    </row>
    <row r="591">
      <c r="A591" s="18">
        <v>45949.0</v>
      </c>
      <c r="B591" s="20">
        <v>0.7847222222222222</v>
      </c>
      <c r="C591" s="18">
        <v>45949.0</v>
      </c>
      <c r="D591" s="20">
        <v>0.7930555555555555</v>
      </c>
      <c r="E591" s="22" t="s">
        <v>4803</v>
      </c>
      <c r="F591" s="22" t="s">
        <v>3999</v>
      </c>
      <c r="G591" s="22" t="s">
        <v>4000</v>
      </c>
      <c r="H591" s="22" t="s">
        <v>130</v>
      </c>
      <c r="I591" s="22" t="s">
        <v>41</v>
      </c>
      <c r="J591" s="22" t="s">
        <v>3806</v>
      </c>
      <c r="K591" s="22" t="s">
        <v>43</v>
      </c>
      <c r="L591" s="22" t="s">
        <v>170</v>
      </c>
      <c r="M591" s="22" t="s">
        <v>4804</v>
      </c>
      <c r="N591" s="22" t="s">
        <v>4805</v>
      </c>
      <c r="O591" s="23" t="s">
        <v>4806</v>
      </c>
      <c r="P591" s="22" t="s">
        <v>48</v>
      </c>
      <c r="Q591" s="50" t="s">
        <v>49</v>
      </c>
      <c r="R591" s="22" t="s">
        <v>4807</v>
      </c>
      <c r="S591" s="22" t="s">
        <v>51</v>
      </c>
      <c r="T591" s="22" t="s">
        <v>52</v>
      </c>
      <c r="U591" s="22" t="s">
        <v>52</v>
      </c>
      <c r="V591" s="22" t="s">
        <v>52</v>
      </c>
      <c r="W591" s="18">
        <v>45949.0</v>
      </c>
      <c r="X591" s="20">
        <v>0.8402777777777778</v>
      </c>
      <c r="Y591" s="18">
        <v>45950.0</v>
      </c>
      <c r="Z591" s="20">
        <v>0.34097222222222223</v>
      </c>
      <c r="AA591" s="20">
        <v>0.3472222222222222</v>
      </c>
      <c r="AB591" s="77">
        <v>0.375</v>
      </c>
      <c r="AC591" s="51">
        <v>0.3958333333333333</v>
      </c>
      <c r="AD591" s="77">
        <v>0.3958333333333333</v>
      </c>
      <c r="AE591" s="18">
        <v>45950.0</v>
      </c>
      <c r="AF591" s="22" t="s">
        <v>2931</v>
      </c>
      <c r="AG591" s="22" t="s">
        <v>879</v>
      </c>
      <c r="AH591" s="22" t="s">
        <v>4139</v>
      </c>
      <c r="AI591" s="26" t="str">
        <f>IFERROR(__xludf.DUMMYFUNCTION("IF(OR(W591="""",X591="""",AE591="""",AD591=""""),"""",
   TEXT(
     (
       (AE591+AD591 + IF(AE591+AD591 &lt; W591+X591,1,0)) - (W591+X591)
     )
     - IF(AND(AB591&lt;&gt;"""",AC591&lt;&gt;""""), 
          SUM(ARRAYFORMULA(SPLIT(AC591,"","") - SPLIT(AB591,"",""))"&amp;"), 
          0
       ),
     ""[hh]:mm""
   )
)
"),"12:50")</f>
        <v>12:50</v>
      </c>
      <c r="AJ591" s="55">
        <f t="shared" si="9"/>
        <v>0.3680555556</v>
      </c>
      <c r="AK591" s="28" t="str">
        <f t="shared" si="10"/>
        <v>Fail</v>
      </c>
    </row>
    <row r="592">
      <c r="A592" s="18">
        <v>45949.0</v>
      </c>
      <c r="B592" s="20">
        <v>0.8291666666666667</v>
      </c>
      <c r="C592" s="18">
        <v>45949.0</v>
      </c>
      <c r="D592" s="20">
        <v>0.8402777777777778</v>
      </c>
      <c r="E592" s="22" t="s">
        <v>4808</v>
      </c>
      <c r="F592" s="22" t="s">
        <v>3999</v>
      </c>
      <c r="G592" s="22" t="s">
        <v>4000</v>
      </c>
      <c r="H592" s="22" t="s">
        <v>130</v>
      </c>
      <c r="I592" s="22" t="s">
        <v>567</v>
      </c>
      <c r="J592" s="22" t="s">
        <v>567</v>
      </c>
      <c r="K592" s="22" t="s">
        <v>568</v>
      </c>
      <c r="L592" s="22" t="s">
        <v>4809</v>
      </c>
      <c r="M592" s="22" t="s">
        <v>4810</v>
      </c>
      <c r="N592" s="22" t="s">
        <v>4811</v>
      </c>
      <c r="O592" s="23" t="s">
        <v>4812</v>
      </c>
      <c r="P592" s="22" t="s">
        <v>48</v>
      </c>
      <c r="Q592" s="50" t="s">
        <v>65</v>
      </c>
      <c r="R592" s="22" t="s">
        <v>4813</v>
      </c>
      <c r="S592" s="22" t="s">
        <v>51</v>
      </c>
      <c r="T592" s="22" t="s">
        <v>52</v>
      </c>
      <c r="U592" s="22" t="s">
        <v>52</v>
      </c>
      <c r="V592" s="22" t="s">
        <v>52</v>
      </c>
      <c r="W592" s="18">
        <v>45949.0</v>
      </c>
      <c r="X592" s="20">
        <v>0.8402777777777778</v>
      </c>
      <c r="Y592" s="18">
        <v>45950.0</v>
      </c>
      <c r="Z592" s="20">
        <v>0.34097222222222223</v>
      </c>
      <c r="AA592" s="20">
        <v>0.34375</v>
      </c>
      <c r="AB592" s="90"/>
      <c r="AC592" s="54"/>
      <c r="AD592" s="77">
        <v>0.3645833333333333</v>
      </c>
      <c r="AE592" s="18">
        <v>45950.0</v>
      </c>
      <c r="AF592" s="22" t="s">
        <v>2931</v>
      </c>
      <c r="AG592" s="22" t="s">
        <v>879</v>
      </c>
      <c r="AH592" s="22" t="s">
        <v>4139</v>
      </c>
      <c r="AI592" s="26" t="str">
        <f>IFERROR(__xludf.DUMMYFUNCTION("IF(OR(W592="""",X592="""",AE592="""",AD592=""""),"""",
   TEXT(
     (
       (AE592+AD592 + IF(AE592+AD592 &lt; W592+X592,1,0)) - (W592+X592)
     )
     - IF(AND(AB592&lt;&gt;"""",AC592&lt;&gt;""""), 
          SUM(ARRAYFORMULA(SPLIT(AC592,"","") - SPLIT(AB592,"",""))"&amp;"), 
          0
       ),
     ""[hh]:mm""
   )
)
"),"12:35")</f>
        <v>12:35</v>
      </c>
      <c r="AJ592" s="55">
        <f t="shared" si="9"/>
        <v>0.02430555556</v>
      </c>
      <c r="AK592" s="28" t="str">
        <f t="shared" si="10"/>
        <v>Fail</v>
      </c>
    </row>
    <row r="593">
      <c r="A593" s="45">
        <v>45949.0</v>
      </c>
      <c r="B593" s="49">
        <v>0.9298611111111111</v>
      </c>
      <c r="C593" s="45">
        <v>45950.0</v>
      </c>
      <c r="D593" s="80">
        <v>0.3611111111111111</v>
      </c>
      <c r="E593" s="21" t="s">
        <v>4814</v>
      </c>
      <c r="F593" s="21" t="s">
        <v>251</v>
      </c>
      <c r="G593" s="21" t="s">
        <v>1717</v>
      </c>
      <c r="H593" s="21" t="s">
        <v>156</v>
      </c>
      <c r="I593" s="21" t="s">
        <v>2026</v>
      </c>
      <c r="J593" s="21" t="s">
        <v>3806</v>
      </c>
      <c r="K593" s="21" t="s">
        <v>43</v>
      </c>
      <c r="L593" s="21" t="s">
        <v>1794</v>
      </c>
      <c r="M593" s="21" t="s">
        <v>4815</v>
      </c>
      <c r="N593" s="21" t="s">
        <v>4816</v>
      </c>
      <c r="O593" s="48" t="s">
        <v>4817</v>
      </c>
      <c r="P593" s="21" t="s">
        <v>75</v>
      </c>
      <c r="Q593" s="24" t="s">
        <v>49</v>
      </c>
      <c r="R593" s="21" t="s">
        <v>4818</v>
      </c>
      <c r="S593" s="21" t="s">
        <v>51</v>
      </c>
      <c r="T593" s="21" t="s">
        <v>52</v>
      </c>
      <c r="U593" s="21" t="s">
        <v>52</v>
      </c>
      <c r="V593" s="21" t="s">
        <v>52</v>
      </c>
      <c r="W593" s="45">
        <v>45950.0</v>
      </c>
      <c r="X593" s="49">
        <v>0.3611111111111111</v>
      </c>
      <c r="Y593" s="45">
        <v>45950.0</v>
      </c>
      <c r="Z593" s="49">
        <v>0.41180555555555554</v>
      </c>
      <c r="AA593" s="49">
        <v>0.4131944444444444</v>
      </c>
      <c r="AB593" s="29"/>
      <c r="AC593" s="29"/>
      <c r="AD593" s="25">
        <v>0.4444444444444444</v>
      </c>
      <c r="AE593" s="45">
        <v>45950.0</v>
      </c>
      <c r="AF593" s="21" t="s">
        <v>2931</v>
      </c>
      <c r="AG593" s="21" t="s">
        <v>313</v>
      </c>
      <c r="AH593" s="21" t="s">
        <v>4819</v>
      </c>
      <c r="AI593" s="26" t="str">
        <f>IFERROR(__xludf.DUMMYFUNCTION("IF(OR(W593="""",X593="""",AE593="""",AD593=""""),"""",
   TEXT(
     (
       (AE593+AD593 + IF(AE593+AD593 &lt; W593+X593,1,0)) - (W593+X593)
     )
     - IF(AND(AB593&lt;&gt;"""",AC593&lt;&gt;""""), 
          SUM(ARRAYFORMULA(SPLIT(AC593,"","") - SPLIT(AB593,"",""))"&amp;"), 
          0
       ),
     ""[hh]:mm""
   )
)
"),"02:00")</f>
        <v>02:00</v>
      </c>
      <c r="AJ593" s="55">
        <f t="shared" si="9"/>
        <v>0</v>
      </c>
      <c r="AK593" s="28" t="str">
        <f t="shared" si="10"/>
        <v>Pass</v>
      </c>
    </row>
    <row r="594">
      <c r="A594" s="45">
        <v>45950.0</v>
      </c>
      <c r="B594" s="49">
        <v>0.9208333333333333</v>
      </c>
      <c r="C594" s="45">
        <v>45950.0</v>
      </c>
      <c r="D594" s="80">
        <v>0.30277777777777776</v>
      </c>
      <c r="E594" s="21" t="s">
        <v>4820</v>
      </c>
      <c r="F594" s="21" t="s">
        <v>4821</v>
      </c>
      <c r="G594" s="21" t="s">
        <v>4822</v>
      </c>
      <c r="H594" s="21" t="s">
        <v>156</v>
      </c>
      <c r="I594" s="21" t="s">
        <v>131</v>
      </c>
      <c r="J594" s="21" t="s">
        <v>3806</v>
      </c>
      <c r="K594" s="21" t="s">
        <v>43</v>
      </c>
      <c r="L594" s="21" t="s">
        <v>1794</v>
      </c>
      <c r="M594" s="21" t="s">
        <v>4823</v>
      </c>
      <c r="N594" s="21" t="s">
        <v>4824</v>
      </c>
      <c r="O594" s="48" t="s">
        <v>4825</v>
      </c>
      <c r="P594" s="21" t="s">
        <v>75</v>
      </c>
      <c r="Q594" s="24" t="s">
        <v>65</v>
      </c>
      <c r="R594" s="21" t="s">
        <v>4826</v>
      </c>
      <c r="S594" s="21" t="s">
        <v>51</v>
      </c>
      <c r="T594" s="21" t="s">
        <v>657</v>
      </c>
      <c r="U594" s="21" t="s">
        <v>4827</v>
      </c>
      <c r="V594" s="21" t="s">
        <v>4828</v>
      </c>
      <c r="W594" s="45">
        <v>45950.0</v>
      </c>
      <c r="X594" s="49">
        <v>0.30277777777777776</v>
      </c>
      <c r="Y594" s="45">
        <v>45950.0</v>
      </c>
      <c r="Z594" s="49">
        <v>0.4305555555555556</v>
      </c>
      <c r="AA594" s="49">
        <v>0.4340277777777778</v>
      </c>
      <c r="AB594" s="25">
        <v>0.4375</v>
      </c>
      <c r="AC594" s="25">
        <v>0.4722222222222222</v>
      </c>
      <c r="AD594" s="25">
        <v>0.4791666666666667</v>
      </c>
      <c r="AE594" s="45">
        <v>45950.0</v>
      </c>
      <c r="AF594" s="21" t="s">
        <v>2931</v>
      </c>
      <c r="AG594" s="21" t="s">
        <v>4829</v>
      </c>
      <c r="AH594" s="21" t="s">
        <v>4830</v>
      </c>
      <c r="AI594" s="26" t="str">
        <f>IFERROR(__xludf.DUMMYFUNCTION("IF(OR(W594="""",X594="""",AE594="""",AD594=""""),"""",
   TEXT(
     (
       (AE594+AD594 + IF(AE594+AD594 &lt; W594+X594,1,0)) - (W594+X594)
     )
     - IF(AND(AB594&lt;&gt;"""",AC594&lt;&gt;""""), 
          SUM(ARRAYFORMULA(SPLIT(AC594,"","") - SPLIT(AB594,"",""))"&amp;"), 
          0
       ),
     ""[hh]:mm""
   )
)
"),"03:24")</f>
        <v>03:24</v>
      </c>
      <c r="AJ594" s="55">
        <f t="shared" si="9"/>
        <v>0</v>
      </c>
      <c r="AK594" s="28" t="str">
        <f t="shared" si="10"/>
        <v>Pass</v>
      </c>
    </row>
    <row r="595">
      <c r="A595" s="45">
        <v>45948.0</v>
      </c>
      <c r="B595" s="49">
        <v>0.9145833333333333</v>
      </c>
      <c r="C595" s="45">
        <v>45949.0</v>
      </c>
      <c r="D595" s="80">
        <v>0.3215277777777778</v>
      </c>
      <c r="E595" s="21" t="s">
        <v>4831</v>
      </c>
      <c r="F595" s="21" t="s">
        <v>4832</v>
      </c>
      <c r="G595" s="21" t="s">
        <v>4833</v>
      </c>
      <c r="H595" s="21" t="s">
        <v>1610</v>
      </c>
      <c r="I595" s="21" t="s">
        <v>1612</v>
      </c>
      <c r="J595" s="21" t="s">
        <v>1612</v>
      </c>
      <c r="K595" s="21" t="s">
        <v>143</v>
      </c>
      <c r="L595" s="21" t="s">
        <v>1613</v>
      </c>
      <c r="M595" s="21" t="s">
        <v>4834</v>
      </c>
      <c r="N595" s="21" t="s">
        <v>4835</v>
      </c>
      <c r="O595" s="48" t="s">
        <v>4836</v>
      </c>
      <c r="P595" s="21" t="s">
        <v>187</v>
      </c>
      <c r="Q595" s="24" t="s">
        <v>65</v>
      </c>
      <c r="R595" s="21" t="s">
        <v>4837</v>
      </c>
      <c r="S595" s="21" t="s">
        <v>51</v>
      </c>
      <c r="T595" s="21" t="s">
        <v>52</v>
      </c>
      <c r="U595" s="21" t="s">
        <v>52</v>
      </c>
      <c r="V595" s="21" t="s">
        <v>52</v>
      </c>
      <c r="W595" s="45">
        <v>45950.0</v>
      </c>
      <c r="X595" s="49">
        <v>0.3215277777777778</v>
      </c>
      <c r="Y595" s="45">
        <v>45950.0</v>
      </c>
      <c r="Z595" s="49">
        <v>0.4340277777777778</v>
      </c>
      <c r="AA595" s="49">
        <v>0.43472222222222223</v>
      </c>
      <c r="AB595" s="25">
        <v>0.5069444444444444</v>
      </c>
      <c r="AC595" s="25">
        <v>0.5520833333333334</v>
      </c>
      <c r="AD595" s="25">
        <v>0.5520833333333334</v>
      </c>
      <c r="AE595" s="45">
        <v>45950.0</v>
      </c>
      <c r="AF595" s="21" t="s">
        <v>2812</v>
      </c>
      <c r="AG595" s="21" t="s">
        <v>67</v>
      </c>
      <c r="AH595" s="21" t="s">
        <v>4838</v>
      </c>
      <c r="AI595" s="26" t="str">
        <f>IFERROR(__xludf.DUMMYFUNCTION("IF(OR(W595="""",X595="""",AE595="""",AD595=""""),"""",
   TEXT(
     (
       (AE595+AD595 + IF(AE595+AD595 &lt; W595+X595,1,0)) - (W595+X595)
     )
     - IF(AND(AB595&lt;&gt;"""",AC595&lt;&gt;""""), 
          SUM(ARRAYFORMULA(SPLIT(AC595,"","") - SPLIT(AB595,"",""))"&amp;"), 
          0
       ),
     ""[hh]:mm""
   )
)
"),"04:27")</f>
        <v>04:27</v>
      </c>
      <c r="AJ595" s="55">
        <f t="shared" si="9"/>
        <v>0</v>
      </c>
      <c r="AK595" s="28" t="str">
        <f t="shared" si="10"/>
        <v>Pass</v>
      </c>
    </row>
    <row r="596">
      <c r="A596" s="45">
        <v>45950.0</v>
      </c>
      <c r="B596" s="49">
        <v>0.3854166666666667</v>
      </c>
      <c r="C596" s="45">
        <v>45950.0</v>
      </c>
      <c r="D596" s="49">
        <v>0.38958333333333334</v>
      </c>
      <c r="E596" s="21" t="s">
        <v>4839</v>
      </c>
      <c r="F596" s="21" t="s">
        <v>4840</v>
      </c>
      <c r="G596" s="21" t="s">
        <v>4841</v>
      </c>
      <c r="H596" s="21" t="s">
        <v>59</v>
      </c>
      <c r="I596" s="21" t="s">
        <v>95</v>
      </c>
      <c r="J596" s="21" t="s">
        <v>95</v>
      </c>
      <c r="K596" s="21" t="s">
        <v>333</v>
      </c>
      <c r="L596" s="21" t="s">
        <v>2195</v>
      </c>
      <c r="M596" s="21" t="s">
        <v>4842</v>
      </c>
      <c r="N596" s="21" t="s">
        <v>4843</v>
      </c>
      <c r="O596" s="48" t="s">
        <v>4844</v>
      </c>
      <c r="P596" s="21" t="s">
        <v>75</v>
      </c>
      <c r="Q596" s="24" t="s">
        <v>49</v>
      </c>
      <c r="R596" s="21" t="s">
        <v>4845</v>
      </c>
      <c r="S596" s="21" t="s">
        <v>51</v>
      </c>
      <c r="T596" s="21" t="s">
        <v>52</v>
      </c>
      <c r="U596" s="21" t="s">
        <v>52</v>
      </c>
      <c r="V596" s="21" t="s">
        <v>52</v>
      </c>
      <c r="W596" s="45">
        <v>45950.0</v>
      </c>
      <c r="X596" s="49">
        <v>0.38958333333333334</v>
      </c>
      <c r="Y596" s="45">
        <v>45950.0</v>
      </c>
      <c r="Z596" s="49">
        <v>0.4826388888888889</v>
      </c>
      <c r="AA596" s="49">
        <v>0.4861111111111111</v>
      </c>
      <c r="AB596" s="29"/>
      <c r="AC596" s="29"/>
      <c r="AD596" s="25">
        <v>0.5416666666666666</v>
      </c>
      <c r="AE596" s="45">
        <v>45950.0</v>
      </c>
      <c r="AF596" s="21" t="s">
        <v>2744</v>
      </c>
      <c r="AG596" s="21" t="s">
        <v>102</v>
      </c>
      <c r="AH596" s="21" t="s">
        <v>4846</v>
      </c>
      <c r="AI596" s="26" t="str">
        <f>IFERROR(__xludf.DUMMYFUNCTION("IF(OR(W596="""",X596="""",AE596="""",AD596=""""),"""",
   TEXT(
     (
       (AE596+AD596 + IF(AE596+AD596 &lt; W596+X596,1,0)) - (W596+X596)
     )
     - IF(AND(AB596&lt;&gt;"""",AC596&lt;&gt;""""), 
          SUM(ARRAYFORMULA(SPLIT(AC596,"","") - SPLIT(AB596,"",""))"&amp;"), 
          0
       ),
     ""[hh]:mm""
   )
)
"),"03:39")</f>
        <v>03:39</v>
      </c>
      <c r="AJ596" s="55">
        <f t="shared" si="9"/>
        <v>0</v>
      </c>
      <c r="AK596" s="28" t="str">
        <f t="shared" si="10"/>
        <v>Pass</v>
      </c>
    </row>
    <row r="597">
      <c r="A597" s="18">
        <v>45950.0</v>
      </c>
      <c r="B597" s="20">
        <v>0.4166666666666667</v>
      </c>
      <c r="C597" s="18">
        <v>45950.0</v>
      </c>
      <c r="D597" s="20">
        <v>0.41944444444444445</v>
      </c>
      <c r="E597" s="22" t="s">
        <v>4847</v>
      </c>
      <c r="F597" s="22" t="s">
        <v>1620</v>
      </c>
      <c r="G597" s="22" t="s">
        <v>1621</v>
      </c>
      <c r="H597" s="22" t="s">
        <v>1468</v>
      </c>
      <c r="I597" s="22" t="s">
        <v>856</v>
      </c>
      <c r="J597" s="22" t="s">
        <v>1084</v>
      </c>
      <c r="K597" s="22" t="s">
        <v>1998</v>
      </c>
      <c r="L597" s="22" t="s">
        <v>1999</v>
      </c>
      <c r="M597" s="22" t="s">
        <v>4356</v>
      </c>
      <c r="N597" s="22" t="s">
        <v>4848</v>
      </c>
      <c r="O597" s="23" t="s">
        <v>4849</v>
      </c>
      <c r="P597" s="22" t="s">
        <v>48</v>
      </c>
      <c r="Q597" s="50" t="s">
        <v>198</v>
      </c>
      <c r="R597" s="22" t="s">
        <v>4850</v>
      </c>
      <c r="S597" s="22" t="s">
        <v>51</v>
      </c>
      <c r="T597" s="22" t="s">
        <v>52</v>
      </c>
      <c r="U597" s="22" t="s">
        <v>52</v>
      </c>
      <c r="V597" s="22" t="s">
        <v>52</v>
      </c>
      <c r="W597" s="18">
        <v>45950.0</v>
      </c>
      <c r="X597" s="20">
        <v>0.41944444444444445</v>
      </c>
      <c r="Y597" s="18">
        <v>45950.0</v>
      </c>
      <c r="Z597" s="20">
        <v>0.14583333333333334</v>
      </c>
      <c r="AA597" s="20">
        <v>0.4930555555555556</v>
      </c>
      <c r="AB597" s="54"/>
      <c r="AC597" s="54"/>
      <c r="AD597" s="51">
        <v>0.5277777777777778</v>
      </c>
      <c r="AE597" s="18">
        <v>45950.0</v>
      </c>
      <c r="AF597" s="22" t="s">
        <v>2918</v>
      </c>
      <c r="AG597" s="22" t="s">
        <v>3191</v>
      </c>
      <c r="AH597" s="22" t="s">
        <v>4851</v>
      </c>
      <c r="AI597" s="26" t="str">
        <f>IFERROR(__xludf.DUMMYFUNCTION("IF(OR(W597="""",X597="""",AE597="""",AD597=""""),"""",
   TEXT(
     (
       (AE597+AD597 + IF(AE597+AD597 &lt; W597+X597,1,0)) - (W597+X597)
     )
     - IF(AND(AB597&lt;&gt;"""",AC597&lt;&gt;""""), 
          SUM(ARRAYFORMULA(SPLIT(AC597,"","") - SPLIT(AB597,"",""))"&amp;"), 
          0
       ),
     ""[hh]:mm""
   )
)
"),"02:36")</f>
        <v>02:36</v>
      </c>
      <c r="AJ597" s="55">
        <f t="shared" si="9"/>
        <v>0</v>
      </c>
      <c r="AK597" s="28" t="str">
        <f t="shared" si="10"/>
        <v>Pass</v>
      </c>
    </row>
    <row r="598">
      <c r="A598" s="45">
        <v>45950.0</v>
      </c>
      <c r="B598" s="49">
        <v>0.41180555555555554</v>
      </c>
      <c r="C598" s="45">
        <v>45950.0</v>
      </c>
      <c r="D598" s="49">
        <v>0.41180555555555554</v>
      </c>
      <c r="E598" s="21" t="s">
        <v>4852</v>
      </c>
      <c r="F598" s="21" t="s">
        <v>251</v>
      </c>
      <c r="G598" s="21" t="s">
        <v>1717</v>
      </c>
      <c r="H598" s="21" t="s">
        <v>4853</v>
      </c>
      <c r="I598" s="21" t="s">
        <v>299</v>
      </c>
      <c r="J598" s="21" t="s">
        <v>299</v>
      </c>
      <c r="K598" s="21" t="s">
        <v>43</v>
      </c>
      <c r="L598" s="21" t="s">
        <v>579</v>
      </c>
      <c r="M598" s="21" t="s">
        <v>579</v>
      </c>
      <c r="N598" s="21" t="s">
        <v>4854</v>
      </c>
      <c r="O598" s="48" t="s">
        <v>4855</v>
      </c>
      <c r="P598" s="21" t="s">
        <v>75</v>
      </c>
      <c r="Q598" s="24" t="s">
        <v>49</v>
      </c>
      <c r="R598" s="21" t="s">
        <v>4856</v>
      </c>
      <c r="S598" s="21" t="s">
        <v>51</v>
      </c>
      <c r="T598" s="21" t="s">
        <v>52</v>
      </c>
      <c r="U598" s="21" t="s">
        <v>52</v>
      </c>
      <c r="V598" s="21" t="s">
        <v>52</v>
      </c>
      <c r="W598" s="45">
        <v>45950.0</v>
      </c>
      <c r="X598" s="49">
        <v>0.41180555555555554</v>
      </c>
      <c r="Y598" s="45">
        <v>45940.0</v>
      </c>
      <c r="Z598" s="49">
        <v>0.41180555555555554</v>
      </c>
      <c r="AA598" s="49">
        <v>0.4340277777777778</v>
      </c>
      <c r="AB598" s="29"/>
      <c r="AC598" s="29"/>
      <c r="AD598" s="25">
        <v>0.46458333333333335</v>
      </c>
      <c r="AE598" s="45">
        <v>45950.0</v>
      </c>
      <c r="AF598" s="21" t="s">
        <v>2931</v>
      </c>
      <c r="AG598" s="21" t="s">
        <v>313</v>
      </c>
      <c r="AH598" s="21" t="s">
        <v>4819</v>
      </c>
      <c r="AI598" s="26" t="str">
        <f>IFERROR(__xludf.DUMMYFUNCTION("IF(OR(W598="""",X598="""",AE598="""",AD598=""""),"""",
   TEXT(
     (
       (AE598+AD598 + IF(AE598+AD598 &lt; W598+X598,1,0)) - (W598+X598)
     )
     - IF(AND(AB598&lt;&gt;"""",AC598&lt;&gt;""""), 
          SUM(ARRAYFORMULA(SPLIT(AC598,"","") - SPLIT(AB598,"",""))"&amp;"), 
          0
       ),
     ""[hh]:mm""
   )
)
"),"01:16")</f>
        <v>01:16</v>
      </c>
      <c r="AJ598" s="55">
        <f t="shared" si="9"/>
        <v>0</v>
      </c>
      <c r="AK598" s="28" t="str">
        <f t="shared" si="10"/>
        <v>Pass</v>
      </c>
    </row>
    <row r="599">
      <c r="A599" s="45">
        <v>45950.0</v>
      </c>
      <c r="B599" s="49">
        <v>0.6916666666666667</v>
      </c>
      <c r="C599" s="45">
        <v>45950.0</v>
      </c>
      <c r="D599" s="49">
        <v>0.6979166666666666</v>
      </c>
      <c r="E599" s="21" t="s">
        <v>4857</v>
      </c>
      <c r="F599" s="21" t="s">
        <v>626</v>
      </c>
      <c r="G599" s="21" t="s">
        <v>4858</v>
      </c>
      <c r="H599" s="21" t="s">
        <v>1373</v>
      </c>
      <c r="I599" s="21" t="s">
        <v>1178</v>
      </c>
      <c r="J599" s="21" t="s">
        <v>2655</v>
      </c>
      <c r="K599" s="21" t="s">
        <v>43</v>
      </c>
      <c r="L599" s="21" t="s">
        <v>44</v>
      </c>
      <c r="M599" s="21" t="s">
        <v>4859</v>
      </c>
      <c r="N599" s="21" t="s">
        <v>4860</v>
      </c>
      <c r="O599" s="48" t="s">
        <v>4861</v>
      </c>
      <c r="P599" s="21" t="s">
        <v>75</v>
      </c>
      <c r="Q599" s="24" t="s">
        <v>65</v>
      </c>
      <c r="R599" s="21" t="s">
        <v>4862</v>
      </c>
      <c r="S599" s="21" t="s">
        <v>51</v>
      </c>
      <c r="T599" s="21" t="s">
        <v>4119</v>
      </c>
      <c r="U599" s="21" t="s">
        <v>52</v>
      </c>
      <c r="V599" s="21" t="s">
        <v>52</v>
      </c>
      <c r="W599" s="45">
        <v>45950.0</v>
      </c>
      <c r="X599" s="49">
        <v>0.6979166666666666</v>
      </c>
      <c r="Y599" s="45">
        <v>45950.0</v>
      </c>
      <c r="Z599" s="49">
        <v>0.8520833333333333</v>
      </c>
      <c r="AA599" s="76">
        <v>0.8534722222222222</v>
      </c>
      <c r="AB599" s="29"/>
      <c r="AC599" s="29"/>
      <c r="AD599" s="25">
        <v>0.8909722222222223</v>
      </c>
      <c r="AE599" s="45">
        <v>45950.0</v>
      </c>
      <c r="AF599" s="22" t="s">
        <v>3358</v>
      </c>
      <c r="AG599" s="21" t="s">
        <v>162</v>
      </c>
      <c r="AH599" s="21" t="s">
        <v>4863</v>
      </c>
      <c r="AI599" s="26" t="str">
        <f>IFERROR(__xludf.DUMMYFUNCTION("IF(OR(W599="""",X599="""",AE599="""",AD599=""""),"""",
   TEXT(
     (
       (AE599+AD599 + IF(AE599+AD599 &lt; W599+X599,1,0)) - (W599+X599)
     )
     - IF(AND(AB599&lt;&gt;"""",AC599&lt;&gt;""""), 
          SUM(ARRAYFORMULA(SPLIT(AC599,"","") - SPLIT(AB599,"",""))"&amp;"), 
          0
       ),
     ""[hh]:mm""
   )
)
"),"04:38")</f>
        <v>04:38</v>
      </c>
      <c r="AJ599" s="55">
        <f t="shared" si="9"/>
        <v>0</v>
      </c>
      <c r="AK599" s="28" t="str">
        <f t="shared" si="10"/>
        <v>Pass</v>
      </c>
    </row>
    <row r="600">
      <c r="A600" s="45">
        <v>45951.0</v>
      </c>
      <c r="B600" s="49">
        <v>0.4111111111111111</v>
      </c>
      <c r="C600" s="45">
        <v>45951.0</v>
      </c>
      <c r="D600" s="49">
        <v>0.4270833333333333</v>
      </c>
      <c r="E600" s="21" t="s">
        <v>4864</v>
      </c>
      <c r="F600" s="21" t="s">
        <v>1439</v>
      </c>
      <c r="G600" s="21" t="s">
        <v>1440</v>
      </c>
      <c r="H600" s="21" t="s">
        <v>1450</v>
      </c>
      <c r="I600" s="21" t="s">
        <v>1162</v>
      </c>
      <c r="J600" s="21" t="s">
        <v>2655</v>
      </c>
      <c r="K600" s="21" t="s">
        <v>43</v>
      </c>
      <c r="L600" s="21" t="s">
        <v>4865</v>
      </c>
      <c r="M600" s="21" t="s">
        <v>4866</v>
      </c>
      <c r="N600" s="21" t="s">
        <v>4867</v>
      </c>
      <c r="O600" s="48" t="s">
        <v>4868</v>
      </c>
      <c r="P600" s="21" t="s">
        <v>75</v>
      </c>
      <c r="Q600" s="24" t="s">
        <v>65</v>
      </c>
      <c r="R600" s="21" t="s">
        <v>4869</v>
      </c>
      <c r="S600" s="21" t="s">
        <v>51</v>
      </c>
      <c r="T600" s="21" t="s">
        <v>52</v>
      </c>
      <c r="U600" s="21" t="s">
        <v>52</v>
      </c>
      <c r="V600" s="21" t="s">
        <v>52</v>
      </c>
      <c r="W600" s="45">
        <v>45951.0</v>
      </c>
      <c r="X600" s="49">
        <v>0.4270833333333333</v>
      </c>
      <c r="Y600" s="45">
        <v>45951.0</v>
      </c>
      <c r="Z600" s="49">
        <v>0.4270833333333333</v>
      </c>
      <c r="AA600" s="49">
        <v>0.4305555555555556</v>
      </c>
      <c r="AB600" s="29"/>
      <c r="AC600" s="29"/>
      <c r="AD600" s="25">
        <v>0.4444444444444444</v>
      </c>
      <c r="AE600" s="45">
        <v>45951.0</v>
      </c>
      <c r="AF600" s="21" t="s">
        <v>2931</v>
      </c>
      <c r="AG600" s="21" t="s">
        <v>54</v>
      </c>
      <c r="AH600" s="21" t="s">
        <v>4870</v>
      </c>
      <c r="AI600" s="62" t="str">
        <f>IFERROR(__xludf.DUMMYFUNCTION("IF(OR(W600="""",X600="""",AE600="""",AD600=""""),"""",
   TEXT(
     (
       (AE600+AD600 + IF(AE600+AD600 &lt; W600+X600,1,0)) - (W600+X600)
     )
     - IF(AND(AB600&lt;&gt;"""",AC600&lt;&gt;""""), 
          SUM(ARRAYFORMULA(SPLIT(AC600,"","") - SPLIT(AB600,"",""))"&amp;"), 
          0
       ),
     ""[hh]:mm""
   )
)
"),"00:25")</f>
        <v>00:25</v>
      </c>
      <c r="AJ600" s="27">
        <f t="shared" si="9"/>
        <v>0</v>
      </c>
      <c r="AK600" s="63" t="str">
        <f t="shared" si="10"/>
        <v>Pass</v>
      </c>
    </row>
    <row r="601">
      <c r="A601" s="45">
        <v>45951.0</v>
      </c>
      <c r="B601" s="49">
        <v>0.42291666666666666</v>
      </c>
      <c r="C601" s="45">
        <v>45951.0</v>
      </c>
      <c r="D601" s="49">
        <v>0.4263888888888889</v>
      </c>
      <c r="E601" s="21" t="s">
        <v>4871</v>
      </c>
      <c r="F601" s="21" t="s">
        <v>1439</v>
      </c>
      <c r="G601" s="21" t="s">
        <v>1440</v>
      </c>
      <c r="H601" s="21" t="s">
        <v>1450</v>
      </c>
      <c r="I601" s="21" t="s">
        <v>4872</v>
      </c>
      <c r="J601" s="21" t="s">
        <v>2655</v>
      </c>
      <c r="K601" s="21" t="s">
        <v>43</v>
      </c>
      <c r="L601" s="21" t="s">
        <v>4865</v>
      </c>
      <c r="M601" s="21" t="s">
        <v>4873</v>
      </c>
      <c r="N601" s="21" t="s">
        <v>4874</v>
      </c>
      <c r="O601" s="48" t="s">
        <v>4875</v>
      </c>
      <c r="P601" s="21" t="s">
        <v>75</v>
      </c>
      <c r="Q601" s="24" t="s">
        <v>65</v>
      </c>
      <c r="R601" s="21" t="s">
        <v>4869</v>
      </c>
      <c r="S601" s="21" t="s">
        <v>51</v>
      </c>
      <c r="T601" s="21" t="s">
        <v>52</v>
      </c>
      <c r="U601" s="21" t="s">
        <v>52</v>
      </c>
      <c r="V601" s="21" t="s">
        <v>52</v>
      </c>
      <c r="W601" s="45">
        <v>45951.0</v>
      </c>
      <c r="X601" s="49">
        <v>0.4263888888888889</v>
      </c>
      <c r="Y601" s="45">
        <v>45951.0</v>
      </c>
      <c r="Z601" s="49">
        <v>0.4270833333333333</v>
      </c>
      <c r="AA601" s="49">
        <v>0.4305555555555556</v>
      </c>
      <c r="AB601" s="29"/>
      <c r="AC601" s="29"/>
      <c r="AD601" s="25">
        <v>0.4444444444444444</v>
      </c>
      <c r="AE601" s="45">
        <v>45951.0</v>
      </c>
      <c r="AF601" s="21" t="s">
        <v>2711</v>
      </c>
      <c r="AG601" s="21" t="s">
        <v>54</v>
      </c>
      <c r="AH601" s="21" t="s">
        <v>4870</v>
      </c>
      <c r="AI601" s="62" t="str">
        <f>IFERROR(__xludf.DUMMYFUNCTION("IF(OR(W601="""",X601="""",AE601="""",AD601=""""),"""",
   TEXT(
     (
       (AE601+AD601 + IF(AE601+AD601 &lt; W601+X601,1,0)) - (W601+X601)
     )
     - IF(AND(AB601&lt;&gt;"""",AC601&lt;&gt;""""), 
          SUM(ARRAYFORMULA(SPLIT(AC601,"","") - SPLIT(AB601,"",""))"&amp;"), 
          0
       ),
     ""[hh]:mm""
   )
)
"),"00:26")</f>
        <v>00:26</v>
      </c>
      <c r="AJ601" s="27">
        <f t="shared" si="9"/>
        <v>0</v>
      </c>
      <c r="AK601" s="63" t="str">
        <f t="shared" si="10"/>
        <v>Pass</v>
      </c>
    </row>
    <row r="602">
      <c r="A602" s="45">
        <v>45951.0</v>
      </c>
      <c r="B602" s="49">
        <v>0.2125</v>
      </c>
      <c r="C602" s="45">
        <v>45951.0</v>
      </c>
      <c r="D602" s="49">
        <v>0.3145833333333333</v>
      </c>
      <c r="E602" s="21" t="s">
        <v>4876</v>
      </c>
      <c r="F602" s="21" t="s">
        <v>4363</v>
      </c>
      <c r="G602" s="21" t="s">
        <v>4364</v>
      </c>
      <c r="H602" s="21" t="s">
        <v>1610</v>
      </c>
      <c r="I602" s="21" t="s">
        <v>1612</v>
      </c>
      <c r="J602" s="21" t="s">
        <v>1612</v>
      </c>
      <c r="K602" s="21" t="s">
        <v>143</v>
      </c>
      <c r="L602" s="21" t="s">
        <v>4755</v>
      </c>
      <c r="M602" s="21" t="s">
        <v>4877</v>
      </c>
      <c r="N602" s="21" t="s">
        <v>4878</v>
      </c>
      <c r="O602" s="48" t="s">
        <v>4879</v>
      </c>
      <c r="P602" s="21" t="s">
        <v>48</v>
      </c>
      <c r="Q602" s="24" t="s">
        <v>65</v>
      </c>
      <c r="R602" s="21" t="s">
        <v>4880</v>
      </c>
      <c r="S602" s="21" t="s">
        <v>51</v>
      </c>
      <c r="T602" s="21" t="s">
        <v>52</v>
      </c>
      <c r="U602" s="21" t="s">
        <v>52</v>
      </c>
      <c r="V602" s="21" t="s">
        <v>52</v>
      </c>
      <c r="W602" s="45">
        <v>45951.0</v>
      </c>
      <c r="X602" s="49">
        <v>0.3145833333333333</v>
      </c>
      <c r="Y602" s="45">
        <v>45951.0</v>
      </c>
      <c r="Z602" s="49">
        <v>0.45555555555555555</v>
      </c>
      <c r="AA602" s="49">
        <v>0.4618055555555556</v>
      </c>
      <c r="AB602" s="25">
        <v>0.5</v>
      </c>
      <c r="AC602" s="25">
        <v>0.5416666666666666</v>
      </c>
      <c r="AD602" s="25">
        <v>0.625</v>
      </c>
      <c r="AE602" s="45">
        <v>45951.0</v>
      </c>
      <c r="AF602" s="21" t="s">
        <v>3218</v>
      </c>
      <c r="AG602" s="21" t="s">
        <v>113</v>
      </c>
      <c r="AH602" s="21" t="s">
        <v>4370</v>
      </c>
      <c r="AI602" s="62" t="str">
        <f>IFERROR(__xludf.DUMMYFUNCTION("IF(OR(W602="""",X602="""",AE602="""",AD602=""""),"""",
   TEXT(
     (
       (AE602+AD602 + IF(AE602+AD602 &lt; W602+X602,1,0)) - (W602+X602)
     )
     - IF(AND(AB602&lt;&gt;"""",AC602&lt;&gt;""""), 
          SUM(ARRAYFORMULA(SPLIT(AC602,"","") - SPLIT(AB602,"",""))"&amp;"), 
          0
       ),
     ""[hh]:mm""
   )
)
"),"06:27")</f>
        <v>06:27</v>
      </c>
      <c r="AJ602" s="27">
        <f t="shared" si="9"/>
        <v>0</v>
      </c>
      <c r="AK602" s="63" t="str">
        <f t="shared" si="10"/>
        <v>Pass</v>
      </c>
    </row>
    <row r="603">
      <c r="A603" s="45">
        <v>45951.0</v>
      </c>
      <c r="B603" s="49">
        <v>0.3326388888888889</v>
      </c>
      <c r="C603" s="45">
        <v>45951.0</v>
      </c>
      <c r="D603" s="49">
        <v>0.3402777777777778</v>
      </c>
      <c r="E603" s="21" t="s">
        <v>4881</v>
      </c>
      <c r="F603" s="21" t="s">
        <v>596</v>
      </c>
      <c r="G603" s="21" t="s">
        <v>597</v>
      </c>
      <c r="H603" s="21" t="s">
        <v>3471</v>
      </c>
      <c r="I603" s="21" t="s">
        <v>815</v>
      </c>
      <c r="J603" s="21" t="s">
        <v>1084</v>
      </c>
      <c r="K603" s="21" t="s">
        <v>2353</v>
      </c>
      <c r="L603" s="21" t="s">
        <v>4882</v>
      </c>
      <c r="M603" s="21" t="s">
        <v>4883</v>
      </c>
      <c r="N603" s="21" t="s">
        <v>4884</v>
      </c>
      <c r="O603" s="48" t="s">
        <v>4885</v>
      </c>
      <c r="P603" s="21" t="s">
        <v>48</v>
      </c>
      <c r="Q603" s="24" t="s">
        <v>198</v>
      </c>
      <c r="R603" s="21" t="s">
        <v>4886</v>
      </c>
      <c r="S603" s="21" t="s">
        <v>51</v>
      </c>
      <c r="T603" s="21" t="s">
        <v>52</v>
      </c>
      <c r="U603" s="21" t="s">
        <v>52</v>
      </c>
      <c r="V603" s="21" t="s">
        <v>52</v>
      </c>
      <c r="W603" s="45">
        <v>45951.0</v>
      </c>
      <c r="X603" s="49">
        <v>0.4583333333333333</v>
      </c>
      <c r="Y603" s="45">
        <v>45951.0</v>
      </c>
      <c r="Z603" s="49">
        <v>0.4930555555555556</v>
      </c>
      <c r="AA603" s="49">
        <v>0.4965277777777778</v>
      </c>
      <c r="AB603" s="25">
        <v>0.5618055555555556</v>
      </c>
      <c r="AC603" s="25">
        <v>0.5902777777777778</v>
      </c>
      <c r="AD603" s="25">
        <v>0.65625</v>
      </c>
      <c r="AE603" s="45">
        <v>45951.0</v>
      </c>
      <c r="AF603" s="21" t="s">
        <v>2730</v>
      </c>
      <c r="AG603" s="21" t="s">
        <v>3328</v>
      </c>
      <c r="AH603" s="21" t="s">
        <v>4887</v>
      </c>
      <c r="AI603" s="62" t="str">
        <f>IFERROR(__xludf.DUMMYFUNCTION("IF(OR(W603="""",X603="""",AE603="""",AD603=""""),"""",
   TEXT(
     (
       (AE603+AD603 + IF(AE603+AD603 &lt; W603+X603,1,0)) - (W603+X603)
     )
     - IF(AND(AB603&lt;&gt;"""",AC603&lt;&gt;""""), 
          SUM(ARRAYFORMULA(SPLIT(AC603,"","") - SPLIT(AB603,"",""))"&amp;"), 
          0
       ),
     ""[hh]:mm""
   )
)
"),"04:04")</f>
        <v>04:04</v>
      </c>
      <c r="AJ603" s="27">
        <f t="shared" si="9"/>
        <v>0</v>
      </c>
      <c r="AK603" s="63" t="str">
        <f t="shared" si="10"/>
        <v>Pass</v>
      </c>
    </row>
    <row r="604">
      <c r="A604" s="45">
        <v>45951.0</v>
      </c>
      <c r="B604" s="49">
        <v>0.3680555555555556</v>
      </c>
      <c r="C604" s="45">
        <v>45951.0</v>
      </c>
      <c r="D604" s="49">
        <v>0.3701388888888889</v>
      </c>
      <c r="E604" s="21" t="s">
        <v>4888</v>
      </c>
      <c r="F604" s="21" t="s">
        <v>116</v>
      </c>
      <c r="G604" s="21" t="s">
        <v>4889</v>
      </c>
      <c r="H604" s="21" t="s">
        <v>1610</v>
      </c>
      <c r="I604" s="21" t="s">
        <v>1612</v>
      </c>
      <c r="J604" s="21" t="s">
        <v>1612</v>
      </c>
      <c r="K604" s="21" t="s">
        <v>143</v>
      </c>
      <c r="L604" s="21" t="s">
        <v>4755</v>
      </c>
      <c r="M604" s="21" t="s">
        <v>4890</v>
      </c>
      <c r="N604" s="21" t="s">
        <v>4891</v>
      </c>
      <c r="O604" s="48" t="s">
        <v>4892</v>
      </c>
      <c r="P604" s="21" t="s">
        <v>187</v>
      </c>
      <c r="Q604" s="24" t="s">
        <v>65</v>
      </c>
      <c r="R604" s="21" t="s">
        <v>4893</v>
      </c>
      <c r="S604" s="21" t="s">
        <v>51</v>
      </c>
      <c r="T604" s="21" t="s">
        <v>52</v>
      </c>
      <c r="U604" s="21" t="s">
        <v>52</v>
      </c>
      <c r="V604" s="21" t="s">
        <v>52</v>
      </c>
      <c r="W604" s="45">
        <v>45951.0</v>
      </c>
      <c r="X604" s="49">
        <v>0.5888888888888889</v>
      </c>
      <c r="Y604" s="45">
        <v>45951.0</v>
      </c>
      <c r="Z604" s="49">
        <v>0.7305555555555555</v>
      </c>
      <c r="AA604" s="49">
        <v>0.7326388888888888</v>
      </c>
      <c r="AB604" s="29"/>
      <c r="AC604" s="29"/>
      <c r="AD604" s="25">
        <v>0.8590277777777777</v>
      </c>
      <c r="AE604" s="45">
        <v>45951.0</v>
      </c>
      <c r="AF604" s="21" t="s">
        <v>2812</v>
      </c>
      <c r="AG604" s="21" t="s">
        <v>162</v>
      </c>
      <c r="AH604" s="21" t="s">
        <v>4894</v>
      </c>
      <c r="AI604" s="62" t="str">
        <f>IFERROR(__xludf.DUMMYFUNCTION("IF(OR(W604="""",X604="""",AE604="""",AD604=""""),"""",
   TEXT(
     (
       (AE604+AD604 + IF(AE604+AD604 &lt; W604+X604,1,0)) - (W604+X604)
     )
     - IF(AND(AB604&lt;&gt;"""",AC604&lt;&gt;""""), 
          SUM(ARRAYFORMULA(SPLIT(AC604,"","") - SPLIT(AB604,"",""))"&amp;"), 
          0
       ),
     ""[hh]:mm""
   )
)
"),"06:29")</f>
        <v>06:29</v>
      </c>
      <c r="AJ604" s="27">
        <f t="shared" si="9"/>
        <v>0</v>
      </c>
      <c r="AK604" s="63" t="str">
        <f t="shared" si="10"/>
        <v>Pass</v>
      </c>
    </row>
    <row r="605">
      <c r="A605" s="45">
        <v>45951.0</v>
      </c>
      <c r="B605" s="49">
        <v>0.37916666666666665</v>
      </c>
      <c r="C605" s="45">
        <v>45951.0</v>
      </c>
      <c r="D605" s="49">
        <v>0.38472222222222224</v>
      </c>
      <c r="E605" s="21" t="s">
        <v>4895</v>
      </c>
      <c r="F605" s="21" t="s">
        <v>140</v>
      </c>
      <c r="G605" s="21" t="s">
        <v>835</v>
      </c>
      <c r="H605" s="21" t="s">
        <v>1881</v>
      </c>
      <c r="I605" s="21" t="s">
        <v>95</v>
      </c>
      <c r="J605" s="21" t="s">
        <v>95</v>
      </c>
      <c r="K605" s="21" t="s">
        <v>143</v>
      </c>
      <c r="L605" s="21" t="s">
        <v>4693</v>
      </c>
      <c r="M605" s="21" t="s">
        <v>145</v>
      </c>
      <c r="N605" s="21" t="s">
        <v>4519</v>
      </c>
      <c r="O605" s="48" t="s">
        <v>4896</v>
      </c>
      <c r="P605" s="21" t="s">
        <v>48</v>
      </c>
      <c r="Q605" s="24" t="s">
        <v>49</v>
      </c>
      <c r="R605" s="21" t="s">
        <v>4869</v>
      </c>
      <c r="S605" s="21" t="s">
        <v>51</v>
      </c>
      <c r="T605" s="21" t="s">
        <v>52</v>
      </c>
      <c r="U605" s="21" t="s">
        <v>52</v>
      </c>
      <c r="V605" s="21" t="s">
        <v>52</v>
      </c>
      <c r="W605" s="45">
        <v>45951.0</v>
      </c>
      <c r="X605" s="49">
        <v>0.6840277777777778</v>
      </c>
      <c r="Y605" s="45">
        <v>45951.0</v>
      </c>
      <c r="Z605" s="49">
        <v>0.6840277777777778</v>
      </c>
      <c r="AA605" s="49">
        <v>0.6840277777777778</v>
      </c>
      <c r="AB605" s="29"/>
      <c r="AC605" s="29"/>
      <c r="AD605" s="25">
        <v>0.6944444444444444</v>
      </c>
      <c r="AE605" s="45">
        <v>45951.0</v>
      </c>
      <c r="AF605" s="21" t="s">
        <v>2744</v>
      </c>
      <c r="AG605" s="21" t="s">
        <v>392</v>
      </c>
      <c r="AH605" s="21" t="s">
        <v>4897</v>
      </c>
      <c r="AI605" s="26" t="str">
        <f>IFERROR(__xludf.DUMMYFUNCTION("IF(OR(W605="""",X605="""",AE605="""",AD605=""""),"""",
   TEXT(
     (
       (AE605+AD605 + IF(AE605+AD605 &lt; W605+X605,1,0)) - (W605+X605)
     )
     - IF(AND(AB605&lt;&gt;"""",AC605&lt;&gt;""""), 
          SUM(ARRAYFORMULA(SPLIT(AC605,"","") - SPLIT(AB605,"",""))"&amp;"), 
          0
       ),
     ""[hh]:mm""
   )
)
"),"00:15")</f>
        <v>00:15</v>
      </c>
      <c r="AJ605" s="55">
        <f t="shared" si="9"/>
        <v>0</v>
      </c>
      <c r="AK605" s="28" t="str">
        <f t="shared" si="10"/>
        <v>Pass</v>
      </c>
    </row>
    <row r="606">
      <c r="A606" s="45">
        <v>45951.0</v>
      </c>
      <c r="B606" s="49">
        <v>0.4826388888888889</v>
      </c>
      <c r="C606" s="45">
        <v>45951.0</v>
      </c>
      <c r="D606" s="49">
        <v>0.48541666666666666</v>
      </c>
      <c r="E606" s="21" t="s">
        <v>4898</v>
      </c>
      <c r="F606" s="21" t="s">
        <v>3481</v>
      </c>
      <c r="G606" s="21" t="s">
        <v>4899</v>
      </c>
      <c r="H606" s="21" t="s">
        <v>343</v>
      </c>
      <c r="I606" s="21" t="s">
        <v>644</v>
      </c>
      <c r="J606" s="21" t="s">
        <v>644</v>
      </c>
      <c r="K606" s="21" t="s">
        <v>333</v>
      </c>
      <c r="L606" s="21" t="s">
        <v>1726</v>
      </c>
      <c r="M606" s="21" t="s">
        <v>4900</v>
      </c>
      <c r="N606" s="21" t="s">
        <v>4901</v>
      </c>
      <c r="O606" s="48" t="s">
        <v>4902</v>
      </c>
      <c r="P606" s="21" t="s">
        <v>187</v>
      </c>
      <c r="Q606" s="24" t="s">
        <v>65</v>
      </c>
      <c r="R606" s="21" t="s">
        <v>4903</v>
      </c>
      <c r="S606" s="21" t="s">
        <v>51</v>
      </c>
      <c r="T606" s="21" t="s">
        <v>52</v>
      </c>
      <c r="U606" s="21" t="s">
        <v>52</v>
      </c>
      <c r="V606" s="21" t="s">
        <v>52</v>
      </c>
      <c r="W606" s="45">
        <v>45951.0</v>
      </c>
      <c r="X606" s="49">
        <v>0.48541666666666666</v>
      </c>
      <c r="Y606" s="45">
        <v>45951.0</v>
      </c>
      <c r="Z606" s="49">
        <v>0.5881944444444445</v>
      </c>
      <c r="AA606" s="49">
        <v>0.5902777777777778</v>
      </c>
      <c r="AB606" s="29"/>
      <c r="AC606" s="29"/>
      <c r="AD606" s="25">
        <v>0.7229166666666667</v>
      </c>
      <c r="AE606" s="45">
        <v>45951.0</v>
      </c>
      <c r="AF606" s="21" t="s">
        <v>2744</v>
      </c>
      <c r="AG606" s="21" t="s">
        <v>102</v>
      </c>
      <c r="AH606" s="21" t="s">
        <v>4904</v>
      </c>
      <c r="AI606" s="62" t="str">
        <f>IFERROR(__xludf.DUMMYFUNCTION("IF(OR(W606="""",X606="""",AE606="""",AD606=""""),"""",
   TEXT(
     (
       (AE606+AD606 + IF(AE606+AD606 &lt; W606+X606,1,0)) - (W606+X606)
     )
     - IF(AND(AB606&lt;&gt;"""",AC606&lt;&gt;""""), 
          SUM(ARRAYFORMULA(SPLIT(AC606,"","") - SPLIT(AB606,"",""))"&amp;"), 
          0
       ),
     ""[hh]:mm""
   )
)
"),"05:42")</f>
        <v>05:42</v>
      </c>
      <c r="AJ606" s="27">
        <f t="shared" si="9"/>
        <v>0</v>
      </c>
      <c r="AK606" s="63" t="str">
        <f t="shared" si="10"/>
        <v>Pass</v>
      </c>
    </row>
    <row r="607">
      <c r="A607" s="45">
        <v>45951.0</v>
      </c>
      <c r="B607" s="49">
        <v>0.6027777777777777</v>
      </c>
      <c r="C607" s="45">
        <v>45951.0</v>
      </c>
      <c r="D607" s="91" t="s">
        <v>4905</v>
      </c>
      <c r="E607" s="21" t="s">
        <v>4906</v>
      </c>
      <c r="F607" s="21" t="s">
        <v>2329</v>
      </c>
      <c r="G607" s="21" t="s">
        <v>4907</v>
      </c>
      <c r="H607" s="21" t="s">
        <v>4908</v>
      </c>
      <c r="I607" s="21" t="s">
        <v>95</v>
      </c>
      <c r="J607" s="21" t="s">
        <v>95</v>
      </c>
      <c r="K607" s="21" t="s">
        <v>143</v>
      </c>
      <c r="L607" s="21" t="s">
        <v>606</v>
      </c>
      <c r="M607" s="21" t="s">
        <v>4909</v>
      </c>
      <c r="N607" s="21" t="s">
        <v>4910</v>
      </c>
      <c r="O607" s="48" t="s">
        <v>4911</v>
      </c>
      <c r="P607" s="21" t="s">
        <v>75</v>
      </c>
      <c r="Q607" s="24" t="s">
        <v>198</v>
      </c>
      <c r="R607" s="21" t="s">
        <v>4912</v>
      </c>
      <c r="S607" s="21" t="s">
        <v>51</v>
      </c>
      <c r="T607" s="21" t="s">
        <v>4913</v>
      </c>
      <c r="U607" s="47"/>
      <c r="V607" s="47"/>
      <c r="W607" s="45">
        <v>45953.0</v>
      </c>
      <c r="X607" s="49">
        <v>0.0</v>
      </c>
      <c r="Y607" s="45">
        <v>45953.0</v>
      </c>
      <c r="Z607" s="49">
        <v>0.9652777777777778</v>
      </c>
      <c r="AA607" s="49">
        <v>0.0625</v>
      </c>
      <c r="AB607" s="29"/>
      <c r="AC607" s="29"/>
      <c r="AD607" s="25">
        <v>0.3861111111111111</v>
      </c>
      <c r="AE607" s="45">
        <v>45953.0</v>
      </c>
      <c r="AF607" s="21" t="s">
        <v>4914</v>
      </c>
      <c r="AG607" s="21" t="s">
        <v>4915</v>
      </c>
      <c r="AH607" s="21" t="s">
        <v>4916</v>
      </c>
      <c r="AI607" s="62" t="str">
        <f>IFERROR(__xludf.DUMMYFUNCTION("IF(OR(W607="""",X607="""",AE607="""",AD607=""""),"""",
   TEXT(
     (
       (AE607+AD607 + IF(AE607+AD607 &lt; W607+X607,1,0)) - (W607+X607)
     )
     - IF(AND(AB607&lt;&gt;"""",AC607&lt;&gt;""""), 
          SUM(ARRAYFORMULA(SPLIT(AC607,"","") - SPLIT(AB607,"",""))"&amp;"), 
          0
       ),
     ""[hh]:mm""
   )
)
"),"09:16")</f>
        <v>09:16</v>
      </c>
      <c r="AJ607" s="27">
        <f t="shared" si="9"/>
        <v>0</v>
      </c>
      <c r="AK607" s="63" t="str">
        <f t="shared" si="10"/>
        <v>Pass</v>
      </c>
    </row>
    <row r="608">
      <c r="A608" s="45">
        <v>45951.0</v>
      </c>
      <c r="B608" s="49">
        <v>0.6486111111111111</v>
      </c>
      <c r="C608" s="45">
        <v>45951.0</v>
      </c>
      <c r="D608" s="49">
        <v>0.6555555555555556</v>
      </c>
      <c r="E608" s="21" t="s">
        <v>4917</v>
      </c>
      <c r="F608" s="21" t="s">
        <v>3232</v>
      </c>
      <c r="G608" s="21" t="s">
        <v>3233</v>
      </c>
      <c r="H608" s="21" t="s">
        <v>156</v>
      </c>
      <c r="I608" s="21" t="s">
        <v>616</v>
      </c>
      <c r="J608" s="21" t="s">
        <v>2253</v>
      </c>
      <c r="K608" s="21" t="s">
        <v>43</v>
      </c>
      <c r="L608" s="21" t="s">
        <v>617</v>
      </c>
      <c r="M608" s="21" t="s">
        <v>4918</v>
      </c>
      <c r="N608" s="21" t="s">
        <v>4919</v>
      </c>
      <c r="O608" s="48" t="s">
        <v>4920</v>
      </c>
      <c r="P608" s="21" t="s">
        <v>75</v>
      </c>
      <c r="Q608" s="24" t="s">
        <v>65</v>
      </c>
      <c r="R608" s="21" t="s">
        <v>4921</v>
      </c>
      <c r="S608" s="21" t="s">
        <v>51</v>
      </c>
      <c r="T608" s="21" t="s">
        <v>52</v>
      </c>
      <c r="U608" s="21" t="s">
        <v>52</v>
      </c>
      <c r="V608" s="21" t="s">
        <v>52</v>
      </c>
      <c r="W608" s="45">
        <v>45951.0</v>
      </c>
      <c r="X608" s="49">
        <v>0.6555555555555556</v>
      </c>
      <c r="Y608" s="45">
        <v>45951.0</v>
      </c>
      <c r="Z608" s="49">
        <v>0.775</v>
      </c>
      <c r="AA608" s="49">
        <v>0.7777777777777778</v>
      </c>
      <c r="AB608" s="29"/>
      <c r="AC608" s="29"/>
      <c r="AD608" s="25">
        <v>0.7916666666666666</v>
      </c>
      <c r="AE608" s="45">
        <v>45951.0</v>
      </c>
      <c r="AF608" s="21" t="s">
        <v>2711</v>
      </c>
      <c r="AG608" s="21" t="s">
        <v>102</v>
      </c>
      <c r="AH608" s="21" t="s">
        <v>4922</v>
      </c>
      <c r="AI608" s="62" t="str">
        <f>IFERROR(__xludf.DUMMYFUNCTION("IF(OR(W608="""",X608="""",AE608="""",AD608=""""),"""",
   TEXT(
     (
       (AE608+AD608 + IF(AE608+AD608 &lt; W608+X608,1,0)) - (W608+X608)
     )
     - IF(AND(AB608&lt;&gt;"""",AC608&lt;&gt;""""), 
          SUM(ARRAYFORMULA(SPLIT(AC608,"","") - SPLIT(AB608,"",""))"&amp;"), 
          0
       ),
     ""[hh]:mm""
   )
)
"),"03:16")</f>
        <v>03:16</v>
      </c>
      <c r="AJ608" s="27">
        <f t="shared" si="9"/>
        <v>0</v>
      </c>
      <c r="AK608" s="63" t="str">
        <f t="shared" si="10"/>
        <v>Pass</v>
      </c>
    </row>
    <row r="609">
      <c r="A609" s="45">
        <v>45952.0</v>
      </c>
      <c r="B609" s="49">
        <v>0.4048611111111111</v>
      </c>
      <c r="C609" s="45">
        <v>45951.0</v>
      </c>
      <c r="D609" s="49">
        <v>0.6805555555555556</v>
      </c>
      <c r="E609" s="21" t="s">
        <v>4923</v>
      </c>
      <c r="F609" s="21" t="s">
        <v>596</v>
      </c>
      <c r="G609" s="21" t="s">
        <v>597</v>
      </c>
      <c r="H609" s="21" t="s">
        <v>756</v>
      </c>
      <c r="I609" s="21" t="s">
        <v>567</v>
      </c>
      <c r="J609" s="21" t="s">
        <v>567</v>
      </c>
      <c r="K609" s="21" t="s">
        <v>568</v>
      </c>
      <c r="L609" s="21" t="s">
        <v>568</v>
      </c>
      <c r="M609" s="21" t="s">
        <v>4924</v>
      </c>
      <c r="N609" s="21" t="s">
        <v>4925</v>
      </c>
      <c r="O609" s="48" t="s">
        <v>4926</v>
      </c>
      <c r="P609" s="21" t="s">
        <v>48</v>
      </c>
      <c r="Q609" s="24" t="s">
        <v>198</v>
      </c>
      <c r="R609" s="21" t="s">
        <v>4927</v>
      </c>
      <c r="S609" s="21" t="s">
        <v>51</v>
      </c>
      <c r="T609" s="21" t="s">
        <v>52</v>
      </c>
      <c r="U609" s="21" t="s">
        <v>52</v>
      </c>
      <c r="V609" s="21" t="s">
        <v>52</v>
      </c>
      <c r="W609" s="45">
        <v>45951.0</v>
      </c>
      <c r="X609" s="49">
        <v>0.6145833333333334</v>
      </c>
      <c r="Y609" s="45">
        <v>45951.0</v>
      </c>
      <c r="Z609" s="49">
        <v>0.6145833333333334</v>
      </c>
      <c r="AA609" s="49">
        <v>0.6145833333333334</v>
      </c>
      <c r="AB609" s="29"/>
      <c r="AC609" s="29"/>
      <c r="AD609" s="25">
        <v>0.65625</v>
      </c>
      <c r="AE609" s="45">
        <v>45951.0</v>
      </c>
      <c r="AF609" s="21" t="s">
        <v>4928</v>
      </c>
      <c r="AG609" s="21" t="s">
        <v>3328</v>
      </c>
      <c r="AH609" s="21" t="s">
        <v>4887</v>
      </c>
      <c r="AI609" s="62" t="str">
        <f>IFERROR(__xludf.DUMMYFUNCTION("IF(OR(W609="""",X609="""",AE609="""",AD609=""""),"""",
   TEXT(
     (
       (AE609+AD609 + IF(AE609+AD609 &lt; W609+X609,1,0)) - (W609+X609)
     )
     - IF(AND(AB609&lt;&gt;"""",AC609&lt;&gt;""""), 
          SUM(ARRAYFORMULA(SPLIT(AC609,"","") - SPLIT(AB609,"",""))"&amp;"), 
          0
       ),
     ""[hh]:mm""
   )
)
"),"01:00")</f>
        <v>01:00</v>
      </c>
      <c r="AJ609" s="27">
        <f t="shared" si="9"/>
        <v>0</v>
      </c>
      <c r="AK609" s="63" t="str">
        <f t="shared" si="10"/>
        <v>Pass</v>
      </c>
    </row>
    <row r="610">
      <c r="A610" s="45">
        <v>45951.0</v>
      </c>
      <c r="B610" s="49">
        <v>0.7069444444444445</v>
      </c>
      <c r="C610" s="45">
        <v>45951.0</v>
      </c>
      <c r="D610" s="49">
        <v>0.71875</v>
      </c>
      <c r="E610" s="21" t="s">
        <v>4929</v>
      </c>
      <c r="F610" s="21" t="s">
        <v>710</v>
      </c>
      <c r="G610" s="21" t="s">
        <v>711</v>
      </c>
      <c r="H610" s="21" t="s">
        <v>1450</v>
      </c>
      <c r="I610" s="21" t="s">
        <v>1178</v>
      </c>
      <c r="J610" s="21" t="s">
        <v>2655</v>
      </c>
      <c r="K610" s="21" t="s">
        <v>43</v>
      </c>
      <c r="L610" s="21" t="s">
        <v>44</v>
      </c>
      <c r="M610" s="21" t="s">
        <v>4930</v>
      </c>
      <c r="N610" s="21" t="s">
        <v>4931</v>
      </c>
      <c r="O610" s="48" t="s">
        <v>4932</v>
      </c>
      <c r="P610" s="21" t="s">
        <v>75</v>
      </c>
      <c r="Q610" s="24" t="s">
        <v>65</v>
      </c>
      <c r="R610" s="21" t="s">
        <v>4933</v>
      </c>
      <c r="S610" s="21" t="s">
        <v>51</v>
      </c>
      <c r="T610" s="21" t="s">
        <v>4934</v>
      </c>
      <c r="U610" s="21" t="s">
        <v>4935</v>
      </c>
      <c r="V610" s="21" t="s">
        <v>4936</v>
      </c>
      <c r="W610" s="45">
        <v>45951.0</v>
      </c>
      <c r="X610" s="49">
        <v>0.71875</v>
      </c>
      <c r="Y610" s="45">
        <v>45951.0</v>
      </c>
      <c r="Z610" s="49">
        <v>0.825</v>
      </c>
      <c r="AA610" s="49">
        <v>0.8256944444444444</v>
      </c>
      <c r="AB610" s="29"/>
      <c r="AC610" s="29"/>
      <c r="AD610" s="25">
        <v>0.8645833333333334</v>
      </c>
      <c r="AE610" s="45">
        <v>45951.0</v>
      </c>
      <c r="AF610" s="21" t="s">
        <v>2931</v>
      </c>
      <c r="AG610" s="21" t="s">
        <v>4937</v>
      </c>
      <c r="AH610" s="21" t="s">
        <v>4938</v>
      </c>
      <c r="AI610" s="62" t="str">
        <f>IFERROR(__xludf.DUMMYFUNCTION("IF(OR(W610="""",X610="""",AE610="""",AD610=""""),"""",
   TEXT(
     (
       (AE610+AD610 + IF(AE610+AD610 &lt; W610+X610,1,0)) - (W610+X610)
     )
     - IF(AND(AB610&lt;&gt;"""",AC610&lt;&gt;""""), 
          SUM(ARRAYFORMULA(SPLIT(AC610,"","") - SPLIT(AB610,"",""))"&amp;"), 
          0
       ),
     ""[hh]:mm""
   )
)
"),"03:30")</f>
        <v>03:30</v>
      </c>
      <c r="AJ610" s="27">
        <f t="shared" si="9"/>
        <v>0</v>
      </c>
      <c r="AK610" s="63" t="str">
        <f t="shared" si="10"/>
        <v>Pass</v>
      </c>
    </row>
    <row r="611">
      <c r="A611" s="45">
        <v>45951.0</v>
      </c>
      <c r="B611" s="49">
        <v>0.79375</v>
      </c>
      <c r="C611" s="45">
        <v>45951.0</v>
      </c>
      <c r="D611" s="49">
        <v>0.8055555555555556</v>
      </c>
      <c r="E611" s="21" t="s">
        <v>4939</v>
      </c>
      <c r="F611" s="21" t="s">
        <v>4254</v>
      </c>
      <c r="G611" s="21" t="s">
        <v>4940</v>
      </c>
      <c r="H611" s="21" t="s">
        <v>244</v>
      </c>
      <c r="I611" s="21" t="s">
        <v>95</v>
      </c>
      <c r="J611" s="21" t="s">
        <v>95</v>
      </c>
      <c r="K611" s="21" t="s">
        <v>143</v>
      </c>
      <c r="L611" s="21" t="s">
        <v>1203</v>
      </c>
      <c r="M611" s="21" t="s">
        <v>4941</v>
      </c>
      <c r="N611" s="21" t="s">
        <v>4942</v>
      </c>
      <c r="O611" s="48" t="s">
        <v>4943</v>
      </c>
      <c r="P611" s="21" t="s">
        <v>48</v>
      </c>
      <c r="Q611" s="24" t="s">
        <v>49</v>
      </c>
      <c r="R611" s="21" t="s">
        <v>4944</v>
      </c>
      <c r="S611" s="21" t="s">
        <v>51</v>
      </c>
      <c r="T611" s="21" t="s">
        <v>52</v>
      </c>
      <c r="U611" s="21" t="s">
        <v>52</v>
      </c>
      <c r="V611" s="21" t="s">
        <v>52</v>
      </c>
      <c r="W611" s="45">
        <v>45951.0</v>
      </c>
      <c r="X611" s="49">
        <v>0.8055555555555556</v>
      </c>
      <c r="Y611" s="45">
        <v>45951.0</v>
      </c>
      <c r="Z611" s="49">
        <v>0.8854166666666666</v>
      </c>
      <c r="AA611" s="49">
        <v>0.8868055555555555</v>
      </c>
      <c r="AB611" s="24" t="s">
        <v>4945</v>
      </c>
      <c r="AC611" s="24" t="s">
        <v>4946</v>
      </c>
      <c r="AD611" s="25">
        <v>1.0277777777777777</v>
      </c>
      <c r="AE611" s="45">
        <v>45951.0</v>
      </c>
      <c r="AF611" s="21" t="s">
        <v>2839</v>
      </c>
      <c r="AG611" s="21" t="s">
        <v>3191</v>
      </c>
      <c r="AH611" s="21" t="s">
        <v>4947</v>
      </c>
      <c r="AI611" s="62" t="str">
        <f>IFERROR(__xludf.DUMMYFUNCTION("IF(OR(W611="""",X611="""",AE611="""",AD611=""""),"""",
   TEXT(
     (
       (AE611+AD611 + IF(AE611+AD611 &lt; W611+X611,1,0)) - (W611+X611)
     )
     - IF(AND(AB611&lt;&gt;"""",AC611&lt;&gt;""""), 
          SUM(ARRAYFORMULA(SPLIT(AC611,"","") - SPLIT(AB611,"",""))"&amp;"), 
          0
       ),
     ""[hh]:mm""
   )
)
"),"03:39")</f>
        <v>03:39</v>
      </c>
      <c r="AJ611" s="27">
        <f t="shared" si="9"/>
        <v>0</v>
      </c>
      <c r="AK611" s="63" t="str">
        <f t="shared" si="10"/>
        <v>Pass</v>
      </c>
    </row>
    <row r="612">
      <c r="A612" s="45">
        <v>45952.0</v>
      </c>
      <c r="B612" s="49">
        <v>0.041666666666666664</v>
      </c>
      <c r="C612" s="45">
        <v>45952.0</v>
      </c>
      <c r="D612" s="49">
        <v>0.3423611111111111</v>
      </c>
      <c r="E612" s="21" t="s">
        <v>4948</v>
      </c>
      <c r="F612" s="21" t="s">
        <v>2974</v>
      </c>
      <c r="G612" s="21" t="s">
        <v>2975</v>
      </c>
      <c r="H612" s="21" t="s">
        <v>1287</v>
      </c>
      <c r="I612" s="21" t="s">
        <v>616</v>
      </c>
      <c r="J612" s="21" t="s">
        <v>4708</v>
      </c>
      <c r="K612" s="21" t="s">
        <v>61</v>
      </c>
      <c r="L612" s="21" t="s">
        <v>1699</v>
      </c>
      <c r="M612" s="21" t="s">
        <v>4949</v>
      </c>
      <c r="N612" s="21" t="s">
        <v>4950</v>
      </c>
      <c r="O612" s="48" t="s">
        <v>4951</v>
      </c>
      <c r="P612" s="21" t="s">
        <v>75</v>
      </c>
      <c r="Q612" s="24" t="s">
        <v>65</v>
      </c>
      <c r="R612" s="21" t="s">
        <v>4952</v>
      </c>
      <c r="S612" s="21" t="s">
        <v>51</v>
      </c>
      <c r="T612" s="21" t="s">
        <v>657</v>
      </c>
      <c r="U612" s="21" t="s">
        <v>4953</v>
      </c>
      <c r="V612" s="21" t="s">
        <v>4954</v>
      </c>
      <c r="W612" s="45">
        <v>45952.0</v>
      </c>
      <c r="X612" s="49">
        <v>0.3423611111111111</v>
      </c>
      <c r="Y612" s="45">
        <v>45952.0</v>
      </c>
      <c r="Z612" s="49">
        <v>0.4513888888888889</v>
      </c>
      <c r="AA612" s="49">
        <v>0.4534722222222222</v>
      </c>
      <c r="AB612" s="24" t="s">
        <v>4955</v>
      </c>
      <c r="AC612" s="24" t="s">
        <v>4956</v>
      </c>
      <c r="AD612" s="25">
        <v>0.6180555555555556</v>
      </c>
      <c r="AE612" s="45">
        <v>45952.0</v>
      </c>
      <c r="AF612" s="21" t="s">
        <v>2839</v>
      </c>
      <c r="AG612" s="21" t="s">
        <v>293</v>
      </c>
      <c r="AH612" s="21" t="s">
        <v>4957</v>
      </c>
      <c r="AI612" s="62" t="str">
        <f>IFERROR(__xludf.DUMMYFUNCTION("IF(OR(W612="""",X612="""",AE612="""",AD612=""""),"""",
   TEXT(
     (
       (AE612+AD612 + IF(AE612+AD612 &lt; W612+X612,1,0)) - (W612+X612)
     )
     - IF(AND(AB612&lt;&gt;"""",AC612&lt;&gt;""""), 
          SUM(ARRAYFORMULA(SPLIT(AC612,"","") - SPLIT(AB612,"",""))"&amp;"), 
          0
       ),
     ""[hh]:mm""
   )
)
"),"05:00")</f>
        <v>05:00</v>
      </c>
      <c r="AJ612" s="27">
        <f t="shared" si="9"/>
        <v>0</v>
      </c>
      <c r="AK612" s="63" t="str">
        <f t="shared" si="10"/>
        <v>Pass</v>
      </c>
    </row>
    <row r="613">
      <c r="A613" s="45">
        <v>45952.0</v>
      </c>
      <c r="B613" s="49">
        <v>0.31875</v>
      </c>
      <c r="C613" s="45">
        <v>45952.0</v>
      </c>
      <c r="D613" s="49">
        <v>0.37222222222222223</v>
      </c>
      <c r="E613" s="21" t="s">
        <v>4958</v>
      </c>
      <c r="F613" s="21" t="s">
        <v>2492</v>
      </c>
      <c r="G613" s="21" t="s">
        <v>4959</v>
      </c>
      <c r="H613" s="21" t="s">
        <v>566</v>
      </c>
      <c r="I613" s="21" t="s">
        <v>95</v>
      </c>
      <c r="J613" s="21" t="s">
        <v>95</v>
      </c>
      <c r="K613" s="21" t="s">
        <v>143</v>
      </c>
      <c r="L613" s="21" t="s">
        <v>3175</v>
      </c>
      <c r="M613" s="21" t="s">
        <v>4960</v>
      </c>
      <c r="N613" s="21" t="s">
        <v>4961</v>
      </c>
      <c r="O613" s="48" t="s">
        <v>4962</v>
      </c>
      <c r="P613" s="21" t="s">
        <v>48</v>
      </c>
      <c r="Q613" s="24" t="s">
        <v>49</v>
      </c>
      <c r="R613" s="21" t="s">
        <v>4963</v>
      </c>
      <c r="S613" s="21" t="s">
        <v>51</v>
      </c>
      <c r="T613" s="21" t="s">
        <v>52</v>
      </c>
      <c r="U613" s="21" t="s">
        <v>52</v>
      </c>
      <c r="V613" s="21" t="s">
        <v>52</v>
      </c>
      <c r="W613" s="45">
        <v>45952.0</v>
      </c>
      <c r="X613" s="49">
        <v>0.37222222222222223</v>
      </c>
      <c r="Y613" s="45">
        <v>45952.0</v>
      </c>
      <c r="Z613" s="49">
        <v>0.4444444444444444</v>
      </c>
      <c r="AA613" s="49">
        <v>0.4513888888888889</v>
      </c>
      <c r="AB613" s="25">
        <v>0.4791666666666667</v>
      </c>
      <c r="AC613" s="25">
        <v>0.5</v>
      </c>
      <c r="AD613" s="25">
        <v>0.5</v>
      </c>
      <c r="AE613" s="45">
        <v>45952.0</v>
      </c>
      <c r="AF613" s="21" t="s">
        <v>2744</v>
      </c>
      <c r="AG613" s="21" t="s">
        <v>78</v>
      </c>
      <c r="AH613" s="21" t="s">
        <v>4964</v>
      </c>
      <c r="AI613" s="62" t="str">
        <f>IFERROR(__xludf.DUMMYFUNCTION("IF(OR(W613="""",X613="""",AE613="""",AD613=""""),"""",
   TEXT(
     (
       (AE613+AD613 + IF(AE613+AD613 &lt; W613+X613,1,0)) - (W613+X613)
     )
     - IF(AND(AB613&lt;&gt;"""",AC613&lt;&gt;""""), 
          SUM(ARRAYFORMULA(SPLIT(AC613,"","") - SPLIT(AB613,"",""))"&amp;"), 
          0
       ),
     ""[hh]:mm""
   )
)
"),"02:34")</f>
        <v>02:34</v>
      </c>
      <c r="AJ613" s="27">
        <f t="shared" si="9"/>
        <v>0</v>
      </c>
      <c r="AK613" s="63" t="str">
        <f t="shared" si="10"/>
        <v>Pass</v>
      </c>
    </row>
    <row r="614">
      <c r="A614" s="45">
        <v>45952.0</v>
      </c>
      <c r="B614" s="49">
        <v>0.49166666666666664</v>
      </c>
      <c r="C614" s="45">
        <v>45952.0</v>
      </c>
      <c r="D614" s="49">
        <v>0.5041666666666667</v>
      </c>
      <c r="E614" s="21" t="s">
        <v>4965</v>
      </c>
      <c r="F614" s="21" t="s">
        <v>4966</v>
      </c>
      <c r="G614" s="21" t="s">
        <v>4967</v>
      </c>
      <c r="H614" s="21" t="s">
        <v>4968</v>
      </c>
      <c r="I614" s="21" t="s">
        <v>234</v>
      </c>
      <c r="J614" s="21" t="s">
        <v>3806</v>
      </c>
      <c r="K614" s="21" t="s">
        <v>43</v>
      </c>
      <c r="L614" s="21" t="s">
        <v>2471</v>
      </c>
      <c r="M614" s="21" t="s">
        <v>4969</v>
      </c>
      <c r="N614" s="21" t="s">
        <v>4970</v>
      </c>
      <c r="O614" s="48" t="s">
        <v>4971</v>
      </c>
      <c r="P614" s="21" t="s">
        <v>48</v>
      </c>
      <c r="Q614" s="24" t="s">
        <v>65</v>
      </c>
      <c r="R614" s="21" t="s">
        <v>2926</v>
      </c>
      <c r="S614" s="21" t="s">
        <v>51</v>
      </c>
      <c r="T614" s="21" t="s">
        <v>324</v>
      </c>
      <c r="U614" s="21" t="s">
        <v>4972</v>
      </c>
      <c r="V614" s="21" t="s">
        <v>4969</v>
      </c>
      <c r="W614" s="45">
        <v>45952.0</v>
      </c>
      <c r="X614" s="49">
        <v>0.5041666666666667</v>
      </c>
      <c r="Y614" s="45">
        <v>45952.0</v>
      </c>
      <c r="Z614" s="49">
        <v>0.7708333333333334</v>
      </c>
      <c r="AA614" s="49">
        <v>0.7743055555555556</v>
      </c>
      <c r="AB614" s="25">
        <v>0.7743055555555556</v>
      </c>
      <c r="AC614" s="25">
        <v>0.8284722222222223</v>
      </c>
      <c r="AD614" s="25">
        <v>0.96875</v>
      </c>
      <c r="AE614" s="45">
        <v>45952.0</v>
      </c>
      <c r="AF614" s="21" t="s">
        <v>2744</v>
      </c>
      <c r="AG614" s="21" t="s">
        <v>3191</v>
      </c>
      <c r="AH614" s="21" t="s">
        <v>4973</v>
      </c>
      <c r="AI614" s="62" t="str">
        <f>IFERROR(__xludf.DUMMYFUNCTION("IF(OR(W614="""",X614="""",AE614="""",AD614=""""),"""",
   TEXT(
     (
       (AE614+AD614 + IF(AE614+AD614 &lt; W614+X614,1,0)) - (W614+X614)
     )
     - IF(AND(AB614&lt;&gt;"""",AC614&lt;&gt;""""), 
          SUM(ARRAYFORMULA(SPLIT(AC614,"","") - SPLIT(AB614,"",""))"&amp;"), 
          0
       ),
     ""[hh]:mm""
   )
)
"),"09:51")</f>
        <v>09:51</v>
      </c>
      <c r="AJ614" s="27">
        <f t="shared" si="9"/>
        <v>0</v>
      </c>
      <c r="AK614" s="63" t="str">
        <f t="shared" si="10"/>
        <v>Pass</v>
      </c>
    </row>
    <row r="615">
      <c r="A615" s="45">
        <v>45952.0</v>
      </c>
      <c r="B615" s="49">
        <v>0.5118055555555555</v>
      </c>
      <c r="C615" s="45">
        <v>45952.0</v>
      </c>
      <c r="D615" s="49">
        <v>0.5263888888888889</v>
      </c>
      <c r="E615" s="21" t="s">
        <v>4974</v>
      </c>
      <c r="F615" s="21" t="s">
        <v>4975</v>
      </c>
      <c r="G615" s="21" t="s">
        <v>4976</v>
      </c>
      <c r="H615" s="21" t="s">
        <v>1610</v>
      </c>
      <c r="I615" s="21" t="s">
        <v>1612</v>
      </c>
      <c r="J615" s="21" t="s">
        <v>1612</v>
      </c>
      <c r="K615" s="21" t="s">
        <v>143</v>
      </c>
      <c r="L615" s="21" t="s">
        <v>1613</v>
      </c>
      <c r="M615" s="21" t="s">
        <v>4977</v>
      </c>
      <c r="N615" s="21" t="s">
        <v>4978</v>
      </c>
      <c r="O615" s="48" t="s">
        <v>4979</v>
      </c>
      <c r="P615" s="21" t="s">
        <v>187</v>
      </c>
      <c r="Q615" s="24" t="s">
        <v>65</v>
      </c>
      <c r="R615" s="21" t="s">
        <v>4980</v>
      </c>
      <c r="S615" s="21" t="s">
        <v>51</v>
      </c>
      <c r="T615" s="21" t="s">
        <v>52</v>
      </c>
      <c r="U615" s="21" t="s">
        <v>52</v>
      </c>
      <c r="V615" s="21" t="s">
        <v>52</v>
      </c>
      <c r="W615" s="45">
        <v>45952.0</v>
      </c>
      <c r="X615" s="49">
        <v>0.5263888888888889</v>
      </c>
      <c r="Y615" s="45">
        <v>45952.0</v>
      </c>
      <c r="Z615" s="49">
        <v>0.59375</v>
      </c>
      <c r="AA615" s="49">
        <v>0.6027777777777777</v>
      </c>
      <c r="AB615" s="29"/>
      <c r="AC615" s="29"/>
      <c r="AD615" s="25">
        <v>0.7083333333333334</v>
      </c>
      <c r="AE615" s="45">
        <v>45952.0</v>
      </c>
      <c r="AF615" s="21" t="s">
        <v>2744</v>
      </c>
      <c r="AG615" s="21" t="s">
        <v>4981</v>
      </c>
      <c r="AH615" s="21" t="s">
        <v>4982</v>
      </c>
      <c r="AI615" s="62" t="str">
        <f>IFERROR(__xludf.DUMMYFUNCTION("IF(OR(W615="""",X615="""",AE615="""",AD615=""""),"""",
   TEXT(
     (
       (AE615+AD615 + IF(AE615+AD615 &lt; W615+X615,1,0)) - (W615+X615)
     )
     - IF(AND(AB615&lt;&gt;"""",AC615&lt;&gt;""""), 
          SUM(ARRAYFORMULA(SPLIT(AC615,"","") - SPLIT(AB615,"",""))"&amp;"), 
          0
       ),
     ""[hh]:mm""
   )
)
"),"04:22")</f>
        <v>04:22</v>
      </c>
      <c r="AJ615" s="27">
        <f t="shared" si="9"/>
        <v>0</v>
      </c>
      <c r="AK615" s="63" t="str">
        <f t="shared" si="10"/>
        <v>Pass</v>
      </c>
    </row>
    <row r="616">
      <c r="A616" s="45">
        <v>45952.0</v>
      </c>
      <c r="B616" s="49">
        <v>0.5430555555555555</v>
      </c>
      <c r="C616" s="45">
        <v>45952.0</v>
      </c>
      <c r="D616" s="49">
        <v>0.5513888888888889</v>
      </c>
      <c r="E616" s="21" t="s">
        <v>4983</v>
      </c>
      <c r="F616" s="21" t="s">
        <v>4984</v>
      </c>
      <c r="G616" s="21" t="s">
        <v>4985</v>
      </c>
      <c r="H616" s="21" t="s">
        <v>1744</v>
      </c>
      <c r="I616" s="21" t="s">
        <v>1745</v>
      </c>
      <c r="J616" s="21" t="s">
        <v>1745</v>
      </c>
      <c r="K616" s="21" t="s">
        <v>635</v>
      </c>
      <c r="L616" s="21" t="s">
        <v>3145</v>
      </c>
      <c r="M616" s="21">
        <v>3.55758533360586E14</v>
      </c>
      <c r="N616" s="21" t="s">
        <v>4986</v>
      </c>
      <c r="O616" s="48" t="s">
        <v>4987</v>
      </c>
      <c r="P616" s="21" t="s">
        <v>75</v>
      </c>
      <c r="Q616" s="24" t="s">
        <v>198</v>
      </c>
      <c r="R616" s="21" t="s">
        <v>4988</v>
      </c>
      <c r="S616" s="21" t="s">
        <v>51</v>
      </c>
      <c r="T616" s="21" t="s">
        <v>52</v>
      </c>
      <c r="U616" s="21" t="s">
        <v>52</v>
      </c>
      <c r="V616" s="21" t="s">
        <v>52</v>
      </c>
      <c r="W616" s="45">
        <v>45953.0</v>
      </c>
      <c r="X616" s="49">
        <v>0.49583333333333335</v>
      </c>
      <c r="Y616" s="45">
        <v>45953.0</v>
      </c>
      <c r="Z616" s="49">
        <v>0.5416666666666666</v>
      </c>
      <c r="AA616" s="49">
        <v>0.5625</v>
      </c>
      <c r="AB616" s="29"/>
      <c r="AC616" s="29"/>
      <c r="AD616" s="25">
        <v>0.5833333333333334</v>
      </c>
      <c r="AE616" s="45">
        <v>45953.0</v>
      </c>
      <c r="AF616" s="21" t="s">
        <v>2730</v>
      </c>
      <c r="AG616" s="21" t="s">
        <v>78</v>
      </c>
      <c r="AH616" s="21" t="s">
        <v>4989</v>
      </c>
      <c r="AI616" s="62" t="str">
        <f>IFERROR(__xludf.DUMMYFUNCTION("IF(OR(W616="""",X616="""",AE616="""",AD616=""""),"""",
   TEXT(
     (
       (AE616+AD616 + IF(AE616+AD616 &lt; W616+X616,1,0)) - (W616+X616)
     )
     - IF(AND(AB616&lt;&gt;"""",AC616&lt;&gt;""""), 
          SUM(ARRAYFORMULA(SPLIT(AC616,"","") - SPLIT(AB616,"",""))"&amp;"), 
          0
       ),
     ""[hh]:mm""
   )
)
"),"02:06")</f>
        <v>02:06</v>
      </c>
      <c r="AJ616" s="27">
        <f t="shared" si="9"/>
        <v>0</v>
      </c>
      <c r="AK616" s="63" t="str">
        <f t="shared" si="10"/>
        <v>Pass</v>
      </c>
    </row>
    <row r="617">
      <c r="A617" s="45">
        <v>45952.0</v>
      </c>
      <c r="B617" s="49">
        <v>0.6013888888888889</v>
      </c>
      <c r="C617" s="45">
        <v>45952.0</v>
      </c>
      <c r="D617" s="49">
        <v>0.60625</v>
      </c>
      <c r="E617" s="21" t="s">
        <v>4990</v>
      </c>
      <c r="F617" s="21" t="s">
        <v>3431</v>
      </c>
      <c r="G617" s="21" t="s">
        <v>4991</v>
      </c>
      <c r="H617" s="21" t="s">
        <v>746</v>
      </c>
      <c r="I617" s="21" t="s">
        <v>1632</v>
      </c>
      <c r="J617" s="21" t="s">
        <v>3806</v>
      </c>
      <c r="K617" s="21" t="s">
        <v>43</v>
      </c>
      <c r="L617" s="21" t="s">
        <v>44</v>
      </c>
      <c r="M617" s="21" t="s">
        <v>4992</v>
      </c>
      <c r="N617" s="21" t="s">
        <v>4993</v>
      </c>
      <c r="O617" s="48" t="s">
        <v>4994</v>
      </c>
      <c r="P617" s="21" t="s">
        <v>75</v>
      </c>
      <c r="Q617" s="24" t="s">
        <v>65</v>
      </c>
      <c r="R617" s="21" t="s">
        <v>4995</v>
      </c>
      <c r="S617" s="21" t="s">
        <v>51</v>
      </c>
      <c r="T617" s="21" t="s">
        <v>4996</v>
      </c>
      <c r="U617" s="21">
        <v>2.02506160147E11</v>
      </c>
      <c r="V617" s="21" t="s">
        <v>52</v>
      </c>
      <c r="W617" s="45">
        <v>45953.0</v>
      </c>
      <c r="X617" s="49">
        <v>0.6770833333333334</v>
      </c>
      <c r="Y617" s="45">
        <v>45953.0</v>
      </c>
      <c r="Z617" s="49">
        <v>0.8180555555555555</v>
      </c>
      <c r="AA617" s="49">
        <v>0.8194444444444444</v>
      </c>
      <c r="AB617" s="29"/>
      <c r="AC617" s="29"/>
      <c r="AD617" s="25">
        <v>0.8701388888888889</v>
      </c>
      <c r="AE617" s="45">
        <v>45953.0</v>
      </c>
      <c r="AF617" s="21" t="s">
        <v>2744</v>
      </c>
      <c r="AG617" s="21" t="s">
        <v>4997</v>
      </c>
      <c r="AH617" s="21" t="s">
        <v>4998</v>
      </c>
      <c r="AI617" s="62" t="str">
        <f>IFERROR(__xludf.DUMMYFUNCTION("IF(OR(W617="""",X617="""",AE617="""",AD617=""""),"""",
   TEXT(
     (
       (AE617+AD617 + IF(AE617+AD617 &lt; W617+X617,1,0)) - (W617+X617)
     )
     - IF(AND(AB617&lt;&gt;"""",AC617&lt;&gt;""""), 
          SUM(ARRAYFORMULA(SPLIT(AC617,"","") - SPLIT(AB617,"",""))"&amp;"), 
          0
       ),
     ""[hh]:mm""
   )
)
"),"04:38")</f>
        <v>04:38</v>
      </c>
      <c r="AJ617" s="27">
        <f t="shared" si="9"/>
        <v>0</v>
      </c>
      <c r="AK617" s="63" t="str">
        <f t="shared" si="10"/>
        <v>Pass</v>
      </c>
    </row>
    <row r="618">
      <c r="A618" s="45">
        <v>45952.0</v>
      </c>
      <c r="B618" s="49">
        <v>0.675</v>
      </c>
      <c r="C618" s="45">
        <v>45952.0</v>
      </c>
      <c r="D618" s="49">
        <v>0.6770833333333334</v>
      </c>
      <c r="E618" s="21" t="s">
        <v>4999</v>
      </c>
      <c r="F618" s="21" t="s">
        <v>2193</v>
      </c>
      <c r="G618" s="21" t="s">
        <v>2194</v>
      </c>
      <c r="H618" s="21" t="s">
        <v>156</v>
      </c>
      <c r="I618" s="21" t="s">
        <v>131</v>
      </c>
      <c r="J618" s="21" t="s">
        <v>2253</v>
      </c>
      <c r="K618" s="21" t="s">
        <v>43</v>
      </c>
      <c r="L618" s="21" t="s">
        <v>5000</v>
      </c>
      <c r="M618" s="21" t="s">
        <v>5001</v>
      </c>
      <c r="N618" s="21" t="s">
        <v>3565</v>
      </c>
      <c r="O618" s="48" t="s">
        <v>5002</v>
      </c>
      <c r="P618" s="21" t="s">
        <v>75</v>
      </c>
      <c r="Q618" s="24" t="s">
        <v>65</v>
      </c>
      <c r="R618" s="21" t="s">
        <v>5003</v>
      </c>
      <c r="S618" s="21" t="s">
        <v>51</v>
      </c>
      <c r="T618" s="21" t="s">
        <v>657</v>
      </c>
      <c r="U618" s="21" t="s">
        <v>5004</v>
      </c>
      <c r="V618" s="21" t="s">
        <v>5001</v>
      </c>
      <c r="W618" s="45">
        <v>45952.0</v>
      </c>
      <c r="X618" s="49">
        <v>0.6770833333333334</v>
      </c>
      <c r="Y618" s="45">
        <v>45952.0</v>
      </c>
      <c r="Z618" s="49">
        <v>0.7972222222222223</v>
      </c>
      <c r="AA618" s="49">
        <v>0.7979166666666667</v>
      </c>
      <c r="AB618" s="29"/>
      <c r="AC618" s="29"/>
      <c r="AD618" s="25">
        <v>0.8104166666666667</v>
      </c>
      <c r="AE618" s="45">
        <v>45952.0</v>
      </c>
      <c r="AF618" s="21" t="s">
        <v>3218</v>
      </c>
      <c r="AG618" s="21" t="s">
        <v>162</v>
      </c>
      <c r="AH618" s="21" t="s">
        <v>1831</v>
      </c>
      <c r="AI618" s="62" t="str">
        <f>IFERROR(__xludf.DUMMYFUNCTION("IF(OR(W618="""",X618="""",AE618="""",AD618=""""),"""",
   TEXT(
     (
       (AE618+AD618 + IF(AE618+AD618 &lt; W618+X618,1,0)) - (W618+X618)
     )
     - IF(AND(AB618&lt;&gt;"""",AC618&lt;&gt;""""), 
          SUM(ARRAYFORMULA(SPLIT(AC618,"","") - SPLIT(AB618,"",""))"&amp;"), 
          0
       ),
     ""[hh]:mm""
   )
)
"),"03:12")</f>
        <v>03:12</v>
      </c>
      <c r="AJ618" s="27">
        <f t="shared" si="9"/>
        <v>0</v>
      </c>
      <c r="AK618" s="63" t="str">
        <f t="shared" si="10"/>
        <v>Pass</v>
      </c>
    </row>
    <row r="619">
      <c r="A619" s="45">
        <v>45950.0</v>
      </c>
      <c r="B619" s="49">
        <v>0.8263888888888888</v>
      </c>
      <c r="C619" s="45">
        <v>45950.0</v>
      </c>
      <c r="D619" s="49">
        <v>0.9</v>
      </c>
      <c r="E619" s="21" t="s">
        <v>5005</v>
      </c>
      <c r="F619" s="21" t="s">
        <v>2055</v>
      </c>
      <c r="G619" s="21" t="s">
        <v>2056</v>
      </c>
      <c r="H619" s="21" t="s">
        <v>318</v>
      </c>
      <c r="I619" s="21" t="s">
        <v>644</v>
      </c>
      <c r="J619" s="21" t="s">
        <v>644</v>
      </c>
      <c r="K619" s="21" t="s">
        <v>143</v>
      </c>
      <c r="L619" s="21" t="s">
        <v>5006</v>
      </c>
      <c r="M619" s="21" t="s">
        <v>5007</v>
      </c>
      <c r="N619" s="21" t="s">
        <v>5008</v>
      </c>
      <c r="O619" s="48" t="s">
        <v>5009</v>
      </c>
      <c r="P619" s="21" t="s">
        <v>187</v>
      </c>
      <c r="Q619" s="24" t="s">
        <v>65</v>
      </c>
      <c r="R619" s="21" t="s">
        <v>5010</v>
      </c>
      <c r="S619" s="21" t="s">
        <v>51</v>
      </c>
      <c r="T619" s="21" t="s">
        <v>52</v>
      </c>
      <c r="U619" s="21" t="s">
        <v>52</v>
      </c>
      <c r="V619" s="21" t="s">
        <v>52</v>
      </c>
      <c r="W619" s="45">
        <v>45952.0</v>
      </c>
      <c r="X619" s="49">
        <v>0.9</v>
      </c>
      <c r="Y619" s="45">
        <v>45952.0</v>
      </c>
      <c r="Z619" s="49">
        <v>0.8881944444444444</v>
      </c>
      <c r="AA619" s="49">
        <v>0.8888888888888888</v>
      </c>
      <c r="AB619" s="29"/>
      <c r="AC619" s="29"/>
      <c r="AD619" s="25">
        <v>0.9583333333333334</v>
      </c>
      <c r="AE619" s="45">
        <v>45952.0</v>
      </c>
      <c r="AF619" s="21" t="s">
        <v>2971</v>
      </c>
      <c r="AG619" s="21" t="s">
        <v>1475</v>
      </c>
      <c r="AH619" s="21" t="s">
        <v>5011</v>
      </c>
      <c r="AI619" s="62" t="str">
        <f>IFERROR(__xludf.DUMMYFUNCTION("IF(OR(W619="""",X619="""",AE619="""",AD619=""""),"""",
   TEXT(
     (
       (AE619+AD619 + IF(AE619+AD619 &lt; W619+X619,1,0)) - (W619+X619)
     )
     - IF(AND(AB619&lt;&gt;"""",AC619&lt;&gt;""""), 
          SUM(ARRAYFORMULA(SPLIT(AC619,"","") - SPLIT(AB619,"",""))"&amp;"), 
          0
       ),
     ""[hh]:mm""
   )
)
"),"01:24")</f>
        <v>01:24</v>
      </c>
      <c r="AJ619" s="27">
        <f t="shared" si="9"/>
        <v>0</v>
      </c>
      <c r="AK619" s="63" t="str">
        <f t="shared" si="10"/>
        <v>Pass</v>
      </c>
    </row>
    <row r="620">
      <c r="A620" s="45">
        <v>45952.0</v>
      </c>
      <c r="B620" s="49">
        <v>0.8423611111111111</v>
      </c>
      <c r="C620" s="45">
        <v>45952.0</v>
      </c>
      <c r="D620" s="49">
        <v>0.8458333333333333</v>
      </c>
      <c r="E620" s="21" t="s">
        <v>5012</v>
      </c>
      <c r="F620" s="21" t="s">
        <v>180</v>
      </c>
      <c r="G620" s="21" t="s">
        <v>181</v>
      </c>
      <c r="H620" s="21" t="s">
        <v>1610</v>
      </c>
      <c r="I620" s="21" t="s">
        <v>1612</v>
      </c>
      <c r="J620" s="21" t="s">
        <v>1612</v>
      </c>
      <c r="K620" s="21" t="s">
        <v>143</v>
      </c>
      <c r="L620" s="21" t="s">
        <v>5013</v>
      </c>
      <c r="M620" s="21" t="s">
        <v>5014</v>
      </c>
      <c r="N620" s="21" t="s">
        <v>5015</v>
      </c>
      <c r="O620" s="48" t="s">
        <v>5016</v>
      </c>
      <c r="P620" s="21" t="s">
        <v>187</v>
      </c>
      <c r="Q620" s="24" t="s">
        <v>65</v>
      </c>
      <c r="R620" s="21" t="s">
        <v>5017</v>
      </c>
      <c r="S620" s="21" t="s">
        <v>51</v>
      </c>
      <c r="T620" s="21" t="s">
        <v>52</v>
      </c>
      <c r="U620" s="21" t="s">
        <v>52</v>
      </c>
      <c r="V620" s="21" t="s">
        <v>52</v>
      </c>
      <c r="W620" s="45">
        <v>45952.0</v>
      </c>
      <c r="X620" s="49">
        <v>0.8458333333333333</v>
      </c>
      <c r="Y620" s="45">
        <v>45952.0</v>
      </c>
      <c r="Z620" s="49">
        <v>0.9048611111111111</v>
      </c>
      <c r="AA620" s="49">
        <v>0.90625</v>
      </c>
      <c r="AB620" s="29"/>
      <c r="AC620" s="29"/>
      <c r="AD620" s="25">
        <v>1.0</v>
      </c>
      <c r="AE620" s="45">
        <v>45952.0</v>
      </c>
      <c r="AF620" s="21" t="s">
        <v>2839</v>
      </c>
      <c r="AG620" s="21" t="s">
        <v>151</v>
      </c>
      <c r="AH620" s="21" t="s">
        <v>189</v>
      </c>
      <c r="AI620" s="62" t="str">
        <f>IFERROR(__xludf.DUMMYFUNCTION("IF(OR(W620="""",X620="""",AE620="""",AD620=""""),"""",
   TEXT(
     (
       (AE620+AD620 + IF(AE620+AD620 &lt; W620+X620,1,0)) - (W620+X620)
     )
     - IF(AND(AB620&lt;&gt;"""",AC620&lt;&gt;""""), 
          SUM(ARRAYFORMULA(SPLIT(AC620,"","") - SPLIT(AB620,"",""))"&amp;"), 
          0
       ),
     ""[hh]:mm""
   )
)
"),"03:42")</f>
        <v>03:42</v>
      </c>
      <c r="AJ620" s="27">
        <f t="shared" si="9"/>
        <v>0</v>
      </c>
      <c r="AK620" s="63" t="str">
        <f t="shared" si="10"/>
        <v>Pass</v>
      </c>
    </row>
    <row r="621">
      <c r="A621" s="45">
        <v>45952.0</v>
      </c>
      <c r="B621" s="49">
        <v>0.8548611111111111</v>
      </c>
      <c r="C621" s="45">
        <v>45952.0</v>
      </c>
      <c r="D621" s="49">
        <v>0.8611111111111112</v>
      </c>
      <c r="E621" s="21" t="s">
        <v>5018</v>
      </c>
      <c r="F621" s="21" t="s">
        <v>5019</v>
      </c>
      <c r="G621" s="21" t="s">
        <v>5020</v>
      </c>
      <c r="H621" s="21" t="s">
        <v>566</v>
      </c>
      <c r="I621" s="21" t="s">
        <v>95</v>
      </c>
      <c r="J621" s="21" t="s">
        <v>95</v>
      </c>
      <c r="K621" s="21" t="s">
        <v>143</v>
      </c>
      <c r="L621" s="21" t="s">
        <v>5021</v>
      </c>
      <c r="M621" s="21" t="s">
        <v>5022</v>
      </c>
      <c r="N621" s="21" t="s">
        <v>4961</v>
      </c>
      <c r="O621" s="48" t="s">
        <v>5023</v>
      </c>
      <c r="P621" s="21" t="s">
        <v>48</v>
      </c>
      <c r="Q621" s="24" t="s">
        <v>49</v>
      </c>
      <c r="R621" s="21" t="s">
        <v>5024</v>
      </c>
      <c r="S621" s="21" t="s">
        <v>51</v>
      </c>
      <c r="T621" s="21" t="s">
        <v>52</v>
      </c>
      <c r="U621" s="21" t="s">
        <v>52</v>
      </c>
      <c r="V621" s="21" t="s">
        <v>52</v>
      </c>
      <c r="W621" s="45">
        <v>45952.0</v>
      </c>
      <c r="X621" s="49">
        <v>0.8611111111111112</v>
      </c>
      <c r="Y621" s="45">
        <v>45952.0</v>
      </c>
      <c r="Z621" s="49">
        <v>0.8944444444444445</v>
      </c>
      <c r="AA621" s="49">
        <v>0.8958333333333334</v>
      </c>
      <c r="AB621" s="29"/>
      <c r="AC621" s="29"/>
      <c r="AD621" s="25">
        <v>0.9583333333333334</v>
      </c>
      <c r="AE621" s="45">
        <v>45952.0</v>
      </c>
      <c r="AF621" s="21" t="s">
        <v>2839</v>
      </c>
      <c r="AG621" s="21" t="s">
        <v>2086</v>
      </c>
      <c r="AH621" s="21" t="s">
        <v>5025</v>
      </c>
      <c r="AI621" s="62" t="str">
        <f>IFERROR(__xludf.DUMMYFUNCTION("IF(OR(W621="""",X621="""",AE621="""",AD621=""""),"""",
   TEXT(
     (
       (AE621+AD621 + IF(AE621+AD621 &lt; W621+X621,1,0)) - (W621+X621)
     )
     - IF(AND(AB621&lt;&gt;"""",AC621&lt;&gt;""""), 
          SUM(ARRAYFORMULA(SPLIT(AC621,"","") - SPLIT(AB621,"",""))"&amp;"), 
          0
       ),
     ""[hh]:mm""
   )
)
"),"02:20")</f>
        <v>02:20</v>
      </c>
      <c r="AJ621" s="27">
        <f t="shared" si="9"/>
        <v>0</v>
      </c>
      <c r="AK621" s="63" t="str">
        <f t="shared" si="10"/>
        <v>Pass</v>
      </c>
    </row>
    <row r="622">
      <c r="A622" s="45">
        <v>45953.0</v>
      </c>
      <c r="B622" s="49">
        <v>1.020138888888889</v>
      </c>
      <c r="C622" s="45">
        <v>45953.0</v>
      </c>
      <c r="D622" s="80">
        <v>0.29305555555555557</v>
      </c>
      <c r="E622" s="21" t="s">
        <v>5026</v>
      </c>
      <c r="F622" s="21" t="s">
        <v>650</v>
      </c>
      <c r="G622" s="21" t="s">
        <v>651</v>
      </c>
      <c r="H622" s="21" t="s">
        <v>566</v>
      </c>
      <c r="I622" s="21" t="s">
        <v>1944</v>
      </c>
      <c r="J622" s="21" t="s">
        <v>2516</v>
      </c>
      <c r="K622" s="21" t="s">
        <v>5027</v>
      </c>
      <c r="L622" s="21" t="s">
        <v>5028</v>
      </c>
      <c r="M622" s="21" t="s">
        <v>5029</v>
      </c>
      <c r="N622" s="21" t="s">
        <v>5030</v>
      </c>
      <c r="O622" s="48" t="s">
        <v>5031</v>
      </c>
      <c r="P622" s="21" t="s">
        <v>48</v>
      </c>
      <c r="Q622" s="24" t="s">
        <v>65</v>
      </c>
      <c r="R622" s="21" t="s">
        <v>5032</v>
      </c>
      <c r="S622" s="21" t="s">
        <v>51</v>
      </c>
      <c r="T622" s="21" t="s">
        <v>52</v>
      </c>
      <c r="U622" s="21" t="s">
        <v>52</v>
      </c>
      <c r="V622" s="21" t="s">
        <v>52</v>
      </c>
      <c r="W622" s="45">
        <v>45953.0</v>
      </c>
      <c r="X622" s="49">
        <v>0.29305555555555557</v>
      </c>
      <c r="Y622" s="45">
        <v>45953.0</v>
      </c>
      <c r="Z622" s="49">
        <v>0.4583333333333333</v>
      </c>
      <c r="AA622" s="49">
        <v>0.4618055555555556</v>
      </c>
      <c r="AB622" s="25">
        <v>0.5</v>
      </c>
      <c r="AC622" s="25">
        <v>0.5833333333333334</v>
      </c>
      <c r="AD622" s="25">
        <v>0.625</v>
      </c>
      <c r="AE622" s="45">
        <v>45953.0</v>
      </c>
      <c r="AF622" s="21" t="s">
        <v>2931</v>
      </c>
      <c r="AG622" s="21" t="s">
        <v>54</v>
      </c>
      <c r="AH622" s="21" t="s">
        <v>5033</v>
      </c>
      <c r="AI622" s="62" t="str">
        <f>IFERROR(__xludf.DUMMYFUNCTION("IF(OR(W622="""",X622="""",AE622="""",AD622=""""),"""",
   TEXT(
     (
       (AE622+AD622 + IF(AE622+AD622 &lt; W622+X622,1,0)) - (W622+X622)
     )
     - IF(AND(AB622&lt;&gt;"""",AC622&lt;&gt;""""), 
          SUM(ARRAYFORMULA(SPLIT(AC622,"","") - SPLIT(AB622,"",""))"&amp;"), 
          0
       ),
     ""[hh]:mm""
   )
)
"),"05:58")</f>
        <v>05:58</v>
      </c>
      <c r="AJ622" s="27">
        <f t="shared" si="9"/>
        <v>0</v>
      </c>
      <c r="AK622" s="63" t="str">
        <f t="shared" si="10"/>
        <v>Pass</v>
      </c>
    </row>
    <row r="623">
      <c r="A623" s="45">
        <v>45953.0</v>
      </c>
      <c r="B623" s="49">
        <v>0.2569444444444444</v>
      </c>
      <c r="C623" s="45">
        <v>45953.0</v>
      </c>
      <c r="D623" s="49">
        <v>0.2986111111111111</v>
      </c>
      <c r="E623" s="21" t="s">
        <v>5034</v>
      </c>
      <c r="F623" s="21" t="s">
        <v>1344</v>
      </c>
      <c r="G623" s="21" t="s">
        <v>1345</v>
      </c>
      <c r="H623" s="21" t="s">
        <v>566</v>
      </c>
      <c r="I623" s="21" t="s">
        <v>95</v>
      </c>
      <c r="J623" s="21" t="s">
        <v>95</v>
      </c>
      <c r="K623" s="21" t="s">
        <v>143</v>
      </c>
      <c r="L623" s="21" t="s">
        <v>1203</v>
      </c>
      <c r="M623" s="21" t="s">
        <v>5035</v>
      </c>
      <c r="N623" s="21" t="s">
        <v>5036</v>
      </c>
      <c r="O623" s="48" t="s">
        <v>5037</v>
      </c>
      <c r="P623" s="21" t="s">
        <v>48</v>
      </c>
      <c r="Q623" s="24" t="s">
        <v>49</v>
      </c>
      <c r="R623" s="21" t="s">
        <v>5038</v>
      </c>
      <c r="S623" s="21" t="s">
        <v>51</v>
      </c>
      <c r="T623" s="21" t="s">
        <v>52</v>
      </c>
      <c r="U623" s="21" t="s">
        <v>52</v>
      </c>
      <c r="V623" s="21" t="s">
        <v>52</v>
      </c>
      <c r="W623" s="45">
        <v>45953.0</v>
      </c>
      <c r="X623" s="49">
        <v>0.2986111111111111</v>
      </c>
      <c r="Y623" s="45">
        <v>45953.0</v>
      </c>
      <c r="Z623" s="49">
        <v>0.4236111111111111</v>
      </c>
      <c r="AA623" s="49">
        <v>0.4236111111111111</v>
      </c>
      <c r="AB623" s="29"/>
      <c r="AC623" s="29"/>
      <c r="AD623" s="25">
        <v>0.4375</v>
      </c>
      <c r="AE623" s="45">
        <v>45953.0</v>
      </c>
      <c r="AF623" s="21" t="s">
        <v>2931</v>
      </c>
      <c r="AG623" s="21" t="s">
        <v>113</v>
      </c>
      <c r="AH623" s="21" t="s">
        <v>1351</v>
      </c>
      <c r="AI623" s="62" t="str">
        <f>IFERROR(__xludf.DUMMYFUNCTION("IF(OR(W623="""",X623="""",AE623="""",AD623=""""),"""",
   TEXT(
     (
       (AE623+AD623 + IF(AE623+AD623 &lt; W623+X623,1,0)) - (W623+X623)
     )
     - IF(AND(AB623&lt;&gt;"""",AC623&lt;&gt;""""), 
          SUM(ARRAYFORMULA(SPLIT(AC623,"","") - SPLIT(AB623,"",""))"&amp;"), 
          0
       ),
     ""[hh]:mm""
   )
)
"),"03:20")</f>
        <v>03:20</v>
      </c>
      <c r="AJ623" s="27">
        <f t="shared" si="9"/>
        <v>0</v>
      </c>
      <c r="AK623" s="63" t="str">
        <f t="shared" si="10"/>
        <v>Pass</v>
      </c>
    </row>
    <row r="624">
      <c r="A624" s="45">
        <v>45953.0</v>
      </c>
      <c r="B624" s="49">
        <v>0.3923611111111111</v>
      </c>
      <c r="C624" s="45">
        <v>45953.0</v>
      </c>
      <c r="D624" s="49">
        <v>0.4013888888888889</v>
      </c>
      <c r="E624" s="21" t="s">
        <v>5039</v>
      </c>
      <c r="F624" s="21" t="s">
        <v>969</v>
      </c>
      <c r="G624" s="21" t="s">
        <v>2323</v>
      </c>
      <c r="H624" s="21" t="s">
        <v>566</v>
      </c>
      <c r="I624" s="21" t="s">
        <v>299</v>
      </c>
      <c r="J624" s="21" t="s">
        <v>299</v>
      </c>
      <c r="K624" s="21" t="s">
        <v>43</v>
      </c>
      <c r="L624" s="21" t="s">
        <v>2758</v>
      </c>
      <c r="M624" s="21" t="s">
        <v>5040</v>
      </c>
      <c r="N624" s="21" t="s">
        <v>5041</v>
      </c>
      <c r="O624" s="48" t="s">
        <v>5042</v>
      </c>
      <c r="P624" s="21" t="s">
        <v>48</v>
      </c>
      <c r="Q624" s="24" t="s">
        <v>65</v>
      </c>
      <c r="R624" s="21" t="s">
        <v>5043</v>
      </c>
      <c r="S624" s="21" t="s">
        <v>51</v>
      </c>
      <c r="T624" s="21" t="s">
        <v>52</v>
      </c>
      <c r="U624" s="21" t="s">
        <v>52</v>
      </c>
      <c r="V624" s="21" t="s">
        <v>52</v>
      </c>
      <c r="W624" s="45">
        <v>45953.0</v>
      </c>
      <c r="X624" s="49">
        <v>0.42430555555555555</v>
      </c>
      <c r="Y624" s="45">
        <v>45953.0</v>
      </c>
      <c r="Z624" s="49">
        <v>0.5097222222222222</v>
      </c>
      <c r="AA624" s="49">
        <v>0.5138888888888888</v>
      </c>
      <c r="AB624" s="29"/>
      <c r="AC624" s="29"/>
      <c r="AD624" s="25">
        <v>0.5381944444444444</v>
      </c>
      <c r="AE624" s="45">
        <v>45953.0</v>
      </c>
      <c r="AF624" s="21" t="s">
        <v>2744</v>
      </c>
      <c r="AG624" s="21" t="s">
        <v>775</v>
      </c>
      <c r="AH624" s="21" t="s">
        <v>5044</v>
      </c>
      <c r="AI624" s="62" t="str">
        <f>IFERROR(__xludf.DUMMYFUNCTION("IF(OR(W624="""",X624="""",AE624="""",AD624=""""),"""",
   TEXT(
     (
       (AE624+AD624 + IF(AE624+AD624 &lt; W624+X624,1,0)) - (W624+X624)
     )
     - IF(AND(AB624&lt;&gt;"""",AC624&lt;&gt;""""), 
          SUM(ARRAYFORMULA(SPLIT(AC624,"","") - SPLIT(AB624,"",""))"&amp;"), 
          0
       ),
     ""[hh]:mm""
   )
)
"),"02:44")</f>
        <v>02:44</v>
      </c>
      <c r="AJ624" s="27">
        <f t="shared" si="9"/>
        <v>0</v>
      </c>
      <c r="AK624" s="63" t="str">
        <f t="shared" si="10"/>
        <v>Pass</v>
      </c>
    </row>
    <row r="625">
      <c r="A625" s="45">
        <v>45953.0</v>
      </c>
      <c r="B625" s="49">
        <v>0.4152777777777778</v>
      </c>
      <c r="C625" s="45">
        <v>45953.0</v>
      </c>
      <c r="D625" s="91" t="s">
        <v>4905</v>
      </c>
      <c r="E625" s="21" t="s">
        <v>5045</v>
      </c>
      <c r="F625" s="21" t="s">
        <v>5046</v>
      </c>
      <c r="G625" s="21" t="s">
        <v>5047</v>
      </c>
      <c r="H625" s="21" t="s">
        <v>2120</v>
      </c>
      <c r="I625" s="21" t="s">
        <v>95</v>
      </c>
      <c r="J625" s="21" t="s">
        <v>95</v>
      </c>
      <c r="K625" s="21" t="s">
        <v>333</v>
      </c>
      <c r="L625" s="21" t="s">
        <v>1441</v>
      </c>
      <c r="M625" s="21" t="s">
        <v>5048</v>
      </c>
      <c r="N625" s="21" t="s">
        <v>5049</v>
      </c>
      <c r="O625" s="48" t="s">
        <v>5050</v>
      </c>
      <c r="P625" s="21" t="s">
        <v>75</v>
      </c>
      <c r="Q625" s="24" t="s">
        <v>198</v>
      </c>
      <c r="R625" s="21" t="s">
        <v>5051</v>
      </c>
      <c r="S625" s="21" t="s">
        <v>51</v>
      </c>
      <c r="T625" s="21" t="s">
        <v>2125</v>
      </c>
      <c r="U625" s="21" t="s">
        <v>5052</v>
      </c>
      <c r="V625" s="21" t="s">
        <v>5053</v>
      </c>
      <c r="W625" s="45">
        <v>45954.0</v>
      </c>
      <c r="X625" s="49">
        <v>0.14583333333333334</v>
      </c>
      <c r="Y625" s="45">
        <v>45954.0</v>
      </c>
      <c r="Z625" s="49">
        <v>0.14583333333333334</v>
      </c>
      <c r="AA625" s="49">
        <v>0.1527777777777778</v>
      </c>
      <c r="AB625" s="29"/>
      <c r="AC625" s="29"/>
      <c r="AD625" s="25">
        <v>0.22916666666666666</v>
      </c>
      <c r="AE625" s="45">
        <v>45954.0</v>
      </c>
      <c r="AF625" s="21" t="s">
        <v>4914</v>
      </c>
      <c r="AG625" s="21" t="s">
        <v>5054</v>
      </c>
      <c r="AH625" s="21" t="s">
        <v>5055</v>
      </c>
      <c r="AI625" s="62" t="str">
        <f>IFERROR(__xludf.DUMMYFUNCTION("IF(OR(W625="""",X625="""",AE625="""",AD625=""""),"""",
   TEXT(
     (
       (AE625+AD625 + IF(AE625+AD625 &lt; W625+X625,1,0)) - (W625+X625)
     )
     - IF(AND(AB625&lt;&gt;"""",AC625&lt;&gt;""""), 
          SUM(ARRAYFORMULA(SPLIT(AC625,"","") - SPLIT(AB625,"",""))"&amp;"), 
          0
       ),
     ""[hh]:mm""
   )
)
"),"02:00")</f>
        <v>02:00</v>
      </c>
      <c r="AJ625" s="27">
        <f t="shared" si="9"/>
        <v>0</v>
      </c>
      <c r="AK625" s="63" t="str">
        <f t="shared" si="10"/>
        <v>Pass</v>
      </c>
    </row>
    <row r="626">
      <c r="A626" s="45">
        <v>45953.0</v>
      </c>
      <c r="B626" s="49">
        <v>0.6118055555555556</v>
      </c>
      <c r="C626" s="45">
        <v>45953.0</v>
      </c>
      <c r="D626" s="49">
        <v>0.6159722222222223</v>
      </c>
      <c r="E626" s="21" t="s">
        <v>5056</v>
      </c>
      <c r="F626" s="21" t="s">
        <v>5057</v>
      </c>
      <c r="G626" s="21" t="s">
        <v>5058</v>
      </c>
      <c r="H626" s="21" t="s">
        <v>1610</v>
      </c>
      <c r="I626" s="21" t="s">
        <v>1612</v>
      </c>
      <c r="J626" s="21" t="s">
        <v>1612</v>
      </c>
      <c r="K626" s="21" t="s">
        <v>143</v>
      </c>
      <c r="L626" s="21" t="s">
        <v>3833</v>
      </c>
      <c r="M626" s="21" t="s">
        <v>5059</v>
      </c>
      <c r="N626" s="21" t="s">
        <v>5060</v>
      </c>
      <c r="O626" s="48" t="s">
        <v>5061</v>
      </c>
      <c r="P626" s="21" t="s">
        <v>187</v>
      </c>
      <c r="Q626" s="24" t="s">
        <v>65</v>
      </c>
      <c r="R626" s="21" t="s">
        <v>5062</v>
      </c>
      <c r="S626" s="21" t="s">
        <v>51</v>
      </c>
      <c r="T626" s="21" t="s">
        <v>52</v>
      </c>
      <c r="U626" s="21" t="s">
        <v>52</v>
      </c>
      <c r="V626" s="21" t="s">
        <v>52</v>
      </c>
      <c r="W626" s="45">
        <v>45953.0</v>
      </c>
      <c r="X626" s="49">
        <v>0.6159722222222223</v>
      </c>
      <c r="Y626" s="45">
        <v>45953.0</v>
      </c>
      <c r="Z626" s="49">
        <v>0.6888888888888889</v>
      </c>
      <c r="AA626" s="49">
        <v>0.6909722222222222</v>
      </c>
      <c r="AB626" s="29"/>
      <c r="AC626" s="29"/>
      <c r="AD626" s="25">
        <v>0.7256944444444444</v>
      </c>
      <c r="AE626" s="45">
        <v>45953.0</v>
      </c>
      <c r="AF626" s="21" t="s">
        <v>2744</v>
      </c>
      <c r="AG626" s="21" t="s">
        <v>879</v>
      </c>
      <c r="AH626" s="21" t="s">
        <v>5063</v>
      </c>
      <c r="AI626" s="62" t="str">
        <f>IFERROR(__xludf.DUMMYFUNCTION("IF(OR(W626="""",X626="""",AE626="""",AD626=""""),"""",
   TEXT(
     (
       (AE626+AD626 + IF(AE626+AD626 &lt; W626+X626,1,0)) - (W626+X626)
     )
     - IF(AND(AB626&lt;&gt;"""",AC626&lt;&gt;""""), 
          SUM(ARRAYFORMULA(SPLIT(AC626,"","") - SPLIT(AB626,"",""))"&amp;"), 
          0
       ),
     ""[hh]:mm""
   )
)
"),"02:38")</f>
        <v>02:38</v>
      </c>
      <c r="AJ626" s="27">
        <f t="shared" si="9"/>
        <v>0</v>
      </c>
      <c r="AK626" s="63" t="str">
        <f t="shared" si="10"/>
        <v>Pass</v>
      </c>
    </row>
    <row r="627">
      <c r="A627" s="45">
        <v>45953.0</v>
      </c>
      <c r="B627" s="49">
        <v>0.6361111111111111</v>
      </c>
      <c r="C627" s="45">
        <v>45953.0</v>
      </c>
      <c r="D627" s="49">
        <v>0.6423611111111112</v>
      </c>
      <c r="E627" s="21" t="s">
        <v>5064</v>
      </c>
      <c r="F627" s="21" t="s">
        <v>5057</v>
      </c>
      <c r="G627" s="21" t="s">
        <v>5058</v>
      </c>
      <c r="H627" s="21" t="s">
        <v>1610</v>
      </c>
      <c r="I627" s="21" t="s">
        <v>1612</v>
      </c>
      <c r="J627" s="21" t="s">
        <v>1612</v>
      </c>
      <c r="K627" s="21" t="s">
        <v>143</v>
      </c>
      <c r="L627" s="21" t="s">
        <v>3833</v>
      </c>
      <c r="M627" s="21" t="s">
        <v>5065</v>
      </c>
      <c r="N627" s="21" t="s">
        <v>5066</v>
      </c>
      <c r="O627" s="48" t="s">
        <v>5061</v>
      </c>
      <c r="P627" s="21" t="s">
        <v>187</v>
      </c>
      <c r="Q627" s="24" t="s">
        <v>65</v>
      </c>
      <c r="R627" s="21" t="s">
        <v>5062</v>
      </c>
      <c r="S627" s="21" t="s">
        <v>51</v>
      </c>
      <c r="T627" s="21" t="s">
        <v>52</v>
      </c>
      <c r="U627" s="21" t="s">
        <v>52</v>
      </c>
      <c r="V627" s="21" t="s">
        <v>52</v>
      </c>
      <c r="W627" s="45">
        <v>45953.0</v>
      </c>
      <c r="X627" s="49">
        <v>0.6423611111111112</v>
      </c>
      <c r="Y627" s="45">
        <v>45953.0</v>
      </c>
      <c r="Z627" s="49">
        <v>0.6888888888888889</v>
      </c>
      <c r="AA627" s="49">
        <v>0.6909722222222222</v>
      </c>
      <c r="AB627" s="29"/>
      <c r="AC627" s="29"/>
      <c r="AD627" s="25">
        <v>0.7256944444444444</v>
      </c>
      <c r="AE627" s="45">
        <v>45953.0</v>
      </c>
      <c r="AF627" s="21" t="s">
        <v>2744</v>
      </c>
      <c r="AG627" s="21" t="s">
        <v>879</v>
      </c>
      <c r="AH627" s="21" t="s">
        <v>5063</v>
      </c>
      <c r="AI627" s="62" t="str">
        <f>IFERROR(__xludf.DUMMYFUNCTION("IF(OR(W627="""",X627="""",AE627="""",AD627=""""),"""",
   TEXT(
     (
       (AE627+AD627 + IF(AE627+AD627 &lt; W627+X627,1,0)) - (W627+X627)
     )
     - IF(AND(AB627&lt;&gt;"""",AC627&lt;&gt;""""), 
          SUM(ARRAYFORMULA(SPLIT(AC627,"","") - SPLIT(AB627,"",""))"&amp;"), 
          0
       ),
     ""[hh]:mm""
   )
)
"),"02:00")</f>
        <v>02:00</v>
      </c>
      <c r="AJ627" s="27">
        <f t="shared" si="9"/>
        <v>0</v>
      </c>
      <c r="AK627" s="63" t="str">
        <f t="shared" si="10"/>
        <v>Pass</v>
      </c>
    </row>
    <row r="628">
      <c r="A628" s="45">
        <v>45953.0</v>
      </c>
      <c r="B628" s="49">
        <v>0.61875</v>
      </c>
      <c r="C628" s="45">
        <v>45953.0</v>
      </c>
      <c r="D628" s="91" t="s">
        <v>4905</v>
      </c>
      <c r="E628" s="21" t="s">
        <v>5067</v>
      </c>
      <c r="F628" s="21" t="s">
        <v>718</v>
      </c>
      <c r="G628" s="21" t="s">
        <v>719</v>
      </c>
      <c r="H628" s="21" t="s">
        <v>4908</v>
      </c>
      <c r="I628" s="21" t="s">
        <v>95</v>
      </c>
      <c r="J628" s="21" t="s">
        <v>95</v>
      </c>
      <c r="K628" s="21" t="s">
        <v>143</v>
      </c>
      <c r="L628" s="21" t="s">
        <v>606</v>
      </c>
      <c r="M628" s="21" t="s">
        <v>720</v>
      </c>
      <c r="N628" s="21" t="s">
        <v>5068</v>
      </c>
      <c r="O628" s="48" t="s">
        <v>5069</v>
      </c>
      <c r="P628" s="21" t="s">
        <v>75</v>
      </c>
      <c r="Q628" s="24" t="s">
        <v>198</v>
      </c>
      <c r="R628" s="21" t="s">
        <v>5070</v>
      </c>
      <c r="S628" s="21" t="s">
        <v>51</v>
      </c>
      <c r="T628" s="21" t="s">
        <v>5071</v>
      </c>
      <c r="U628" s="21" t="s">
        <v>5072</v>
      </c>
      <c r="V628" s="21" t="s">
        <v>5073</v>
      </c>
      <c r="W628" s="45">
        <v>45958.0</v>
      </c>
      <c r="X628" s="49">
        <v>0.08333333333333333</v>
      </c>
      <c r="Y628" s="45">
        <v>45958.0</v>
      </c>
      <c r="Z628" s="49">
        <v>0.04861111111111111</v>
      </c>
      <c r="AA628" s="49">
        <v>0.07152777777777777</v>
      </c>
      <c r="AB628" s="24" t="s">
        <v>5074</v>
      </c>
      <c r="AC628" s="24" t="s">
        <v>5075</v>
      </c>
      <c r="AD628" s="25">
        <v>0.3125</v>
      </c>
      <c r="AE628" s="45">
        <v>45958.0</v>
      </c>
      <c r="AF628" s="21" t="s">
        <v>4914</v>
      </c>
      <c r="AG628" s="21" t="s">
        <v>3191</v>
      </c>
      <c r="AH628" s="21" t="s">
        <v>5076</v>
      </c>
      <c r="AI628" s="62" t="str">
        <f>IFERROR(__xludf.DUMMYFUNCTION("IF(OR(W628="""",X628="""",AE628="""",AD628=""""),"""",
   TEXT(
     (
       (AE628+AD628 + IF(AE628+AD628 &lt; W628+X628,1,0)) - (W628+X628)
     )
     - IF(AND(AB628&lt;&gt;"""",AC628&lt;&gt;""""), 
          SUM(ARRAYFORMULA(SPLIT(AC628,"","") - SPLIT(AB628,"",""))"&amp;"), 
          0
       ),
     ""[hh]:mm""
   )
)
"),"03:52")</f>
        <v>03:52</v>
      </c>
      <c r="AJ628" s="27">
        <f t="shared" si="9"/>
        <v>0</v>
      </c>
      <c r="AK628" s="63" t="str">
        <f t="shared" si="10"/>
        <v>Pass</v>
      </c>
    </row>
    <row r="629">
      <c r="A629" s="45">
        <v>45953.0</v>
      </c>
      <c r="B629" s="49">
        <v>0.6347222222222222</v>
      </c>
      <c r="C629" s="45">
        <v>45953.0</v>
      </c>
      <c r="D629" s="49">
        <v>0.6381944444444444</v>
      </c>
      <c r="E629" s="21" t="s">
        <v>5077</v>
      </c>
      <c r="F629" s="21" t="s">
        <v>4263</v>
      </c>
      <c r="G629" s="21" t="s">
        <v>4264</v>
      </c>
      <c r="H629" s="21" t="s">
        <v>1610</v>
      </c>
      <c r="I629" s="21" t="s">
        <v>1612</v>
      </c>
      <c r="J629" s="21" t="s">
        <v>1612</v>
      </c>
      <c r="K629" s="21" t="s">
        <v>143</v>
      </c>
      <c r="L629" s="21" t="s">
        <v>3833</v>
      </c>
      <c r="M629" s="21" t="s">
        <v>5078</v>
      </c>
      <c r="N629" s="21" t="s">
        <v>5079</v>
      </c>
      <c r="O629" s="48" t="s">
        <v>5080</v>
      </c>
      <c r="P629" s="21" t="s">
        <v>187</v>
      </c>
      <c r="Q629" s="24" t="s">
        <v>65</v>
      </c>
      <c r="R629" s="21" t="s">
        <v>5017</v>
      </c>
      <c r="S629" s="21" t="s">
        <v>51</v>
      </c>
      <c r="T629" s="21" t="s">
        <v>52</v>
      </c>
      <c r="U629" s="21" t="s">
        <v>52</v>
      </c>
      <c r="V629" s="21" t="s">
        <v>52</v>
      </c>
      <c r="W629" s="45">
        <v>45953.0</v>
      </c>
      <c r="X629" s="49">
        <v>0.6381944444444444</v>
      </c>
      <c r="Y629" s="45">
        <v>45953.0</v>
      </c>
      <c r="Z629" s="49">
        <v>0.7868055555555555</v>
      </c>
      <c r="AA629" s="49">
        <v>0.7916666666666666</v>
      </c>
      <c r="AB629" s="29"/>
      <c r="AC629" s="29"/>
      <c r="AD629" s="25">
        <v>0.9930555555555556</v>
      </c>
      <c r="AE629" s="45">
        <v>45953.0</v>
      </c>
      <c r="AF629" s="21" t="s">
        <v>2819</v>
      </c>
      <c r="AG629" s="21" t="s">
        <v>293</v>
      </c>
      <c r="AH629" s="21" t="s">
        <v>5081</v>
      </c>
      <c r="AI629" s="62" t="str">
        <f>IFERROR(__xludf.DUMMYFUNCTION("IF(OR(W629="""",X629="""",AE629="""",AD629=""""),"""",
   TEXT(
     (
       (AE629+AD629 + IF(AE629+AD629 &lt; W629+X629,1,0)) - (W629+X629)
     )
     - IF(AND(AB629&lt;&gt;"""",AC629&lt;&gt;""""), 
          SUM(ARRAYFORMULA(SPLIT(AC629,"","") - SPLIT(AB629,"",""))"&amp;"), 
          0
       ),
     ""[hh]:mm""
   )
)
"),"08:31")</f>
        <v>08:31</v>
      </c>
      <c r="AJ629" s="27">
        <f t="shared" si="9"/>
        <v>0</v>
      </c>
      <c r="AK629" s="63" t="str">
        <f t="shared" si="10"/>
        <v>Pass</v>
      </c>
    </row>
    <row r="630">
      <c r="A630" s="45">
        <v>45953.0</v>
      </c>
      <c r="B630" s="49">
        <v>0.6347222222222222</v>
      </c>
      <c r="C630" s="45">
        <v>45953.0</v>
      </c>
      <c r="D630" s="49">
        <v>0.6381944444444444</v>
      </c>
      <c r="E630" s="21" t="s">
        <v>5082</v>
      </c>
      <c r="F630" s="21" t="s">
        <v>4263</v>
      </c>
      <c r="G630" s="21" t="s">
        <v>4264</v>
      </c>
      <c r="H630" s="21" t="s">
        <v>1610</v>
      </c>
      <c r="I630" s="21" t="s">
        <v>1612</v>
      </c>
      <c r="J630" s="21" t="s">
        <v>1612</v>
      </c>
      <c r="K630" s="21" t="s">
        <v>143</v>
      </c>
      <c r="L630" s="21" t="s">
        <v>3833</v>
      </c>
      <c r="M630" s="21" t="s">
        <v>5083</v>
      </c>
      <c r="N630" s="21" t="s">
        <v>5084</v>
      </c>
      <c r="O630" s="48" t="s">
        <v>5080</v>
      </c>
      <c r="P630" s="21" t="s">
        <v>187</v>
      </c>
      <c r="Q630" s="24" t="s">
        <v>65</v>
      </c>
      <c r="R630" s="21" t="s">
        <v>5017</v>
      </c>
      <c r="S630" s="21" t="s">
        <v>51</v>
      </c>
      <c r="T630" s="21" t="s">
        <v>52</v>
      </c>
      <c r="U630" s="21" t="s">
        <v>52</v>
      </c>
      <c r="V630" s="21" t="s">
        <v>52</v>
      </c>
      <c r="W630" s="45">
        <v>45953.0</v>
      </c>
      <c r="X630" s="49">
        <v>0.6381944444444444</v>
      </c>
      <c r="Y630" s="45">
        <v>45953.0</v>
      </c>
      <c r="Z630" s="49">
        <v>0.7868055555555555</v>
      </c>
      <c r="AA630" s="49">
        <v>0.7916666666666666</v>
      </c>
      <c r="AB630" s="29"/>
      <c r="AC630" s="29"/>
      <c r="AD630" s="25">
        <v>0.9930555555555556</v>
      </c>
      <c r="AE630" s="45">
        <v>45953.0</v>
      </c>
      <c r="AF630" s="21" t="s">
        <v>3090</v>
      </c>
      <c r="AG630" s="21" t="s">
        <v>293</v>
      </c>
      <c r="AH630" s="21" t="s">
        <v>5081</v>
      </c>
      <c r="AI630" s="62" t="str">
        <f>IFERROR(__xludf.DUMMYFUNCTION("IF(OR(W630="""",X630="""",AE630="""",AD630=""""),"""",
   TEXT(
     (
       (AE630+AD630 + IF(AE630+AD630 &lt; W630+X630,1,0)) - (W630+X630)
     )
     - IF(AND(AB630&lt;&gt;"""",AC630&lt;&gt;""""), 
          SUM(ARRAYFORMULA(SPLIT(AC630,"","") - SPLIT(AB630,"",""))"&amp;"), 
          0
       ),
     ""[hh]:mm""
   )
)
"),"08:31")</f>
        <v>08:31</v>
      </c>
      <c r="AJ630" s="27">
        <f t="shared" si="9"/>
        <v>0</v>
      </c>
      <c r="AK630" s="63" t="str">
        <f t="shared" si="10"/>
        <v>Pass</v>
      </c>
    </row>
    <row r="631">
      <c r="A631" s="45">
        <v>45953.0</v>
      </c>
      <c r="B631" s="49">
        <v>0.48680555555555555</v>
      </c>
      <c r="C631" s="45">
        <v>45953.0</v>
      </c>
      <c r="D631" s="49">
        <v>0.4875</v>
      </c>
      <c r="E631" s="21" t="s">
        <v>5085</v>
      </c>
      <c r="F631" s="21" t="s">
        <v>3439</v>
      </c>
      <c r="G631" s="21" t="s">
        <v>3440</v>
      </c>
      <c r="H631" s="21" t="s">
        <v>1468</v>
      </c>
      <c r="I631" s="21" t="s">
        <v>815</v>
      </c>
      <c r="J631" s="21" t="s">
        <v>1084</v>
      </c>
      <c r="K631" s="21" t="s">
        <v>3243</v>
      </c>
      <c r="L631" s="21" t="s">
        <v>2934</v>
      </c>
      <c r="M631" s="21">
        <v>8.61585041577113E14</v>
      </c>
      <c r="N631" s="21" t="s">
        <v>5086</v>
      </c>
      <c r="O631" s="48" t="s">
        <v>5087</v>
      </c>
      <c r="P631" s="21" t="s">
        <v>48</v>
      </c>
      <c r="Q631" s="24" t="s">
        <v>65</v>
      </c>
      <c r="R631" s="21" t="s">
        <v>5088</v>
      </c>
      <c r="S631" s="21" t="s">
        <v>51</v>
      </c>
      <c r="T631" s="21" t="s">
        <v>52</v>
      </c>
      <c r="U631" s="21" t="s">
        <v>52</v>
      </c>
      <c r="V631" s="21" t="s">
        <v>52</v>
      </c>
      <c r="W631" s="69"/>
      <c r="X631" s="46"/>
      <c r="Y631" s="45">
        <v>45954.0</v>
      </c>
      <c r="Z631" s="49">
        <v>0.6215277777777778</v>
      </c>
      <c r="AA631" s="49">
        <v>0.6229166666666667</v>
      </c>
      <c r="AB631" s="29"/>
      <c r="AC631" s="29"/>
      <c r="AD631" s="25">
        <v>0.6548611111111111</v>
      </c>
      <c r="AE631" s="45">
        <v>45954.0</v>
      </c>
      <c r="AF631" s="21" t="s">
        <v>5089</v>
      </c>
      <c r="AG631" s="21" t="s">
        <v>3197</v>
      </c>
      <c r="AH631" s="47"/>
      <c r="AI631" s="64" t="str">
        <f>IFERROR(__xludf.DUMMYFUNCTION("IF(OR(W631="""",X631="""",AE631="""",AD631=""""),"""",
   TEXT(
     (
       (AE631+AD631 + IF(AE631+AD631 &lt; W631+X631,1,0)) - (W631+X631)
     )
     - IF(AND(AB631&lt;&gt;"""",AC631&lt;&gt;""""), 
          SUM(ARRAYFORMULA(SPLIT(AC631,"","") - SPLIT(AB631,"",""))"&amp;"), 
          0
       ),
     ""[hh]:mm""
   )
)
"),"")</f>
        <v/>
      </c>
      <c r="AJ631" s="65" t="str">
        <f t="shared" si="9"/>
        <v/>
      </c>
      <c r="AK631" s="66" t="str">
        <f t="shared" si="10"/>
        <v/>
      </c>
    </row>
    <row r="632">
      <c r="A632" s="18">
        <v>45951.0</v>
      </c>
      <c r="B632" s="20">
        <v>0.6173611111111111</v>
      </c>
      <c r="C632" s="18">
        <v>45954.0</v>
      </c>
      <c r="D632" s="79">
        <v>0.30486111111111114</v>
      </c>
      <c r="E632" s="22" t="s">
        <v>5090</v>
      </c>
      <c r="F632" s="22" t="s">
        <v>2617</v>
      </c>
      <c r="G632" s="22" t="s">
        <v>2618</v>
      </c>
      <c r="H632" s="22" t="s">
        <v>4908</v>
      </c>
      <c r="I632" s="22" t="s">
        <v>95</v>
      </c>
      <c r="J632" s="22" t="s">
        <v>95</v>
      </c>
      <c r="K632" s="22" t="s">
        <v>143</v>
      </c>
      <c r="L632" s="22" t="s">
        <v>5021</v>
      </c>
      <c r="M632" s="22" t="s">
        <v>5091</v>
      </c>
      <c r="N632" s="22" t="s">
        <v>5092</v>
      </c>
      <c r="O632" s="23" t="s">
        <v>5093</v>
      </c>
      <c r="P632" s="22" t="s">
        <v>75</v>
      </c>
      <c r="Q632" s="50" t="s">
        <v>198</v>
      </c>
      <c r="R632" s="22" t="s">
        <v>5094</v>
      </c>
      <c r="S632" s="22" t="s">
        <v>51</v>
      </c>
      <c r="T632" s="22" t="s">
        <v>5071</v>
      </c>
      <c r="U632" s="22" t="s">
        <v>52</v>
      </c>
      <c r="V632" s="22" t="s">
        <v>52</v>
      </c>
      <c r="W632" s="18">
        <v>45953.0</v>
      </c>
      <c r="X632" s="20">
        <v>0.9583333333333334</v>
      </c>
      <c r="Y632" s="18">
        <v>45953.0</v>
      </c>
      <c r="Z632" s="20">
        <v>0.9854166666666667</v>
      </c>
      <c r="AA632" s="20">
        <v>0.08680555555555555</v>
      </c>
      <c r="AB632" s="51">
        <v>0.22916666666666666</v>
      </c>
      <c r="AC632" s="51">
        <v>0.3125</v>
      </c>
      <c r="AD632" s="51">
        <v>0.5</v>
      </c>
      <c r="AE632" s="18">
        <v>45954.0</v>
      </c>
      <c r="AF632" s="22" t="s">
        <v>4914</v>
      </c>
      <c r="AG632" s="22" t="s">
        <v>2086</v>
      </c>
      <c r="AH632" s="22" t="s">
        <v>5095</v>
      </c>
      <c r="AI632" s="26" t="str">
        <f>IFERROR(__xludf.DUMMYFUNCTION("IF(OR(W632="""",X632="""",AE632="""",AD632=""""),"""",
   TEXT(
     (
       (AE632+AD632 + IF(AE632+AD632 &lt; W632+X632,1,0)) - (W632+X632)
     )
     - IF(AND(AB632&lt;&gt;"""",AC632&lt;&gt;""""), 
          SUM(ARRAYFORMULA(SPLIT(AC632,"","") - SPLIT(AB632,"",""))"&amp;"), 
          0
       ),
     ""[hh]:mm""
   )
)
"),"11:00")</f>
        <v>11:00</v>
      </c>
      <c r="AJ632" s="55">
        <f t="shared" si="9"/>
        <v>0</v>
      </c>
      <c r="AK632" s="28" t="str">
        <f t="shared" si="10"/>
        <v>Pass</v>
      </c>
    </row>
    <row r="633">
      <c r="A633" s="45">
        <v>45953.0</v>
      </c>
      <c r="B633" s="49">
        <v>0.8506944444444444</v>
      </c>
      <c r="C633" s="45">
        <v>45953.0</v>
      </c>
      <c r="D633" s="49">
        <v>0.8590277777777777</v>
      </c>
      <c r="E633" s="21" t="s">
        <v>5096</v>
      </c>
      <c r="F633" s="21" t="s">
        <v>2193</v>
      </c>
      <c r="G633" s="21" t="s">
        <v>2194</v>
      </c>
      <c r="H633" s="21" t="s">
        <v>756</v>
      </c>
      <c r="I633" s="21" t="s">
        <v>60</v>
      </c>
      <c r="J633" s="21" t="s">
        <v>3806</v>
      </c>
      <c r="K633" s="21" t="s">
        <v>43</v>
      </c>
      <c r="L633" s="21" t="s">
        <v>44</v>
      </c>
      <c r="M633" s="21" t="s">
        <v>5097</v>
      </c>
      <c r="N633" s="21" t="s">
        <v>5098</v>
      </c>
      <c r="O633" s="48" t="s">
        <v>5099</v>
      </c>
      <c r="P633" s="21" t="s">
        <v>48</v>
      </c>
      <c r="Q633" s="24" t="s">
        <v>49</v>
      </c>
      <c r="R633" s="21" t="s">
        <v>5100</v>
      </c>
      <c r="S633" s="21" t="s">
        <v>51</v>
      </c>
      <c r="T633" s="21" t="s">
        <v>52</v>
      </c>
      <c r="U633" s="21" t="s">
        <v>52</v>
      </c>
      <c r="V633" s="21" t="s">
        <v>52</v>
      </c>
      <c r="W633" s="45">
        <v>45954.0</v>
      </c>
      <c r="X633" s="49">
        <v>0.34375</v>
      </c>
      <c r="Y633" s="45">
        <v>45954.0</v>
      </c>
      <c r="Z633" s="49">
        <v>0.44166666666666665</v>
      </c>
      <c r="AA633" s="49">
        <v>0.5243055555555556</v>
      </c>
      <c r="AB633" s="25">
        <v>0.4756944444444444</v>
      </c>
      <c r="AC633" s="25">
        <v>0.5243055555555556</v>
      </c>
      <c r="AD633" s="25">
        <v>0.5555555555555556</v>
      </c>
      <c r="AE633" s="45">
        <v>45954.0</v>
      </c>
      <c r="AF633" s="21" t="s">
        <v>2839</v>
      </c>
      <c r="AG633" s="21" t="s">
        <v>102</v>
      </c>
      <c r="AH633" s="21" t="s">
        <v>5101</v>
      </c>
      <c r="AI633" s="62" t="str">
        <f>IFERROR(__xludf.DUMMYFUNCTION("IF(OR(W633="""",X633="""",AE633="""",AD633=""""),"""",
   TEXT(
     (
       (AE633+AD633 + IF(AE633+AD633 &lt; W633+X633,1,0)) - (W633+X633)
     )
     - IF(AND(AB633&lt;&gt;"""",AC633&lt;&gt;""""), 
          SUM(ARRAYFORMULA(SPLIT(AC633,"","") - SPLIT(AB633,"",""))"&amp;"), 
          0
       ),
     ""[hh]:mm""
   )
)
"),"03:55")</f>
        <v>03:55</v>
      </c>
      <c r="AJ633" s="27">
        <f t="shared" si="9"/>
        <v>0</v>
      </c>
      <c r="AK633" s="63" t="str">
        <f t="shared" si="10"/>
        <v>Pass</v>
      </c>
    </row>
    <row r="634">
      <c r="A634" s="45">
        <v>45953.0</v>
      </c>
      <c r="B634" s="49">
        <v>0.8520833333333333</v>
      </c>
      <c r="C634" s="45">
        <v>45953.0</v>
      </c>
      <c r="D634" s="49">
        <v>0.8597222222222223</v>
      </c>
      <c r="E634" s="21" t="s">
        <v>5102</v>
      </c>
      <c r="F634" s="21" t="s">
        <v>2193</v>
      </c>
      <c r="G634" s="21" t="s">
        <v>2194</v>
      </c>
      <c r="H634" s="21" t="s">
        <v>756</v>
      </c>
      <c r="I634" s="21" t="s">
        <v>234</v>
      </c>
      <c r="J634" s="21" t="s">
        <v>3806</v>
      </c>
      <c r="K634" s="47"/>
      <c r="L634" s="21" t="s">
        <v>44</v>
      </c>
      <c r="M634" s="21" t="s">
        <v>5103</v>
      </c>
      <c r="N634" s="21" t="s">
        <v>5104</v>
      </c>
      <c r="O634" s="48" t="s">
        <v>5105</v>
      </c>
      <c r="P634" s="21" t="s">
        <v>48</v>
      </c>
      <c r="Q634" s="24" t="s">
        <v>49</v>
      </c>
      <c r="R634" s="21" t="s">
        <v>5100</v>
      </c>
      <c r="S634" s="21" t="s">
        <v>51</v>
      </c>
      <c r="T634" s="21" t="s">
        <v>52</v>
      </c>
      <c r="U634" s="21" t="s">
        <v>52</v>
      </c>
      <c r="V634" s="21" t="s">
        <v>52</v>
      </c>
      <c r="W634" s="45">
        <v>45954.0</v>
      </c>
      <c r="X634" s="49">
        <v>0.34375</v>
      </c>
      <c r="Y634" s="45">
        <v>45954.0</v>
      </c>
      <c r="Z634" s="49">
        <v>0.44166666666666665</v>
      </c>
      <c r="AA634" s="49">
        <v>0.5243055555555556</v>
      </c>
      <c r="AB634" s="25">
        <v>0.4756944444444444</v>
      </c>
      <c r="AC634" s="25">
        <v>0.5243055555555556</v>
      </c>
      <c r="AD634" s="25">
        <v>0.5555555555555556</v>
      </c>
      <c r="AE634" s="45">
        <v>45954.0</v>
      </c>
      <c r="AF634" s="21" t="s">
        <v>2839</v>
      </c>
      <c r="AG634" s="21" t="s">
        <v>102</v>
      </c>
      <c r="AH634" s="21" t="s">
        <v>5101</v>
      </c>
      <c r="AI634" s="62" t="str">
        <f>IFERROR(__xludf.DUMMYFUNCTION("IF(OR(W634="""",X634="""",AE634="""",AD634=""""),"""",
   TEXT(
     (
       (AE634+AD634 + IF(AE634+AD634 &lt; W634+X634,1,0)) - (W634+X634)
     )
     - IF(AND(AB634&lt;&gt;"""",AC634&lt;&gt;""""), 
          SUM(ARRAYFORMULA(SPLIT(AC634,"","") - SPLIT(AB634,"",""))"&amp;"), 
          0
       ),
     ""[hh]:mm""
   )
)
"),"03:55")</f>
        <v>03:55</v>
      </c>
      <c r="AJ634" s="27">
        <f t="shared" si="9"/>
        <v>0</v>
      </c>
      <c r="AK634" s="63" t="str">
        <f t="shared" si="10"/>
        <v>Pass</v>
      </c>
    </row>
    <row r="635">
      <c r="A635" s="45">
        <v>45953.0</v>
      </c>
      <c r="B635" s="49">
        <v>0.9534722222222223</v>
      </c>
      <c r="C635" s="45">
        <v>45954.0</v>
      </c>
      <c r="D635" s="80">
        <v>0.29444444444444445</v>
      </c>
      <c r="E635" s="21" t="s">
        <v>5106</v>
      </c>
      <c r="F635" s="21" t="s">
        <v>4246</v>
      </c>
      <c r="G635" s="21" t="s">
        <v>4247</v>
      </c>
      <c r="H635" s="21" t="s">
        <v>1610</v>
      </c>
      <c r="I635" s="21" t="s">
        <v>1612</v>
      </c>
      <c r="J635" s="21" t="s">
        <v>1612</v>
      </c>
      <c r="K635" s="21" t="s">
        <v>143</v>
      </c>
      <c r="L635" s="21" t="s">
        <v>1613</v>
      </c>
      <c r="M635" s="21" t="s">
        <v>5107</v>
      </c>
      <c r="N635" s="21" t="s">
        <v>5108</v>
      </c>
      <c r="O635" s="48" t="s">
        <v>5109</v>
      </c>
      <c r="P635" s="21" t="s">
        <v>187</v>
      </c>
      <c r="Q635" s="24" t="s">
        <v>65</v>
      </c>
      <c r="R635" s="21" t="s">
        <v>5110</v>
      </c>
      <c r="S635" s="21" t="s">
        <v>51</v>
      </c>
      <c r="T635" s="21" t="s">
        <v>52</v>
      </c>
      <c r="U635" s="21" t="s">
        <v>52</v>
      </c>
      <c r="V635" s="21" t="s">
        <v>52</v>
      </c>
      <c r="W635" s="45">
        <v>45954.0</v>
      </c>
      <c r="X635" s="49">
        <v>0.29444444444444445</v>
      </c>
      <c r="Y635" s="45">
        <v>45954.0</v>
      </c>
      <c r="Z635" s="49">
        <v>0.6493055555555556</v>
      </c>
      <c r="AA635" s="49">
        <v>0.6527777777777778</v>
      </c>
      <c r="AB635" s="29"/>
      <c r="AC635" s="29"/>
      <c r="AD635" s="25">
        <v>0.75</v>
      </c>
      <c r="AE635" s="45">
        <v>45954.0</v>
      </c>
      <c r="AF635" s="21" t="s">
        <v>2839</v>
      </c>
      <c r="AG635" s="21" t="s">
        <v>113</v>
      </c>
      <c r="AH635" s="21" t="s">
        <v>5111</v>
      </c>
      <c r="AI635" s="62" t="str">
        <f>IFERROR(__xludf.DUMMYFUNCTION("IF(OR(W635="""",X635="""",AE635="""",AD635=""""),"""",
   TEXT(
     (
       (AE635+AD635 + IF(AE635+AD635 &lt; W635+X635,1,0)) - (W635+X635)
     )
     - IF(AND(AB635&lt;&gt;"""",AC635&lt;&gt;""""), 
          SUM(ARRAYFORMULA(SPLIT(AC635,"","") - SPLIT(AB635,"",""))"&amp;"), 
          0
       ),
     ""[hh]:mm""
   )
)
"),"10:56")</f>
        <v>10:56</v>
      </c>
      <c r="AJ635" s="27">
        <f t="shared" si="9"/>
        <v>0</v>
      </c>
      <c r="AK635" s="63" t="str">
        <f t="shared" si="10"/>
        <v>Pass</v>
      </c>
    </row>
    <row r="636">
      <c r="A636" s="45">
        <v>45952.0</v>
      </c>
      <c r="B636" s="49">
        <v>0.5430555555555555</v>
      </c>
      <c r="C636" s="45">
        <v>45952.0</v>
      </c>
      <c r="D636" s="49">
        <v>0.5513888888888889</v>
      </c>
      <c r="E636" s="21" t="s">
        <v>5112</v>
      </c>
      <c r="F636" s="21" t="s">
        <v>5113</v>
      </c>
      <c r="G636" s="21" t="s">
        <v>5114</v>
      </c>
      <c r="H636" s="21" t="s">
        <v>1468</v>
      </c>
      <c r="I636" s="21" t="s">
        <v>856</v>
      </c>
      <c r="J636" s="21" t="s">
        <v>1084</v>
      </c>
      <c r="K636" s="21" t="s">
        <v>1998</v>
      </c>
      <c r="L636" s="21" t="s">
        <v>1999</v>
      </c>
      <c r="M636" s="21" t="s">
        <v>5115</v>
      </c>
      <c r="N636" s="21" t="s">
        <v>5116</v>
      </c>
      <c r="O636" s="48" t="s">
        <v>5117</v>
      </c>
      <c r="P636" s="21" t="s">
        <v>48</v>
      </c>
      <c r="Q636" s="24" t="s">
        <v>198</v>
      </c>
      <c r="R636" s="21" t="s">
        <v>5118</v>
      </c>
      <c r="S636" s="21" t="s">
        <v>51</v>
      </c>
      <c r="T636" s="21" t="s">
        <v>52</v>
      </c>
      <c r="U636" s="21" t="s">
        <v>52</v>
      </c>
      <c r="V636" s="21" t="s">
        <v>52</v>
      </c>
      <c r="W636" s="69"/>
      <c r="X636" s="46"/>
      <c r="Y636" s="45">
        <v>45954.0</v>
      </c>
      <c r="Z636" s="49">
        <v>0.3541666666666667</v>
      </c>
      <c r="AA636" s="49">
        <v>0.3548611111111111</v>
      </c>
      <c r="AB636" s="29"/>
      <c r="AC636" s="29"/>
      <c r="AD636" s="25">
        <v>0.41180555555555554</v>
      </c>
      <c r="AE636" s="45">
        <v>45954.0</v>
      </c>
      <c r="AF636" s="21" t="s">
        <v>2730</v>
      </c>
      <c r="AG636" s="21" t="s">
        <v>4384</v>
      </c>
      <c r="AH636" s="21" t="s">
        <v>5119</v>
      </c>
      <c r="AI636" s="64" t="str">
        <f>IFERROR(__xludf.DUMMYFUNCTION("IF(OR(W636="""",X636="""",AE636="""",AD636=""""),"""",
   TEXT(
     (
       (AE636+AD636 + IF(AE636+AD636 &lt; W636+X636,1,0)) - (W636+X636)
     )
     - IF(AND(AB636&lt;&gt;"""",AC636&lt;&gt;""""), 
          SUM(ARRAYFORMULA(SPLIT(AC636,"","") - SPLIT(AB636,"",""))"&amp;"), 
          0
       ),
     ""[hh]:mm""
   )
)
"),"")</f>
        <v/>
      </c>
      <c r="AJ636" s="65" t="str">
        <f t="shared" si="9"/>
        <v/>
      </c>
      <c r="AK636" s="66" t="str">
        <f t="shared" si="10"/>
        <v/>
      </c>
    </row>
    <row r="637">
      <c r="A637" s="45">
        <v>45953.0</v>
      </c>
      <c r="B637" s="49">
        <v>0.22013888888888888</v>
      </c>
      <c r="C637" s="45">
        <v>45953.0</v>
      </c>
      <c r="D637" s="49">
        <v>0.29097222222222224</v>
      </c>
      <c r="E637" s="21" t="s">
        <v>5120</v>
      </c>
      <c r="F637" s="21" t="s">
        <v>1843</v>
      </c>
      <c r="G637" s="21" t="s">
        <v>1844</v>
      </c>
      <c r="H637" s="21" t="s">
        <v>2337</v>
      </c>
      <c r="I637" s="21" t="s">
        <v>118</v>
      </c>
      <c r="J637" s="21" t="s">
        <v>4198</v>
      </c>
      <c r="K637" s="21" t="s">
        <v>72</v>
      </c>
      <c r="L637" s="47"/>
      <c r="M637" s="21" t="s">
        <v>5121</v>
      </c>
      <c r="N637" s="21" t="s">
        <v>5122</v>
      </c>
      <c r="O637" s="48" t="s">
        <v>5123</v>
      </c>
      <c r="P637" s="21" t="s">
        <v>75</v>
      </c>
      <c r="Q637" s="24" t="s">
        <v>65</v>
      </c>
      <c r="R637" s="21" t="s">
        <v>5124</v>
      </c>
      <c r="S637" s="21" t="s">
        <v>51</v>
      </c>
      <c r="T637" s="21" t="s">
        <v>5125</v>
      </c>
      <c r="U637" s="21" t="s">
        <v>5126</v>
      </c>
      <c r="V637" s="21" t="s">
        <v>5121</v>
      </c>
      <c r="W637" s="45">
        <v>45954.0</v>
      </c>
      <c r="X637" s="49">
        <v>0.2916666666666667</v>
      </c>
      <c r="Y637" s="45">
        <v>45954.0</v>
      </c>
      <c r="Z637" s="49">
        <v>0.4861111111111111</v>
      </c>
      <c r="AA637" s="49">
        <v>0.5</v>
      </c>
      <c r="AB637" s="29"/>
      <c r="AC637" s="29"/>
      <c r="AD637" s="25">
        <v>0.5416666666666666</v>
      </c>
      <c r="AE637" s="45">
        <v>45954.0</v>
      </c>
      <c r="AF637" s="21" t="s">
        <v>2931</v>
      </c>
      <c r="AG637" s="21" t="s">
        <v>78</v>
      </c>
      <c r="AH637" s="21" t="s">
        <v>5127</v>
      </c>
      <c r="AI637" s="62" t="str">
        <f>IFERROR(__xludf.DUMMYFUNCTION("IF(OR(W637="""",X637="""",AE637="""",AD637=""""),"""",
   TEXT(
     (
       (AE637+AD637 + IF(AE637+AD637 &lt; W637+X637,1,0)) - (W637+X637)
     )
     - IF(AND(AB637&lt;&gt;"""",AC637&lt;&gt;""""), 
          SUM(ARRAYFORMULA(SPLIT(AC637,"","") - SPLIT(AB637,"",""))"&amp;"), 
          0
       ),
     ""[hh]:mm""
   )
)
"),"06:00")</f>
        <v>06:00</v>
      </c>
      <c r="AJ637" s="27">
        <f t="shared" si="9"/>
        <v>0</v>
      </c>
      <c r="AK637" s="63" t="str">
        <f t="shared" si="10"/>
        <v>Pass</v>
      </c>
    </row>
    <row r="638">
      <c r="A638" s="18">
        <v>45954.0</v>
      </c>
      <c r="B638" s="20">
        <v>0.5145833333333333</v>
      </c>
      <c r="C638" s="18">
        <v>45954.0</v>
      </c>
      <c r="D638" s="20">
        <v>0.5201388888888889</v>
      </c>
      <c r="E638" s="22" t="s">
        <v>5128</v>
      </c>
      <c r="F638" s="22" t="s">
        <v>3831</v>
      </c>
      <c r="G638" s="22" t="s">
        <v>3832</v>
      </c>
      <c r="H638" s="22" t="s">
        <v>377</v>
      </c>
      <c r="I638" s="22" t="s">
        <v>234</v>
      </c>
      <c r="J638" s="22" t="s">
        <v>3813</v>
      </c>
      <c r="K638" s="22" t="s">
        <v>61</v>
      </c>
      <c r="L638" s="22" t="s">
        <v>183</v>
      </c>
      <c r="M638" s="22" t="s">
        <v>5129</v>
      </c>
      <c r="N638" s="22" t="s">
        <v>5130</v>
      </c>
      <c r="O638" s="23" t="s">
        <v>5131</v>
      </c>
      <c r="P638" s="22" t="s">
        <v>75</v>
      </c>
      <c r="Q638" s="50" t="s">
        <v>65</v>
      </c>
      <c r="R638" s="22" t="s">
        <v>5132</v>
      </c>
      <c r="S638" s="22" t="s">
        <v>51</v>
      </c>
      <c r="T638" s="22" t="s">
        <v>52</v>
      </c>
      <c r="U638" s="22" t="s">
        <v>52</v>
      </c>
      <c r="V638" s="22" t="s">
        <v>52</v>
      </c>
      <c r="W638" s="18">
        <v>45954.0</v>
      </c>
      <c r="X638" s="20">
        <v>0.5201388888888889</v>
      </c>
      <c r="Y638" s="18">
        <v>45954.0</v>
      </c>
      <c r="Z638" s="20">
        <v>0.8423611111111111</v>
      </c>
      <c r="AA638" s="20">
        <v>0.8638888888888889</v>
      </c>
      <c r="AB638" s="50" t="s">
        <v>5133</v>
      </c>
      <c r="AC638" s="50" t="s">
        <v>5134</v>
      </c>
      <c r="AD638" s="51">
        <v>0.9375</v>
      </c>
      <c r="AE638" s="18">
        <v>45954.0</v>
      </c>
      <c r="AF638" s="22" t="s">
        <v>2744</v>
      </c>
      <c r="AG638" s="22" t="s">
        <v>162</v>
      </c>
      <c r="AH638" s="22" t="s">
        <v>5135</v>
      </c>
      <c r="AI638" s="26" t="str">
        <f>IFERROR(__xludf.DUMMYFUNCTION("IF(OR(W638="""",X638="""",AE638="""",AD638=""""),"""",
   TEXT(
     (
       (AE638+AD638 + IF(AE638+AD638 &lt; W638+X638,1,0)) - (W638+X638)
     )
     - IF(AND(AB638&lt;&gt;"""",AC638&lt;&gt;""""), 
          SUM(ARRAYFORMULA(SPLIT(AC638,"","") - SPLIT(AB638,"",""))"&amp;"), 
          0
       ),
     ""[hh]:mm""
   )
)
"),"09:11")</f>
        <v>09:11</v>
      </c>
      <c r="AJ638" s="55">
        <f t="shared" si="9"/>
        <v>0</v>
      </c>
      <c r="AK638" s="28" t="str">
        <f t="shared" si="10"/>
        <v>Pass</v>
      </c>
    </row>
    <row r="639">
      <c r="A639" s="45">
        <v>45954.0</v>
      </c>
      <c r="B639" s="49">
        <v>0.6152777777777778</v>
      </c>
      <c r="C639" s="45">
        <v>45954.0</v>
      </c>
      <c r="D639" s="49">
        <v>0.61875</v>
      </c>
      <c r="E639" s="21" t="s">
        <v>5136</v>
      </c>
      <c r="F639" s="21" t="s">
        <v>5137</v>
      </c>
      <c r="G639" s="21" t="s">
        <v>5138</v>
      </c>
      <c r="H639" s="21" t="s">
        <v>156</v>
      </c>
      <c r="I639" s="21" t="s">
        <v>616</v>
      </c>
      <c r="J639" s="21" t="s">
        <v>3806</v>
      </c>
      <c r="K639" s="21" t="s">
        <v>43</v>
      </c>
      <c r="L639" s="21" t="s">
        <v>5139</v>
      </c>
      <c r="M639" s="21" t="s">
        <v>5140</v>
      </c>
      <c r="N639" s="21" t="s">
        <v>5141</v>
      </c>
      <c r="O639" s="48" t="s">
        <v>5142</v>
      </c>
      <c r="P639" s="21" t="s">
        <v>75</v>
      </c>
      <c r="Q639" s="24" t="s">
        <v>49</v>
      </c>
      <c r="R639" s="21" t="s">
        <v>5143</v>
      </c>
      <c r="S639" s="21" t="s">
        <v>51</v>
      </c>
      <c r="T639" s="21" t="s">
        <v>52</v>
      </c>
      <c r="U639" s="21" t="s">
        <v>52</v>
      </c>
      <c r="V639" s="21" t="s">
        <v>52</v>
      </c>
      <c r="W639" s="45">
        <v>45954.0</v>
      </c>
      <c r="X639" s="49">
        <v>0.61875</v>
      </c>
      <c r="Y639" s="45">
        <v>45954.0</v>
      </c>
      <c r="Z639" s="49">
        <v>0.6430555555555556</v>
      </c>
      <c r="AA639" s="49">
        <v>0.64375</v>
      </c>
      <c r="AB639" s="29"/>
      <c r="AC639" s="29"/>
      <c r="AD639" s="25">
        <v>0.6791666666666667</v>
      </c>
      <c r="AE639" s="45">
        <v>45954.0</v>
      </c>
      <c r="AF639" s="21" t="s">
        <v>2711</v>
      </c>
      <c r="AG639" s="21" t="s">
        <v>162</v>
      </c>
      <c r="AH639" s="21" t="s">
        <v>103</v>
      </c>
      <c r="AI639" s="62" t="str">
        <f>IFERROR(__xludf.DUMMYFUNCTION("IF(OR(W639="""",X639="""",AE639="""",AD639=""""),"""",
   TEXT(
     (
       (AE639+AD639 + IF(AE639+AD639 &lt; W639+X639,1,0)) - (W639+X639)
     )
     - IF(AND(AB639&lt;&gt;"""",AC639&lt;&gt;""""), 
          SUM(ARRAYFORMULA(SPLIT(AC639,"","") - SPLIT(AB639,"",""))"&amp;"), 
          0
       ),
     ""[hh]:mm""
   )
)
"),"01:27")</f>
        <v>01:27</v>
      </c>
      <c r="AJ639" s="27">
        <f t="shared" si="9"/>
        <v>0</v>
      </c>
      <c r="AK639" s="63" t="str">
        <f t="shared" si="10"/>
        <v>Pass</v>
      </c>
    </row>
    <row r="640">
      <c r="A640" s="45">
        <v>45954.0</v>
      </c>
      <c r="B640" s="49">
        <v>0.6152777777777778</v>
      </c>
      <c r="C640" s="45">
        <v>45954.0</v>
      </c>
      <c r="D640" s="49">
        <v>0.61875</v>
      </c>
      <c r="E640" s="21" t="s">
        <v>5144</v>
      </c>
      <c r="F640" s="21" t="s">
        <v>5137</v>
      </c>
      <c r="G640" s="21" t="s">
        <v>5138</v>
      </c>
      <c r="H640" s="21" t="s">
        <v>156</v>
      </c>
      <c r="I640" s="21" t="s">
        <v>131</v>
      </c>
      <c r="J640" s="21" t="s">
        <v>3806</v>
      </c>
      <c r="K640" s="21" t="s">
        <v>43</v>
      </c>
      <c r="L640" s="21" t="s">
        <v>5139</v>
      </c>
      <c r="M640" s="21" t="s">
        <v>5145</v>
      </c>
      <c r="N640" s="21" t="s">
        <v>5141</v>
      </c>
      <c r="O640" s="48" t="s">
        <v>5146</v>
      </c>
      <c r="P640" s="21" t="s">
        <v>75</v>
      </c>
      <c r="Q640" s="24" t="s">
        <v>49</v>
      </c>
      <c r="R640" s="21" t="s">
        <v>5147</v>
      </c>
      <c r="S640" s="21" t="s">
        <v>51</v>
      </c>
      <c r="T640" s="21" t="s">
        <v>5148</v>
      </c>
      <c r="U640" s="21" t="s">
        <v>5149</v>
      </c>
      <c r="V640" s="21" t="s">
        <v>5145</v>
      </c>
      <c r="W640" s="45">
        <v>45954.0</v>
      </c>
      <c r="X640" s="49">
        <v>0.61875</v>
      </c>
      <c r="Y640" s="45">
        <v>45954.0</v>
      </c>
      <c r="Z640" s="49">
        <v>0.6430555555555556</v>
      </c>
      <c r="AA640" s="49">
        <v>0.64375</v>
      </c>
      <c r="AB640" s="25">
        <v>0.6791666666666667</v>
      </c>
      <c r="AC640" s="25">
        <v>0.7791666666666667</v>
      </c>
      <c r="AD640" s="25">
        <v>0.8020833333333334</v>
      </c>
      <c r="AE640" s="45">
        <v>45954.0</v>
      </c>
      <c r="AF640" s="21" t="s">
        <v>2711</v>
      </c>
      <c r="AG640" s="21" t="s">
        <v>162</v>
      </c>
      <c r="AH640" s="21" t="s">
        <v>103</v>
      </c>
      <c r="AI640" s="62" t="str">
        <f>IFERROR(__xludf.DUMMYFUNCTION("IF(OR(W640="""",X640="""",AE640="""",AD640=""""),"""",
   TEXT(
     (
       (AE640+AD640 + IF(AE640+AD640 &lt; W640+X640,1,0)) - (W640+X640)
     )
     - IF(AND(AB640&lt;&gt;"""",AC640&lt;&gt;""""), 
          SUM(ARRAYFORMULA(SPLIT(AC640,"","") - SPLIT(AB640,"",""))"&amp;"), 
          0
       ),
     ""[hh]:mm""
   )
)
"),"02:00")</f>
        <v>02:00</v>
      </c>
      <c r="AJ640" s="27">
        <f t="shared" si="9"/>
        <v>0</v>
      </c>
      <c r="AK640" s="63" t="str">
        <f t="shared" si="10"/>
        <v>Pass</v>
      </c>
    </row>
    <row r="641">
      <c r="A641" s="45">
        <v>45948.0</v>
      </c>
      <c r="B641" s="49">
        <v>0.65625</v>
      </c>
      <c r="C641" s="45">
        <v>45948.0</v>
      </c>
      <c r="D641" s="91" t="s">
        <v>4905</v>
      </c>
      <c r="E641" s="21" t="s">
        <v>5150</v>
      </c>
      <c r="F641" s="22" t="s">
        <v>1439</v>
      </c>
      <c r="G641" s="22" t="s">
        <v>1440</v>
      </c>
      <c r="H641" s="22" t="s">
        <v>2120</v>
      </c>
      <c r="I641" s="22" t="s">
        <v>95</v>
      </c>
      <c r="J641" s="22" t="s">
        <v>95</v>
      </c>
      <c r="K641" s="22" t="s">
        <v>333</v>
      </c>
      <c r="L641" s="22" t="s">
        <v>5151</v>
      </c>
      <c r="M641" s="22" t="s">
        <v>5152</v>
      </c>
      <c r="N641" s="22" t="s">
        <v>5153</v>
      </c>
      <c r="O641" s="23" t="s">
        <v>5154</v>
      </c>
      <c r="P641" s="22" t="s">
        <v>75</v>
      </c>
      <c r="Q641" s="50" t="s">
        <v>198</v>
      </c>
      <c r="R641" s="22" t="s">
        <v>5155</v>
      </c>
      <c r="S641" s="22" t="s">
        <v>51</v>
      </c>
      <c r="T641" s="22" t="s">
        <v>2125</v>
      </c>
      <c r="U641" s="21" t="s">
        <v>52</v>
      </c>
      <c r="V641" s="21" t="s">
        <v>52</v>
      </c>
      <c r="W641" s="18">
        <v>45955.0</v>
      </c>
      <c r="X641" s="20">
        <v>0.0</v>
      </c>
      <c r="Y641" s="18">
        <v>45955.0</v>
      </c>
      <c r="Z641" s="20">
        <v>0.002777777777777778</v>
      </c>
      <c r="AA641" s="20">
        <v>0.03125</v>
      </c>
      <c r="AB641" s="54"/>
      <c r="AC641" s="54"/>
      <c r="AD641" s="51">
        <v>0.09027777777777778</v>
      </c>
      <c r="AE641" s="18">
        <v>45955.0</v>
      </c>
      <c r="AF641" s="21" t="s">
        <v>4914</v>
      </c>
      <c r="AG641" s="22" t="s">
        <v>209</v>
      </c>
      <c r="AH641" s="22" t="s">
        <v>5156</v>
      </c>
      <c r="AI641" s="26" t="str">
        <f>IFERROR(__xludf.DUMMYFUNCTION("IF(OR(W641="""",X641="""",AE641="""",AD641=""""),"""",
   TEXT(
     (
       (AE641+AD641 + IF(AE641+AD641 &lt; W641+X641,1,0)) - (W641+X641)
     )
     - IF(AND(AB641&lt;&gt;"""",AC641&lt;&gt;""""), 
          SUM(ARRAYFORMULA(SPLIT(AC641,"","") - SPLIT(AB641,"",""))"&amp;"), 
          0
       ),
     ""[hh]:mm""
   )
)
"),"02:10")</f>
        <v>02:10</v>
      </c>
      <c r="AJ641" s="55">
        <f t="shared" si="9"/>
        <v>0</v>
      </c>
      <c r="AK641" s="28" t="str">
        <f t="shared" si="10"/>
        <v>Pass</v>
      </c>
    </row>
    <row r="642">
      <c r="A642" s="18">
        <v>45953.0</v>
      </c>
      <c r="B642" s="20">
        <v>0.7729166666666667</v>
      </c>
      <c r="C642" s="18">
        <v>45953.0</v>
      </c>
      <c r="D642" s="91" t="s">
        <v>4905</v>
      </c>
      <c r="E642" s="22" t="s">
        <v>5157</v>
      </c>
      <c r="F642" s="22" t="s">
        <v>1315</v>
      </c>
      <c r="G642" s="22" t="s">
        <v>1316</v>
      </c>
      <c r="H642" s="22" t="s">
        <v>2120</v>
      </c>
      <c r="I642" s="22" t="s">
        <v>95</v>
      </c>
      <c r="J642" s="22" t="s">
        <v>95</v>
      </c>
      <c r="K642" s="22" t="s">
        <v>333</v>
      </c>
      <c r="L642" s="22" t="s">
        <v>5151</v>
      </c>
      <c r="M642" s="22" t="s">
        <v>5158</v>
      </c>
      <c r="N642" s="22" t="s">
        <v>5159</v>
      </c>
      <c r="O642" s="23" t="s">
        <v>5160</v>
      </c>
      <c r="P642" s="22" t="s">
        <v>75</v>
      </c>
      <c r="Q642" s="50" t="s">
        <v>198</v>
      </c>
      <c r="R642" s="22" t="s">
        <v>5155</v>
      </c>
      <c r="S642" s="22" t="s">
        <v>51</v>
      </c>
      <c r="T642" s="22" t="s">
        <v>2125</v>
      </c>
      <c r="U642" s="22" t="s">
        <v>52</v>
      </c>
      <c r="V642" s="22" t="s">
        <v>52</v>
      </c>
      <c r="W642" s="18">
        <v>45954.0</v>
      </c>
      <c r="X642" s="20">
        <v>0.9583333333333334</v>
      </c>
      <c r="Y642" s="18">
        <v>45954.0</v>
      </c>
      <c r="Z642" s="20">
        <v>0.9548611111111112</v>
      </c>
      <c r="AA642" s="20">
        <v>0.9833333333333333</v>
      </c>
      <c r="AB642" s="54"/>
      <c r="AC642" s="54"/>
      <c r="AD642" s="51">
        <v>0.041666666666666664</v>
      </c>
      <c r="AE642" s="18">
        <v>45955.0</v>
      </c>
      <c r="AF642" s="22" t="s">
        <v>4914</v>
      </c>
      <c r="AG642" s="22" t="s">
        <v>4384</v>
      </c>
      <c r="AH642" s="22" t="s">
        <v>5161</v>
      </c>
      <c r="AI642" s="26" t="str">
        <f>IFERROR(__xludf.DUMMYFUNCTION("IF(OR(W642="""",X642="""",AE642="""",AD642=""""),"""",
   TEXT(
     (
       (AE642+AD642 + IF(AE642+AD642 &lt; W642+X642,1,0)) - (W642+X642)
     )
     - IF(AND(AB642&lt;&gt;"""",AC642&lt;&gt;""""), 
          SUM(ARRAYFORMULA(SPLIT(AC642,"","") - SPLIT(AB642,"",""))"&amp;"), 
          0
       ),
     ""[hh]:mm""
   )
)
"),"02:00")</f>
        <v>02:00</v>
      </c>
      <c r="AJ642" s="55">
        <f t="shared" si="9"/>
        <v>0</v>
      </c>
      <c r="AK642" s="28" t="str">
        <f t="shared" si="10"/>
        <v>Pass</v>
      </c>
    </row>
    <row r="643">
      <c r="A643" s="45">
        <v>45954.0</v>
      </c>
      <c r="B643" s="49">
        <v>0.4423611111111111</v>
      </c>
      <c r="C643" s="45">
        <v>45954.0</v>
      </c>
      <c r="D643" s="91" t="s">
        <v>4905</v>
      </c>
      <c r="E643" s="21" t="s">
        <v>5162</v>
      </c>
      <c r="F643" s="21" t="s">
        <v>3756</v>
      </c>
      <c r="G643" s="21" t="s">
        <v>3757</v>
      </c>
      <c r="H643" s="21" t="s">
        <v>2120</v>
      </c>
      <c r="I643" s="21" t="s">
        <v>95</v>
      </c>
      <c r="J643" s="21" t="s">
        <v>95</v>
      </c>
      <c r="K643" s="21" t="s">
        <v>333</v>
      </c>
      <c r="L643" s="21" t="s">
        <v>5151</v>
      </c>
      <c r="M643" s="21" t="s">
        <v>5163</v>
      </c>
      <c r="N643" s="21" t="s">
        <v>5164</v>
      </c>
      <c r="O643" s="48" t="s">
        <v>5165</v>
      </c>
      <c r="P643" s="21" t="s">
        <v>75</v>
      </c>
      <c r="Q643" s="24" t="s">
        <v>198</v>
      </c>
      <c r="R643" s="21" t="s">
        <v>5155</v>
      </c>
      <c r="S643" s="21" t="s">
        <v>51</v>
      </c>
      <c r="T643" s="21" t="s">
        <v>2125</v>
      </c>
      <c r="U643" s="21" t="s">
        <v>52</v>
      </c>
      <c r="V643" s="21" t="s">
        <v>52</v>
      </c>
      <c r="W643" s="45">
        <v>45957.0</v>
      </c>
      <c r="X643" s="49">
        <v>1.0</v>
      </c>
      <c r="Y643" s="45">
        <v>45957.0</v>
      </c>
      <c r="Z643" s="49">
        <v>1.0069444444444444</v>
      </c>
      <c r="AA643" s="49">
        <v>0.04861111111111111</v>
      </c>
      <c r="AB643" s="29"/>
      <c r="AC643" s="29"/>
      <c r="AD643" s="25">
        <v>0.10416666666666667</v>
      </c>
      <c r="AE643" s="45">
        <v>45958.0</v>
      </c>
      <c r="AF643" s="21" t="s">
        <v>4914</v>
      </c>
      <c r="AG643" s="21" t="s">
        <v>2086</v>
      </c>
      <c r="AH643" s="21" t="s">
        <v>5166</v>
      </c>
      <c r="AI643" s="62" t="str">
        <f>IFERROR(__xludf.DUMMYFUNCTION("IF(OR(W643="""",X643="""",AE643="""",AD643=""""),"""",
   TEXT(
     (
       (AE643+AD643 + IF(AE643+AD643 &lt; W643+X643,1,0)) - (W643+X643)
     )
     - IF(AND(AB643&lt;&gt;"""",AC643&lt;&gt;""""), 
          SUM(ARRAYFORMULA(SPLIT(AC643,"","") - SPLIT(AB643,"",""))"&amp;"), 
          0
       ),
     ""[hh]:mm""
   )
)
"),"02:30")</f>
        <v>02:30</v>
      </c>
      <c r="AJ643" s="27">
        <f t="shared" si="9"/>
        <v>0</v>
      </c>
      <c r="AK643" s="63" t="str">
        <f t="shared" si="10"/>
        <v>Pass</v>
      </c>
    </row>
    <row r="644">
      <c r="A644" s="18">
        <v>45953.0</v>
      </c>
      <c r="B644" s="20">
        <v>0.5944444444444444</v>
      </c>
      <c r="C644" s="18">
        <v>45953.0</v>
      </c>
      <c r="D644" s="20">
        <v>0.6111111111111112</v>
      </c>
      <c r="E644" s="22" t="s">
        <v>5167</v>
      </c>
      <c r="F644" s="22" t="s">
        <v>1555</v>
      </c>
      <c r="G644" s="22" t="s">
        <v>5168</v>
      </c>
      <c r="H644" s="22" t="s">
        <v>5169</v>
      </c>
      <c r="I644" s="22" t="s">
        <v>616</v>
      </c>
      <c r="J644" s="22" t="s">
        <v>3806</v>
      </c>
      <c r="K644" s="22" t="s">
        <v>43</v>
      </c>
      <c r="L644" s="22" t="s">
        <v>805</v>
      </c>
      <c r="M644" s="22" t="s">
        <v>5170</v>
      </c>
      <c r="N644" s="22" t="s">
        <v>5171</v>
      </c>
      <c r="O644" s="23" t="s">
        <v>5172</v>
      </c>
      <c r="P644" s="22" t="s">
        <v>75</v>
      </c>
      <c r="Q644" s="50" t="s">
        <v>65</v>
      </c>
      <c r="R644" s="22" t="s">
        <v>5173</v>
      </c>
      <c r="S644" s="22" t="s">
        <v>51</v>
      </c>
      <c r="T644" s="22" t="s">
        <v>2253</v>
      </c>
      <c r="U644" s="22" t="s">
        <v>5174</v>
      </c>
      <c r="V644" s="22" t="s">
        <v>5170</v>
      </c>
      <c r="W644" s="18">
        <v>45955.0</v>
      </c>
      <c r="X644" s="20">
        <v>0.3590277777777778</v>
      </c>
      <c r="Y644" s="18">
        <v>45955.0</v>
      </c>
      <c r="Z644" s="20">
        <v>0.4201388888888889</v>
      </c>
      <c r="AA644" s="20">
        <v>0.4236111111111111</v>
      </c>
      <c r="AB644" s="54"/>
      <c r="AC644" s="54"/>
      <c r="AD644" s="51">
        <v>0.5208333333333334</v>
      </c>
      <c r="AE644" s="18">
        <v>45955.0</v>
      </c>
      <c r="AF644" s="22" t="s">
        <v>2744</v>
      </c>
      <c r="AG644" s="22" t="s">
        <v>3328</v>
      </c>
      <c r="AH644" s="22" t="s">
        <v>5175</v>
      </c>
      <c r="AI644" s="26" t="str">
        <f>IFERROR(__xludf.DUMMYFUNCTION("IF(OR(W644="""",X644="""",AE644="""",AD644=""""),"""",
   TEXT(
     (
       (AE644+AD644 + IF(AE644+AD644 &lt; W644+X644,1,0)) - (W644+X644)
     )
     - IF(AND(AB644&lt;&gt;"""",AC644&lt;&gt;""""), 
          SUM(ARRAYFORMULA(SPLIT(AC644,"","") - SPLIT(AB644,"",""))"&amp;"), 
          0
       ),
     ""[hh]:mm""
   )
)
"),"03:53")</f>
        <v>03:53</v>
      </c>
      <c r="AJ644" s="55">
        <f t="shared" si="9"/>
        <v>0</v>
      </c>
      <c r="AK644" s="28" t="str">
        <f t="shared" si="10"/>
        <v>Pass</v>
      </c>
    </row>
    <row r="645">
      <c r="A645" s="18">
        <v>45954.0</v>
      </c>
      <c r="B645" s="20">
        <v>0.7111111111111111</v>
      </c>
      <c r="C645" s="18">
        <v>45954.0</v>
      </c>
      <c r="D645" s="20">
        <v>0.7201388888888889</v>
      </c>
      <c r="E645" s="22" t="s">
        <v>5176</v>
      </c>
      <c r="F645" s="22" t="s">
        <v>5177</v>
      </c>
      <c r="G645" s="22" t="s">
        <v>5178</v>
      </c>
      <c r="H645" s="22" t="s">
        <v>130</v>
      </c>
      <c r="I645" s="22" t="s">
        <v>60</v>
      </c>
      <c r="J645" s="22" t="s">
        <v>3813</v>
      </c>
      <c r="K645" s="22" t="s">
        <v>61</v>
      </c>
      <c r="L645" s="22" t="s">
        <v>183</v>
      </c>
      <c r="M645" s="22" t="s">
        <v>5179</v>
      </c>
      <c r="N645" s="22" t="s">
        <v>3614</v>
      </c>
      <c r="O645" s="23" t="s">
        <v>5180</v>
      </c>
      <c r="P645" s="22" t="s">
        <v>75</v>
      </c>
      <c r="Q645" s="50" t="s">
        <v>65</v>
      </c>
      <c r="R645" s="22" t="s">
        <v>188</v>
      </c>
      <c r="S645" s="22" t="s">
        <v>51</v>
      </c>
      <c r="T645" s="22" t="s">
        <v>52</v>
      </c>
      <c r="U645" s="22" t="s">
        <v>52</v>
      </c>
      <c r="V645" s="22" t="s">
        <v>52</v>
      </c>
      <c r="W645" s="18">
        <v>45954.0</v>
      </c>
      <c r="X645" s="20">
        <v>0.7201388888888889</v>
      </c>
      <c r="Y645" s="18">
        <v>45955.0</v>
      </c>
      <c r="Z645" s="20">
        <v>0.40694444444444444</v>
      </c>
      <c r="AA645" s="20">
        <v>0.4097222222222222</v>
      </c>
      <c r="AB645" s="54"/>
      <c r="AC645" s="54"/>
      <c r="AD645" s="51">
        <v>0.4583333333333333</v>
      </c>
      <c r="AE645" s="18">
        <v>45955.0</v>
      </c>
      <c r="AF645" s="22" t="s">
        <v>2711</v>
      </c>
      <c r="AG645" s="22" t="s">
        <v>284</v>
      </c>
      <c r="AH645" s="22" t="s">
        <v>5181</v>
      </c>
      <c r="AI645" s="26" t="str">
        <f>IFERROR(__xludf.DUMMYFUNCTION("IF(OR(W645="""",X645="""",AE645="""",AD645=""""),"""",
   TEXT(
     (
       (AE645+AD645 + IF(AE645+AD645 &lt; W645+X645,1,0)) - (W645+X645)
     )
     - IF(AND(AB645&lt;&gt;"""",AC645&lt;&gt;""""), 
          SUM(ARRAYFORMULA(SPLIT(AC645,"","") - SPLIT(AB645,"",""))"&amp;"), 
          0
       ),
     ""[hh]:mm""
   )
)
"),"17:43")</f>
        <v>17:43</v>
      </c>
      <c r="AJ645" s="55">
        <f t="shared" si="9"/>
        <v>0.2381944444</v>
      </c>
      <c r="AK645" s="28" t="str">
        <f t="shared" si="10"/>
        <v>Fail</v>
      </c>
    </row>
    <row r="646">
      <c r="A646" s="18">
        <v>45954.0</v>
      </c>
      <c r="B646" s="20">
        <v>0.8569444444444444</v>
      </c>
      <c r="C646" s="18">
        <v>45954.0</v>
      </c>
      <c r="D646" s="20">
        <v>0.8625</v>
      </c>
      <c r="E646" s="22" t="s">
        <v>5182</v>
      </c>
      <c r="F646" s="22" t="s">
        <v>2193</v>
      </c>
      <c r="G646" s="22" t="s">
        <v>5183</v>
      </c>
      <c r="H646" s="22" t="s">
        <v>2337</v>
      </c>
      <c r="I646" s="22" t="s">
        <v>118</v>
      </c>
      <c r="J646" s="22" t="s">
        <v>3991</v>
      </c>
      <c r="K646" s="22" t="s">
        <v>43</v>
      </c>
      <c r="L646" s="22" t="s">
        <v>120</v>
      </c>
      <c r="M646" s="22" t="s">
        <v>5184</v>
      </c>
      <c r="N646" s="22" t="s">
        <v>5185</v>
      </c>
      <c r="O646" s="23" t="s">
        <v>5186</v>
      </c>
      <c r="P646" s="22" t="s">
        <v>75</v>
      </c>
      <c r="Q646" s="50" t="s">
        <v>65</v>
      </c>
      <c r="R646" s="22" t="s">
        <v>5187</v>
      </c>
      <c r="S646" s="22" t="s">
        <v>51</v>
      </c>
      <c r="T646" s="22" t="s">
        <v>52</v>
      </c>
      <c r="U646" s="22" t="s">
        <v>52</v>
      </c>
      <c r="V646" s="22" t="s">
        <v>52</v>
      </c>
      <c r="W646" s="18">
        <v>45955.0</v>
      </c>
      <c r="X646" s="20">
        <v>0.375</v>
      </c>
      <c r="Y646" s="18">
        <v>45955.0</v>
      </c>
      <c r="Z646" s="75">
        <v>0.47708333333333336</v>
      </c>
      <c r="AA646" s="20">
        <v>0.4791666666666667</v>
      </c>
      <c r="AB646" s="54"/>
      <c r="AC646" s="54"/>
      <c r="AD646" s="51">
        <v>0.4930555555555556</v>
      </c>
      <c r="AE646" s="18">
        <v>45955.0</v>
      </c>
      <c r="AF646" s="22" t="s">
        <v>2711</v>
      </c>
      <c r="AG646" s="22" t="s">
        <v>102</v>
      </c>
      <c r="AH646" s="22" t="s">
        <v>5101</v>
      </c>
      <c r="AI646" s="26" t="str">
        <f>IFERROR(__xludf.DUMMYFUNCTION("IF(OR(W646="""",X646="""",AE646="""",AD646=""""),"""",
   TEXT(
     (
       (AE646+AD646 + IF(AE646+AD646 &lt; W646+X646,1,0)) - (W646+X646)
     )
     - IF(AND(AB646&lt;&gt;"""",AC646&lt;&gt;""""), 
          SUM(ARRAYFORMULA(SPLIT(AC646,"","") - SPLIT(AB646,"",""))"&amp;"), 
          0
       ),
     ""[hh]:mm""
   )
)
"),"02:50")</f>
        <v>02:50</v>
      </c>
      <c r="AJ646" s="55">
        <f t="shared" si="9"/>
        <v>0</v>
      </c>
      <c r="AK646" s="28" t="str">
        <f t="shared" si="10"/>
        <v>Pass</v>
      </c>
    </row>
    <row r="647">
      <c r="A647" s="45">
        <v>45955.0</v>
      </c>
      <c r="B647" s="49">
        <v>0.3229166666666667</v>
      </c>
      <c r="C647" s="45">
        <v>45955.0</v>
      </c>
      <c r="D647" s="49">
        <v>0.35555555555555557</v>
      </c>
      <c r="E647" s="21" t="s">
        <v>5188</v>
      </c>
      <c r="F647" s="21" t="s">
        <v>3922</v>
      </c>
      <c r="G647" s="21" t="s">
        <v>3923</v>
      </c>
      <c r="H647" s="21" t="s">
        <v>1610</v>
      </c>
      <c r="I647" s="21" t="s">
        <v>1612</v>
      </c>
      <c r="J647" s="21" t="s">
        <v>1612</v>
      </c>
      <c r="K647" s="21" t="s">
        <v>143</v>
      </c>
      <c r="L647" s="21" t="s">
        <v>5189</v>
      </c>
      <c r="M647" s="21" t="s">
        <v>5190</v>
      </c>
      <c r="N647" s="21" t="s">
        <v>5191</v>
      </c>
      <c r="O647" s="48" t="s">
        <v>5192</v>
      </c>
      <c r="P647" s="21" t="s">
        <v>187</v>
      </c>
      <c r="Q647" s="24" t="s">
        <v>65</v>
      </c>
      <c r="R647" s="21" t="s">
        <v>5193</v>
      </c>
      <c r="S647" s="21" t="s">
        <v>51</v>
      </c>
      <c r="T647" s="21" t="s">
        <v>52</v>
      </c>
      <c r="U647" s="21" t="s">
        <v>52</v>
      </c>
      <c r="V647" s="21" t="s">
        <v>52</v>
      </c>
      <c r="W647" s="45">
        <v>45955.0</v>
      </c>
      <c r="X647" s="49">
        <v>0.35555555555555557</v>
      </c>
      <c r="Y647" s="45">
        <v>45955.0</v>
      </c>
      <c r="Z647" s="49">
        <v>0.4583333333333333</v>
      </c>
      <c r="AA647" s="49">
        <v>0.4618055555555556</v>
      </c>
      <c r="AB647" s="24" t="s">
        <v>5194</v>
      </c>
      <c r="AC647" s="24" t="s">
        <v>5195</v>
      </c>
      <c r="AD647" s="25">
        <v>0.6604166666666667</v>
      </c>
      <c r="AE647" s="45">
        <v>45955.0</v>
      </c>
      <c r="AF647" s="21" t="s">
        <v>3229</v>
      </c>
      <c r="AG647" s="21" t="s">
        <v>293</v>
      </c>
      <c r="AH647" s="21" t="s">
        <v>3929</v>
      </c>
      <c r="AI647" s="62" t="str">
        <f>IFERROR(__xludf.DUMMYFUNCTION("IF(OR(W647="""",X647="""",AE647="""",AD647=""""),"""",
   TEXT(
     (
       (AE647+AD647 + IF(AE647+AD647 &lt; W647+X647,1,0)) - (W647+X647)
     )
     - IF(AND(AB647&lt;&gt;"""",AC647&lt;&gt;""""), 
          SUM(ARRAYFORMULA(SPLIT(AC647,"","") - SPLIT(AB647,"",""))"&amp;"), 
          0
       ),
     ""[hh]:mm""
   )
)
"),"05:24")</f>
        <v>05:24</v>
      </c>
      <c r="AJ647" s="27">
        <f t="shared" si="9"/>
        <v>0</v>
      </c>
      <c r="AK647" s="63" t="str">
        <f t="shared" si="10"/>
        <v>Pass</v>
      </c>
    </row>
    <row r="648">
      <c r="A648" s="18">
        <v>45955.0</v>
      </c>
      <c r="B648" s="20">
        <v>0.4125</v>
      </c>
      <c r="C648" s="18">
        <v>45955.0</v>
      </c>
      <c r="D648" s="20">
        <v>0.44166666666666665</v>
      </c>
      <c r="E648" s="22" t="s">
        <v>5196</v>
      </c>
      <c r="F648" s="22" t="s">
        <v>2055</v>
      </c>
      <c r="G648" s="22" t="s">
        <v>2056</v>
      </c>
      <c r="H648" s="22" t="s">
        <v>244</v>
      </c>
      <c r="I648" s="22" t="s">
        <v>991</v>
      </c>
      <c r="J648" s="22" t="s">
        <v>3806</v>
      </c>
      <c r="K648" s="22" t="s">
        <v>386</v>
      </c>
      <c r="L648" s="22" t="s">
        <v>52</v>
      </c>
      <c r="M648" s="22" t="s">
        <v>5197</v>
      </c>
      <c r="N648" s="22" t="s">
        <v>5198</v>
      </c>
      <c r="O648" s="23" t="s">
        <v>5199</v>
      </c>
      <c r="P648" s="22" t="s">
        <v>48</v>
      </c>
      <c r="Q648" s="50" t="s">
        <v>49</v>
      </c>
      <c r="R648" s="22" t="s">
        <v>5200</v>
      </c>
      <c r="S648" s="22" t="s">
        <v>51</v>
      </c>
      <c r="T648" s="22" t="s">
        <v>52</v>
      </c>
      <c r="U648" s="22" t="s">
        <v>52</v>
      </c>
      <c r="V648" s="22" t="s">
        <v>52</v>
      </c>
      <c r="W648" s="18">
        <v>45955.0</v>
      </c>
      <c r="X648" s="20">
        <v>0.44166666666666665</v>
      </c>
      <c r="Y648" s="18">
        <v>45955.0</v>
      </c>
      <c r="Z648" s="20">
        <v>0.5173611111111112</v>
      </c>
      <c r="AA648" s="20">
        <v>0.5194444444444445</v>
      </c>
      <c r="AB648" s="51">
        <v>0.5243055555555556</v>
      </c>
      <c r="AC648" s="51">
        <v>0.5652777777777778</v>
      </c>
      <c r="AD648" s="51">
        <v>0.5652777777777778</v>
      </c>
      <c r="AE648" s="18">
        <v>45955.0</v>
      </c>
      <c r="AF648" s="22" t="s">
        <v>2819</v>
      </c>
      <c r="AG648" s="22" t="s">
        <v>4384</v>
      </c>
      <c r="AH648" s="22" t="s">
        <v>5201</v>
      </c>
      <c r="AI648" s="26" t="str">
        <f>IFERROR(__xludf.DUMMYFUNCTION("IF(OR(W648="""",X648="""",AE648="""",AD648=""""),"""",
   TEXT(
     (
       (AE648+AD648 + IF(AE648+AD648 &lt; W648+X648,1,0)) - (W648+X648)
     )
     - IF(AND(AB648&lt;&gt;"""",AC648&lt;&gt;""""), 
          SUM(ARRAYFORMULA(SPLIT(AC648,"","") - SPLIT(AB648,"",""))"&amp;"), 
          0
       ),
     ""[hh]:mm""
   )
)
"),"01:59")</f>
        <v>01:59</v>
      </c>
      <c r="AJ648" s="55">
        <f t="shared" si="9"/>
        <v>0</v>
      </c>
      <c r="AK648" s="28" t="str">
        <f t="shared" si="10"/>
        <v>Pass</v>
      </c>
    </row>
    <row r="649">
      <c r="A649" s="45">
        <v>45955.0</v>
      </c>
      <c r="B649" s="49">
        <v>0.4756944444444444</v>
      </c>
      <c r="C649" s="45">
        <v>45955.0</v>
      </c>
      <c r="D649" s="49">
        <v>0.48541666666666666</v>
      </c>
      <c r="E649" s="21" t="s">
        <v>5202</v>
      </c>
      <c r="F649" s="21" t="s">
        <v>5203</v>
      </c>
      <c r="G649" s="21" t="s">
        <v>5204</v>
      </c>
      <c r="H649" s="21" t="s">
        <v>2184</v>
      </c>
      <c r="I649" s="21" t="s">
        <v>95</v>
      </c>
      <c r="J649" s="21" t="s">
        <v>95</v>
      </c>
      <c r="K649" s="21" t="s">
        <v>386</v>
      </c>
      <c r="L649" s="21" t="s">
        <v>2478</v>
      </c>
      <c r="M649" s="21" t="s">
        <v>5205</v>
      </c>
      <c r="N649" s="21" t="s">
        <v>5206</v>
      </c>
      <c r="O649" s="48" t="s">
        <v>5207</v>
      </c>
      <c r="P649" s="21" t="s">
        <v>48</v>
      </c>
      <c r="Q649" s="24" t="s">
        <v>49</v>
      </c>
      <c r="R649" s="21" t="s">
        <v>5208</v>
      </c>
      <c r="S649" s="21" t="s">
        <v>51</v>
      </c>
      <c r="T649" s="21" t="s">
        <v>52</v>
      </c>
      <c r="U649" s="21" t="s">
        <v>52</v>
      </c>
      <c r="V649" s="21" t="s">
        <v>52</v>
      </c>
      <c r="W649" s="45">
        <v>45955.0</v>
      </c>
      <c r="X649" s="49">
        <v>0.48541666666666666</v>
      </c>
      <c r="Y649" s="45">
        <v>45955.0</v>
      </c>
      <c r="Z649" s="49">
        <v>0.5166666666666667</v>
      </c>
      <c r="AA649" s="49">
        <v>0.5194444444444445</v>
      </c>
      <c r="AB649" s="25">
        <v>0.5833333333333334</v>
      </c>
      <c r="AC649" s="25">
        <v>0.6111111111111112</v>
      </c>
      <c r="AD649" s="25">
        <v>0.625</v>
      </c>
      <c r="AE649" s="45">
        <v>45955.0</v>
      </c>
      <c r="AF649" s="21" t="s">
        <v>2744</v>
      </c>
      <c r="AG649" s="21" t="s">
        <v>113</v>
      </c>
      <c r="AH649" s="21" t="s">
        <v>5209</v>
      </c>
      <c r="AI649" s="62" t="str">
        <f>IFERROR(__xludf.DUMMYFUNCTION("IF(OR(W649="""",X649="""",AE649="""",AD649=""""),"""",
   TEXT(
     (
       (AE649+AD649 + IF(AE649+AD649 &lt; W649+X649,1,0)) - (W649+X649)
     )
     - IF(AND(AB649&lt;&gt;"""",AC649&lt;&gt;""""), 
          SUM(ARRAYFORMULA(SPLIT(AC649,"","") - SPLIT(AB649,"",""))"&amp;"), 
          0
       ),
     ""[hh]:mm""
   )
)
"),"02:41")</f>
        <v>02:41</v>
      </c>
      <c r="AJ649" s="27">
        <f t="shared" si="9"/>
        <v>0</v>
      </c>
      <c r="AK649" s="63" t="str">
        <f t="shared" si="10"/>
        <v>Pass</v>
      </c>
    </row>
    <row r="650">
      <c r="A650" s="45">
        <v>45955.0</v>
      </c>
      <c r="B650" s="49">
        <v>0.5368055555555555</v>
      </c>
      <c r="C650" s="45">
        <v>45955.0</v>
      </c>
      <c r="D650" s="49">
        <v>0.5381944444444444</v>
      </c>
      <c r="E650" s="21" t="s">
        <v>5210</v>
      </c>
      <c r="F650" s="21" t="s">
        <v>3275</v>
      </c>
      <c r="G650" s="21" t="s">
        <v>3276</v>
      </c>
      <c r="H650" s="21" t="s">
        <v>130</v>
      </c>
      <c r="I650" s="21" t="s">
        <v>95</v>
      </c>
      <c r="J650" s="21" t="s">
        <v>95</v>
      </c>
      <c r="K650" s="21" t="s">
        <v>333</v>
      </c>
      <c r="L650" s="21" t="s">
        <v>5211</v>
      </c>
      <c r="M650" s="21" t="s">
        <v>3278</v>
      </c>
      <c r="N650" s="21" t="s">
        <v>4731</v>
      </c>
      <c r="O650" s="48" t="s">
        <v>5212</v>
      </c>
      <c r="P650" s="21" t="s">
        <v>48</v>
      </c>
      <c r="Q650" s="24" t="s">
        <v>49</v>
      </c>
      <c r="R650" s="21" t="s">
        <v>5213</v>
      </c>
      <c r="S650" s="21" t="s">
        <v>51</v>
      </c>
      <c r="T650" s="21" t="s">
        <v>52</v>
      </c>
      <c r="U650" s="21" t="s">
        <v>52</v>
      </c>
      <c r="V650" s="21" t="s">
        <v>52</v>
      </c>
      <c r="W650" s="45">
        <v>45955.0</v>
      </c>
      <c r="X650" s="49">
        <v>0.5381944444444444</v>
      </c>
      <c r="Y650" s="45">
        <v>45955.0</v>
      </c>
      <c r="Z650" s="49">
        <v>0.5819444444444445</v>
      </c>
      <c r="AA650" s="49">
        <v>0.5868055555555556</v>
      </c>
      <c r="AB650" s="29"/>
      <c r="AC650" s="29"/>
      <c r="AD650" s="25">
        <v>0.6666666666666666</v>
      </c>
      <c r="AE650" s="45">
        <v>45955.0</v>
      </c>
      <c r="AF650" s="21" t="s">
        <v>2819</v>
      </c>
      <c r="AG650" s="21" t="s">
        <v>151</v>
      </c>
      <c r="AH650" s="21" t="s">
        <v>3219</v>
      </c>
      <c r="AI650" s="62" t="str">
        <f>IFERROR(__xludf.DUMMYFUNCTION("IF(OR(W650="""",X650="""",AE650="""",AD650=""""),"""",
   TEXT(
     (
       (AE650+AD650 + IF(AE650+AD650 &lt; W650+X650,1,0)) - (W650+X650)
     )
     - IF(AND(AB650&lt;&gt;"""",AC650&lt;&gt;""""), 
          SUM(ARRAYFORMULA(SPLIT(AC650,"","") - SPLIT(AB650,"",""))"&amp;"), 
          0
       ),
     ""[hh]:mm""
   )
)
"),"03:05")</f>
        <v>03:05</v>
      </c>
      <c r="AJ650" s="27">
        <f t="shared" si="9"/>
        <v>0</v>
      </c>
      <c r="AK650" s="63" t="str">
        <f t="shared" si="10"/>
        <v>Pass</v>
      </c>
    </row>
    <row r="651">
      <c r="A651" s="18">
        <v>45950.0</v>
      </c>
      <c r="B651" s="20">
        <v>0.6847222222222222</v>
      </c>
      <c r="C651" s="18">
        <v>45950.0</v>
      </c>
      <c r="D651" s="91" t="s">
        <v>4905</v>
      </c>
      <c r="E651" s="22" t="s">
        <v>5214</v>
      </c>
      <c r="F651" s="22" t="s">
        <v>1766</v>
      </c>
      <c r="G651" s="22" t="s">
        <v>5215</v>
      </c>
      <c r="H651" s="22" t="s">
        <v>4908</v>
      </c>
      <c r="I651" s="22" t="s">
        <v>95</v>
      </c>
      <c r="J651" s="22" t="s">
        <v>95</v>
      </c>
      <c r="K651" s="22" t="s">
        <v>143</v>
      </c>
      <c r="L651" s="22" t="s">
        <v>606</v>
      </c>
      <c r="M651" s="22" t="s">
        <v>5216</v>
      </c>
      <c r="N651" s="22" t="s">
        <v>5217</v>
      </c>
      <c r="O651" s="23" t="s">
        <v>5218</v>
      </c>
      <c r="P651" s="22" t="s">
        <v>75</v>
      </c>
      <c r="Q651" s="50" t="s">
        <v>198</v>
      </c>
      <c r="R651" s="22" t="s">
        <v>5094</v>
      </c>
      <c r="S651" s="22" t="s">
        <v>51</v>
      </c>
      <c r="T651" s="22" t="s">
        <v>5071</v>
      </c>
      <c r="U651" s="22" t="s">
        <v>52</v>
      </c>
      <c r="V651" s="22" t="s">
        <v>52</v>
      </c>
      <c r="W651" s="18">
        <v>45956.0</v>
      </c>
      <c r="X651" s="20">
        <v>0.08333333333333333</v>
      </c>
      <c r="Y651" s="18">
        <v>45956.0</v>
      </c>
      <c r="Z651" s="20">
        <v>0.10625</v>
      </c>
      <c r="AA651" s="20">
        <v>0.14583333333333334</v>
      </c>
      <c r="AB651" s="50" t="s">
        <v>5219</v>
      </c>
      <c r="AC651" s="50" t="s">
        <v>5220</v>
      </c>
      <c r="AD651" s="51">
        <v>0.3034722222222222</v>
      </c>
      <c r="AE651" s="18">
        <v>45956.0</v>
      </c>
      <c r="AF651" s="22" t="s">
        <v>4914</v>
      </c>
      <c r="AG651" s="22" t="s">
        <v>3191</v>
      </c>
      <c r="AH651" s="22" t="s">
        <v>5221</v>
      </c>
      <c r="AI651" s="26" t="str">
        <f>IFERROR(__xludf.DUMMYFUNCTION("IF(OR(W651="""",X651="""",AE651="""",AD651=""""),"""",
   TEXT(
     (
       (AE651+AD651 + IF(AE651+AD651 &lt; W651+X651,1,0)) - (W651+X651)
     )
     - IF(AND(AB651&lt;&gt;"""",AC651&lt;&gt;""""), 
          SUM(ARRAYFORMULA(SPLIT(AC651,"","") - SPLIT(AB651,"",""))"&amp;"), 
          0
       ),
     ""[hh]:mm""
   )
)
"),"04:30")</f>
        <v>04:30</v>
      </c>
      <c r="AJ651" s="55">
        <f t="shared" si="9"/>
        <v>0</v>
      </c>
      <c r="AK651" s="28" t="str">
        <f t="shared" si="10"/>
        <v>Pass</v>
      </c>
    </row>
    <row r="652">
      <c r="A652" s="18">
        <v>45954.0</v>
      </c>
      <c r="B652" s="20">
        <v>0.3486111111111111</v>
      </c>
      <c r="C652" s="18">
        <v>45954.0</v>
      </c>
      <c r="D652" s="91" t="s">
        <v>4905</v>
      </c>
      <c r="E652" s="22" t="s">
        <v>5222</v>
      </c>
      <c r="F652" s="22" t="s">
        <v>3221</v>
      </c>
      <c r="G652" s="22" t="s">
        <v>3222</v>
      </c>
      <c r="H652" s="22" t="s">
        <v>2120</v>
      </c>
      <c r="I652" s="22" t="s">
        <v>95</v>
      </c>
      <c r="J652" s="22" t="s">
        <v>95</v>
      </c>
      <c r="K652" s="22" t="s">
        <v>333</v>
      </c>
      <c r="L652" s="22" t="s">
        <v>5223</v>
      </c>
      <c r="M652" s="22" t="s">
        <v>3225</v>
      </c>
      <c r="N652" s="22" t="s">
        <v>5224</v>
      </c>
      <c r="O652" s="23" t="s">
        <v>5225</v>
      </c>
      <c r="P652" s="22" t="s">
        <v>75</v>
      </c>
      <c r="Q652" s="50" t="s">
        <v>198</v>
      </c>
      <c r="R652" s="22" t="s">
        <v>5155</v>
      </c>
      <c r="S652" s="22" t="s">
        <v>51</v>
      </c>
      <c r="T652" s="22" t="s">
        <v>2125</v>
      </c>
      <c r="U652" s="22" t="s">
        <v>52</v>
      </c>
      <c r="V652" s="22" t="s">
        <v>52</v>
      </c>
      <c r="W652" s="18">
        <v>45956.0</v>
      </c>
      <c r="X652" s="20">
        <v>0.0</v>
      </c>
      <c r="Y652" s="18">
        <v>45955.0</v>
      </c>
      <c r="Z652" s="20">
        <v>0.9916666666666667</v>
      </c>
      <c r="AA652" s="20">
        <v>0.020833333333333332</v>
      </c>
      <c r="AB652" s="54"/>
      <c r="AC652" s="54"/>
      <c r="AD652" s="51">
        <v>0.0625</v>
      </c>
      <c r="AE652" s="18">
        <v>45956.0</v>
      </c>
      <c r="AF652" s="22" t="s">
        <v>4914</v>
      </c>
      <c r="AG652" s="22" t="s">
        <v>2086</v>
      </c>
      <c r="AH652" s="22" t="s">
        <v>5226</v>
      </c>
      <c r="AI652" s="26" t="str">
        <f>IFERROR(__xludf.DUMMYFUNCTION("IF(OR(W652="""",X652="""",AE652="""",AD652=""""),"""",
   TEXT(
     (
       (AE652+AD652 + IF(AE652+AD652 &lt; W652+X652,1,0)) - (W652+X652)
     )
     - IF(AND(AB652&lt;&gt;"""",AC652&lt;&gt;""""), 
          SUM(ARRAYFORMULA(SPLIT(AC652,"","") - SPLIT(AB652,"",""))"&amp;"), 
          0
       ),
     ""[hh]:mm""
   )
)
"),"01:30")</f>
        <v>01:30</v>
      </c>
      <c r="AJ652" s="55">
        <f t="shared" si="9"/>
        <v>0</v>
      </c>
      <c r="AK652" s="28" t="str">
        <f t="shared" si="10"/>
        <v>Pass</v>
      </c>
    </row>
    <row r="653">
      <c r="A653" s="45">
        <v>45955.0</v>
      </c>
      <c r="B653" s="49">
        <v>0.6729166666666667</v>
      </c>
      <c r="C653" s="45">
        <v>45955.0</v>
      </c>
      <c r="D653" s="49">
        <v>0.6826388888888889</v>
      </c>
      <c r="E653" s="21" t="s">
        <v>5102</v>
      </c>
      <c r="F653" s="22" t="s">
        <v>2193</v>
      </c>
      <c r="G653" s="21" t="s">
        <v>2194</v>
      </c>
      <c r="H653" s="21" t="s">
        <v>756</v>
      </c>
      <c r="I653" s="21" t="s">
        <v>234</v>
      </c>
      <c r="J653" s="21" t="s">
        <v>3806</v>
      </c>
      <c r="K653" s="21" t="s">
        <v>43</v>
      </c>
      <c r="L653" s="21" t="s">
        <v>44</v>
      </c>
      <c r="M653" s="21" t="s">
        <v>5103</v>
      </c>
      <c r="N653" s="21" t="s">
        <v>5104</v>
      </c>
      <c r="O653" s="48" t="s">
        <v>5227</v>
      </c>
      <c r="P653" s="21" t="s">
        <v>48</v>
      </c>
      <c r="Q653" s="24" t="s">
        <v>49</v>
      </c>
      <c r="R653" s="21" t="s">
        <v>5228</v>
      </c>
      <c r="S653" s="21" t="s">
        <v>51</v>
      </c>
      <c r="T653" s="21" t="s">
        <v>52</v>
      </c>
      <c r="U653" s="21" t="s">
        <v>52</v>
      </c>
      <c r="V653" s="21" t="s">
        <v>52</v>
      </c>
      <c r="W653" s="45">
        <v>45955.0</v>
      </c>
      <c r="X653" s="49">
        <v>0.6875</v>
      </c>
      <c r="Y653" s="45">
        <v>45955.0</v>
      </c>
      <c r="Z653" s="49">
        <v>0.825</v>
      </c>
      <c r="AA653" s="49">
        <v>0.8263888888888888</v>
      </c>
      <c r="AB653" s="25">
        <v>0.8541666666666666</v>
      </c>
      <c r="AC653" s="25">
        <v>0.875</v>
      </c>
      <c r="AD653" s="25">
        <v>0.875</v>
      </c>
      <c r="AE653" s="45">
        <v>45955.0</v>
      </c>
      <c r="AF653" s="21" t="s">
        <v>2839</v>
      </c>
      <c r="AG653" s="21" t="s">
        <v>102</v>
      </c>
      <c r="AH653" s="21" t="s">
        <v>4376</v>
      </c>
      <c r="AI653" s="26" t="str">
        <f>IFERROR(__xludf.DUMMYFUNCTION("IF(OR(W653="""",X653="""",AE653="""",AD653=""""),"""",
   TEXT(
     (
       (AE653+AD653 + IF(AE653+AD653 &lt; W653+X653,1,0)) - (W653+X653)
     )
     - IF(AND(AB653&lt;&gt;"""",AC653&lt;&gt;""""), 
          SUM(ARRAYFORMULA(SPLIT(AC653,"","") - SPLIT(AB653,"",""))"&amp;"), 
          0
       ),
     ""[hh]:mm""
   )
)
"),"04:00")</f>
        <v>04:00</v>
      </c>
      <c r="AJ653" s="55">
        <f t="shared" si="9"/>
        <v>0</v>
      </c>
      <c r="AK653" s="28" t="str">
        <f t="shared" si="10"/>
        <v>Pass</v>
      </c>
    </row>
    <row r="654">
      <c r="A654" s="45">
        <v>45955.0</v>
      </c>
      <c r="B654" s="49">
        <v>0.6729166666666667</v>
      </c>
      <c r="C654" s="45">
        <v>45955.0</v>
      </c>
      <c r="D654" s="49">
        <v>0.68125</v>
      </c>
      <c r="E654" s="21" t="s">
        <v>5096</v>
      </c>
      <c r="F654" s="22" t="s">
        <v>2193</v>
      </c>
      <c r="G654" s="21" t="s">
        <v>2194</v>
      </c>
      <c r="H654" s="21" t="s">
        <v>756</v>
      </c>
      <c r="I654" s="21" t="s">
        <v>60</v>
      </c>
      <c r="J654" s="21" t="s">
        <v>3806</v>
      </c>
      <c r="K654" s="21" t="s">
        <v>43</v>
      </c>
      <c r="L654" s="21" t="s">
        <v>44</v>
      </c>
      <c r="M654" s="21" t="s">
        <v>5097</v>
      </c>
      <c r="N654" s="21" t="s">
        <v>5229</v>
      </c>
      <c r="O654" s="48" t="s">
        <v>5230</v>
      </c>
      <c r="P654" s="21" t="s">
        <v>48</v>
      </c>
      <c r="Q654" s="24" t="s">
        <v>49</v>
      </c>
      <c r="R654" s="21" t="s">
        <v>5228</v>
      </c>
      <c r="S654" s="21" t="s">
        <v>51</v>
      </c>
      <c r="T654" s="21" t="s">
        <v>52</v>
      </c>
      <c r="U654" s="21" t="s">
        <v>52</v>
      </c>
      <c r="V654" s="21" t="s">
        <v>52</v>
      </c>
      <c r="W654" s="45">
        <v>45955.0</v>
      </c>
      <c r="X654" s="49">
        <v>0.6875</v>
      </c>
      <c r="Y654" s="45">
        <v>45955.0</v>
      </c>
      <c r="Z654" s="49">
        <v>0.825</v>
      </c>
      <c r="AA654" s="49">
        <v>0.8263888888888888</v>
      </c>
      <c r="AB654" s="25">
        <v>0.8541666666666666</v>
      </c>
      <c r="AC654" s="25">
        <v>0.875</v>
      </c>
      <c r="AD654" s="25">
        <v>0.875</v>
      </c>
      <c r="AE654" s="45">
        <v>45955.0</v>
      </c>
      <c r="AF654" s="21" t="s">
        <v>2839</v>
      </c>
      <c r="AG654" s="21" t="s">
        <v>102</v>
      </c>
      <c r="AH654" s="21" t="s">
        <v>4376</v>
      </c>
      <c r="AI654" s="26" t="str">
        <f>IFERROR(__xludf.DUMMYFUNCTION("IF(OR(W654="""",X654="""",AE654="""",AD654=""""),"""",
   TEXT(
     (
       (AE654+AD654 + IF(AE654+AD654 &lt; W654+X654,1,0)) - (W654+X654)
     )
     - IF(AND(AB654&lt;&gt;"""",AC654&lt;&gt;""""), 
          SUM(ARRAYFORMULA(SPLIT(AC654,"","") - SPLIT(AB654,"",""))"&amp;"), 
          0
       ),
     ""[hh]:mm""
   )
)
"),"04:00")</f>
        <v>04:00</v>
      </c>
      <c r="AJ654" s="55">
        <f t="shared" si="9"/>
        <v>0</v>
      </c>
      <c r="AK654" s="28" t="str">
        <f t="shared" si="10"/>
        <v>Pass</v>
      </c>
    </row>
    <row r="655">
      <c r="A655" s="18">
        <v>45955.0</v>
      </c>
      <c r="B655" s="20">
        <v>0.8166666666666667</v>
      </c>
      <c r="C655" s="18">
        <v>45955.0</v>
      </c>
      <c r="D655" s="20">
        <v>0.8368055555555556</v>
      </c>
      <c r="E655" s="22" t="s">
        <v>5231</v>
      </c>
      <c r="F655" s="22" t="s">
        <v>1408</v>
      </c>
      <c r="G655" s="22" t="s">
        <v>1409</v>
      </c>
      <c r="H655" s="22" t="s">
        <v>3840</v>
      </c>
      <c r="I655" s="22" t="s">
        <v>644</v>
      </c>
      <c r="J655" s="22" t="s">
        <v>644</v>
      </c>
      <c r="K655" s="22" t="s">
        <v>333</v>
      </c>
      <c r="L655" s="22" t="s">
        <v>1441</v>
      </c>
      <c r="M655" s="22" t="s">
        <v>5232</v>
      </c>
      <c r="N655" s="22" t="s">
        <v>5233</v>
      </c>
      <c r="O655" s="23" t="s">
        <v>5234</v>
      </c>
      <c r="P655" s="22" t="s">
        <v>75</v>
      </c>
      <c r="Q655" s="50" t="s">
        <v>65</v>
      </c>
      <c r="R655" s="22" t="s">
        <v>5235</v>
      </c>
      <c r="S655" s="22" t="s">
        <v>51</v>
      </c>
      <c r="T655" s="22" t="s">
        <v>52</v>
      </c>
      <c r="U655" s="22" t="s">
        <v>52</v>
      </c>
      <c r="V655" s="22" t="s">
        <v>52</v>
      </c>
      <c r="W655" s="18">
        <v>45955.0</v>
      </c>
      <c r="X655" s="20">
        <v>0.8368055555555556</v>
      </c>
      <c r="Y655" s="18">
        <v>45956.0</v>
      </c>
      <c r="Z655" s="20">
        <v>0.42569444444444443</v>
      </c>
      <c r="AA655" s="20">
        <v>0.4340277777777778</v>
      </c>
      <c r="AB655" s="51">
        <v>0.4583333333333333</v>
      </c>
      <c r="AC655" s="51">
        <v>0.4791666666666667</v>
      </c>
      <c r="AD655" s="51">
        <v>0.4791666666666667</v>
      </c>
      <c r="AE655" s="18">
        <v>45956.0</v>
      </c>
      <c r="AF655" s="22" t="s">
        <v>3358</v>
      </c>
      <c r="AG655" s="22" t="s">
        <v>848</v>
      </c>
      <c r="AH655" s="22" t="s">
        <v>1413</v>
      </c>
      <c r="AI655" s="26" t="str">
        <f>IFERROR(__xludf.DUMMYFUNCTION("IF(OR(W655="""",X655="""",AE655="""",AD655=""""),"""",
   TEXT(
     (
       (AE655+AD655 + IF(AE655+AD655 &lt; W655+X655,1,0)) - (W655+X655)
     )
     - IF(AND(AB655&lt;&gt;"""",AC655&lt;&gt;""""), 
          SUM(ARRAYFORMULA(SPLIT(AC655,"","") - SPLIT(AB655,"",""))"&amp;"), 
          0
       ),
     ""[hh]:mm""
   )
)
"),"14:55")</f>
        <v>14:55</v>
      </c>
      <c r="AJ655" s="55">
        <f t="shared" si="9"/>
        <v>0.1215277778</v>
      </c>
      <c r="AK655" s="28" t="str">
        <f t="shared" si="10"/>
        <v>Fail</v>
      </c>
    </row>
    <row r="656">
      <c r="A656" s="45">
        <v>45955.0</v>
      </c>
      <c r="B656" s="49">
        <v>0.6388888888888888</v>
      </c>
      <c r="C656" s="45">
        <v>45955.0</v>
      </c>
      <c r="D656" s="49">
        <v>0.6493055555555556</v>
      </c>
      <c r="E656" s="21" t="s">
        <v>5236</v>
      </c>
      <c r="F656" s="21" t="s">
        <v>3241</v>
      </c>
      <c r="G656" s="21" t="s">
        <v>3242</v>
      </c>
      <c r="H656" s="21" t="s">
        <v>253</v>
      </c>
      <c r="I656" s="21" t="s">
        <v>234</v>
      </c>
      <c r="J656" s="21" t="s">
        <v>3806</v>
      </c>
      <c r="K656" s="21" t="s">
        <v>43</v>
      </c>
      <c r="L656" s="47"/>
      <c r="M656" s="21" t="s">
        <v>5237</v>
      </c>
      <c r="N656" s="21" t="s">
        <v>5238</v>
      </c>
      <c r="O656" s="48" t="s">
        <v>5239</v>
      </c>
      <c r="P656" s="21" t="s">
        <v>48</v>
      </c>
      <c r="Q656" s="24" t="s">
        <v>49</v>
      </c>
      <c r="R656" s="21" t="s">
        <v>5240</v>
      </c>
      <c r="S656" s="21" t="s">
        <v>51</v>
      </c>
      <c r="T656" s="21" t="s">
        <v>52</v>
      </c>
      <c r="U656" s="21" t="s">
        <v>52</v>
      </c>
      <c r="V656" s="21" t="s">
        <v>52</v>
      </c>
      <c r="W656" s="45">
        <v>45956.0</v>
      </c>
      <c r="X656" s="49">
        <v>0.4166666666666667</v>
      </c>
      <c r="Y656" s="45">
        <v>45956.0</v>
      </c>
      <c r="Z656" s="49">
        <v>0.4236111111111111</v>
      </c>
      <c r="AA656" s="49">
        <v>0.42430555555555555</v>
      </c>
      <c r="AB656" s="24" t="s">
        <v>5241</v>
      </c>
      <c r="AC656" s="24" t="s">
        <v>5242</v>
      </c>
      <c r="AD656" s="25">
        <v>0.6138888888888889</v>
      </c>
      <c r="AE656" s="45">
        <v>45956.0</v>
      </c>
      <c r="AF656" s="21" t="s">
        <v>2839</v>
      </c>
      <c r="AG656" s="21" t="s">
        <v>293</v>
      </c>
      <c r="AH656" s="21" t="s">
        <v>5243</v>
      </c>
      <c r="AI656" s="62" t="str">
        <f>IFERROR(__xludf.DUMMYFUNCTION("IF(OR(W656="""",X656="""",AE656="""",AD656=""""),"""",
   TEXT(
     (
       (AE656+AD656 + IF(AE656+AD656 &lt; W656+X656,1,0)) - (W656+X656)
     )
     - IF(AND(AB656&lt;&gt;"""",AC656&lt;&gt;""""), 
          SUM(ARRAYFORMULA(SPLIT(AC656,"","") - SPLIT(AB656,"",""))"&amp;"), 
          0
       ),
     ""[hh]:mm""
   )
)
"),"03:24")</f>
        <v>03:24</v>
      </c>
      <c r="AJ656" s="27">
        <f t="shared" si="9"/>
        <v>0</v>
      </c>
      <c r="AK656" s="63" t="str">
        <f t="shared" si="10"/>
        <v>Pass</v>
      </c>
    </row>
    <row r="657">
      <c r="A657" s="18">
        <v>45956.0</v>
      </c>
      <c r="B657" s="20">
        <v>0.26180555555555557</v>
      </c>
      <c r="C657" s="18">
        <v>45956.0</v>
      </c>
      <c r="D657" s="20">
        <v>0.3333333333333333</v>
      </c>
      <c r="E657" s="22" t="s">
        <v>5244</v>
      </c>
      <c r="F657" s="22" t="s">
        <v>2617</v>
      </c>
      <c r="G657" s="22" t="s">
        <v>2618</v>
      </c>
      <c r="H657" s="22" t="s">
        <v>1450</v>
      </c>
      <c r="I657" s="22" t="s">
        <v>1632</v>
      </c>
      <c r="J657" s="22" t="s">
        <v>2637</v>
      </c>
      <c r="K657" s="22" t="s">
        <v>61</v>
      </c>
      <c r="L657" s="22" t="s">
        <v>1179</v>
      </c>
      <c r="M657" s="22" t="s">
        <v>5245</v>
      </c>
      <c r="N657" s="22" t="s">
        <v>5246</v>
      </c>
      <c r="O657" s="23" t="s">
        <v>5247</v>
      </c>
      <c r="P657" s="22" t="s">
        <v>75</v>
      </c>
      <c r="Q657" s="50" t="s">
        <v>65</v>
      </c>
      <c r="R657" s="22" t="s">
        <v>5248</v>
      </c>
      <c r="S657" s="22" t="s">
        <v>51</v>
      </c>
      <c r="T657" s="22" t="s">
        <v>5249</v>
      </c>
      <c r="U657" s="22" t="s">
        <v>52</v>
      </c>
      <c r="V657" s="22" t="s">
        <v>52</v>
      </c>
      <c r="W657" s="18">
        <v>45956.0</v>
      </c>
      <c r="X657" s="20">
        <v>0.3333333333333333</v>
      </c>
      <c r="Y657" s="18">
        <v>45956.0</v>
      </c>
      <c r="Z657" s="20">
        <v>0.5</v>
      </c>
      <c r="AA657" s="20">
        <v>0.5034722222222222</v>
      </c>
      <c r="AB657" s="51">
        <v>0.5069444444444444</v>
      </c>
      <c r="AC657" s="51">
        <v>0.5208333333333334</v>
      </c>
      <c r="AD657" s="51">
        <v>0.5243055555555556</v>
      </c>
      <c r="AE657" s="18">
        <v>45956.0</v>
      </c>
      <c r="AF657" s="22" t="s">
        <v>2971</v>
      </c>
      <c r="AG657" s="22" t="s">
        <v>54</v>
      </c>
      <c r="AH657" s="22" t="s">
        <v>5250</v>
      </c>
      <c r="AI657" s="26" t="str">
        <f>IFERROR(__xludf.DUMMYFUNCTION("IF(OR(W657="""",X657="""",AE657="""",AD657=""""),"""",
   TEXT(
     (
       (AE657+AD657 + IF(AE657+AD657 &lt; W657+X657,1,0)) - (W657+X657)
     )
     - IF(AND(AB657&lt;&gt;"""",AC657&lt;&gt;""""), 
          SUM(ARRAYFORMULA(SPLIT(AC657,"","") - SPLIT(AB657,"",""))"&amp;"), 
          0
       ),
     ""[hh]:mm""
   )
)
"),"04:15")</f>
        <v>04:15</v>
      </c>
      <c r="AJ657" s="55">
        <f t="shared" si="9"/>
        <v>0</v>
      </c>
      <c r="AK657" s="28" t="str">
        <f t="shared" si="10"/>
        <v>Pass</v>
      </c>
    </row>
    <row r="658">
      <c r="A658" s="45">
        <v>45956.0</v>
      </c>
      <c r="B658" s="49">
        <v>0.3958333333333333</v>
      </c>
      <c r="C658" s="45">
        <v>45956.0</v>
      </c>
      <c r="D658" s="49">
        <v>0.40902777777777777</v>
      </c>
      <c r="E658" s="21" t="s">
        <v>5251</v>
      </c>
      <c r="F658" s="21" t="s">
        <v>5252</v>
      </c>
      <c r="G658" s="21" t="s">
        <v>5253</v>
      </c>
      <c r="H658" s="21" t="s">
        <v>1610</v>
      </c>
      <c r="I658" s="21" t="s">
        <v>1612</v>
      </c>
      <c r="J658" s="21" t="s">
        <v>1612</v>
      </c>
      <c r="K658" s="47"/>
      <c r="L658" s="21" t="s">
        <v>5254</v>
      </c>
      <c r="M658" s="21" t="s">
        <v>5255</v>
      </c>
      <c r="N658" s="21" t="s">
        <v>4090</v>
      </c>
      <c r="O658" s="48" t="s">
        <v>5256</v>
      </c>
      <c r="P658" s="21" t="s">
        <v>187</v>
      </c>
      <c r="Q658" s="24" t="s">
        <v>65</v>
      </c>
      <c r="R658" s="21" t="s">
        <v>5257</v>
      </c>
      <c r="S658" s="21" t="s">
        <v>51</v>
      </c>
      <c r="T658" s="21" t="s">
        <v>52</v>
      </c>
      <c r="U658" s="21" t="s">
        <v>52</v>
      </c>
      <c r="V658" s="21" t="s">
        <v>52</v>
      </c>
      <c r="W658" s="45">
        <v>45956.0</v>
      </c>
      <c r="X658" s="49">
        <v>0.40902777777777777</v>
      </c>
      <c r="Y658" s="45">
        <v>45956.0</v>
      </c>
      <c r="Z658" s="49">
        <v>0.6555555555555556</v>
      </c>
      <c r="AA658" s="49">
        <v>0.6520833333333333</v>
      </c>
      <c r="AB658" s="29"/>
      <c r="AC658" s="29"/>
      <c r="AD658" s="25">
        <v>0.7708333333333334</v>
      </c>
      <c r="AE658" s="45">
        <v>45956.0</v>
      </c>
      <c r="AF658" s="21" t="s">
        <v>2819</v>
      </c>
      <c r="AG658" s="21" t="s">
        <v>313</v>
      </c>
      <c r="AH658" s="21" t="s">
        <v>5258</v>
      </c>
      <c r="AI658" s="62" t="str">
        <f>IFERROR(__xludf.DUMMYFUNCTION("IF(OR(W658="""",X658="""",AE658="""",AD658=""""),"""",
   TEXT(
     (
       (AE658+AD658 + IF(AE658+AD658 &lt; W658+X658,1,0)) - (W658+X658)
     )
     - IF(AND(AB658&lt;&gt;"""",AC658&lt;&gt;""""), 
          SUM(ARRAYFORMULA(SPLIT(AC658,"","") - SPLIT(AB658,"",""))"&amp;"), 
          0
       ),
     ""[hh]:mm""
   )
)
"),"08:41")</f>
        <v>08:41</v>
      </c>
      <c r="AJ658" s="27">
        <f t="shared" si="9"/>
        <v>0</v>
      </c>
      <c r="AK658" s="63" t="str">
        <f t="shared" si="10"/>
        <v>Pass</v>
      </c>
    </row>
    <row r="659">
      <c r="A659" s="45">
        <v>45956.0</v>
      </c>
      <c r="B659" s="49">
        <v>0.5145833333333333</v>
      </c>
      <c r="C659" s="45">
        <v>45956.0</v>
      </c>
      <c r="D659" s="49">
        <v>0.5201388888888889</v>
      </c>
      <c r="E659" s="21" t="s">
        <v>5259</v>
      </c>
      <c r="F659" s="21" t="s">
        <v>363</v>
      </c>
      <c r="G659" s="21" t="s">
        <v>364</v>
      </c>
      <c r="H659" s="21" t="s">
        <v>156</v>
      </c>
      <c r="I659" s="21" t="s">
        <v>2026</v>
      </c>
      <c r="J659" s="21" t="s">
        <v>3806</v>
      </c>
      <c r="K659" s="21" t="s">
        <v>43</v>
      </c>
      <c r="L659" s="21" t="s">
        <v>5260</v>
      </c>
      <c r="M659" s="21" t="s">
        <v>5261</v>
      </c>
      <c r="N659" s="21" t="s">
        <v>5262</v>
      </c>
      <c r="O659" s="48" t="s">
        <v>5263</v>
      </c>
      <c r="P659" s="21" t="s">
        <v>75</v>
      </c>
      <c r="Q659" s="24" t="s">
        <v>49</v>
      </c>
      <c r="R659" s="21" t="s">
        <v>5264</v>
      </c>
      <c r="S659" s="21" t="s">
        <v>51</v>
      </c>
      <c r="T659" s="21" t="s">
        <v>5265</v>
      </c>
      <c r="U659" s="21" t="s">
        <v>5266</v>
      </c>
      <c r="V659" s="21" t="s">
        <v>5261</v>
      </c>
      <c r="W659" s="45">
        <v>45956.0</v>
      </c>
      <c r="X659" s="88">
        <v>0.5201388888888889</v>
      </c>
      <c r="Y659" s="45">
        <v>45956.0</v>
      </c>
      <c r="Z659" s="49">
        <v>0.6111111111111112</v>
      </c>
      <c r="AA659" s="49">
        <v>0.6111111111111112</v>
      </c>
      <c r="AB659" s="25">
        <v>0.6118055555555556</v>
      </c>
      <c r="AC659" s="25">
        <v>0.6652777777777777</v>
      </c>
      <c r="AD659" s="25">
        <v>0.6805555555555556</v>
      </c>
      <c r="AE659" s="45">
        <v>45956.0</v>
      </c>
      <c r="AF659" s="21" t="s">
        <v>3218</v>
      </c>
      <c r="AG659" s="21" t="s">
        <v>239</v>
      </c>
      <c r="AH659" s="21" t="s">
        <v>5267</v>
      </c>
      <c r="AI659" s="62" t="str">
        <f>IFERROR(__xludf.DUMMYFUNCTION("IF(OR(W659="""",X659="""",AE659="""",AD659=""""),"""",
   TEXT(
     (
       (AE659+AD659 + IF(AE659+AD659 &lt; W659+X659,1,0)) - (W659+X659)
     )
     - IF(AND(AB659&lt;&gt;"""",AC659&lt;&gt;""""), 
          SUM(ARRAYFORMULA(SPLIT(AC659,"","") - SPLIT(AB659,"",""))"&amp;"), 
          0
       ),
     ""[hh]:mm""
   )
)
"),"02:34")</f>
        <v>02:34</v>
      </c>
      <c r="AJ659" s="27">
        <f t="shared" si="9"/>
        <v>0</v>
      </c>
      <c r="AK659" s="63" t="str">
        <f t="shared" si="10"/>
        <v>Pass</v>
      </c>
    </row>
    <row r="660">
      <c r="A660" s="45">
        <v>45953.0</v>
      </c>
      <c r="B660" s="49">
        <v>0.5534722222222223</v>
      </c>
      <c r="C660" s="45">
        <v>45953.0</v>
      </c>
      <c r="D660" s="91" t="s">
        <v>4905</v>
      </c>
      <c r="E660" s="21" t="s">
        <v>5268</v>
      </c>
      <c r="F660" s="21" t="s">
        <v>1336</v>
      </c>
      <c r="G660" s="21" t="s">
        <v>1337</v>
      </c>
      <c r="H660" s="21" t="s">
        <v>2120</v>
      </c>
      <c r="I660" s="21" t="s">
        <v>95</v>
      </c>
      <c r="J660" s="21" t="s">
        <v>95</v>
      </c>
      <c r="K660" s="21" t="s">
        <v>333</v>
      </c>
      <c r="L660" s="21" t="s">
        <v>5151</v>
      </c>
      <c r="M660" s="21" t="s">
        <v>5269</v>
      </c>
      <c r="N660" s="21" t="s">
        <v>5270</v>
      </c>
      <c r="O660" s="48" t="s">
        <v>5271</v>
      </c>
      <c r="P660" s="21" t="s">
        <v>75</v>
      </c>
      <c r="Q660" s="24" t="s">
        <v>198</v>
      </c>
      <c r="R660" s="21" t="s">
        <v>5155</v>
      </c>
      <c r="S660" s="21" t="s">
        <v>51</v>
      </c>
      <c r="T660" s="21" t="s">
        <v>2125</v>
      </c>
      <c r="U660" s="21" t="s">
        <v>52</v>
      </c>
      <c r="V660" s="21" t="s">
        <v>52</v>
      </c>
      <c r="W660" s="45">
        <v>45957.0</v>
      </c>
      <c r="X660" s="49">
        <v>0.20833333333333334</v>
      </c>
      <c r="Y660" s="45">
        <v>45957.0</v>
      </c>
      <c r="Z660" s="49">
        <v>0.24930555555555556</v>
      </c>
      <c r="AA660" s="49">
        <v>0.25</v>
      </c>
      <c r="AB660" s="29"/>
      <c r="AC660" s="29"/>
      <c r="AD660" s="25">
        <v>0.2916666666666667</v>
      </c>
      <c r="AE660" s="45">
        <v>45957.0</v>
      </c>
      <c r="AF660" s="21" t="s">
        <v>4914</v>
      </c>
      <c r="AG660" s="21" t="s">
        <v>4384</v>
      </c>
      <c r="AH660" s="21" t="s">
        <v>5272</v>
      </c>
      <c r="AI660" s="62" t="str">
        <f>IFERROR(__xludf.DUMMYFUNCTION("IF(OR(W660="""",X660="""",AE660="""",AD660=""""),"""",
   TEXT(
     (
       (AE660+AD660 + IF(AE660+AD660 &lt; W660+X660,1,0)) - (W660+X660)
     )
     - IF(AND(AB660&lt;&gt;"""",AC660&lt;&gt;""""), 
          SUM(ARRAYFORMULA(SPLIT(AC660,"","") - SPLIT(AB660,"",""))"&amp;"), 
          0
       ),
     ""[hh]:mm""
   )
)
"),"02:00")</f>
        <v>02:00</v>
      </c>
      <c r="AJ660" s="27">
        <f t="shared" si="9"/>
        <v>0</v>
      </c>
      <c r="AK660" s="63" t="str">
        <f t="shared" si="10"/>
        <v>Pass</v>
      </c>
    </row>
    <row r="661">
      <c r="A661" s="45">
        <v>45953.0</v>
      </c>
      <c r="B661" s="49">
        <v>0.7666666666666667</v>
      </c>
      <c r="C661" s="45">
        <v>45953.0</v>
      </c>
      <c r="D661" s="91" t="s">
        <v>4905</v>
      </c>
      <c r="E661" s="21" t="s">
        <v>5273</v>
      </c>
      <c r="F661" s="21" t="s">
        <v>3265</v>
      </c>
      <c r="G661" s="21" t="s">
        <v>3266</v>
      </c>
      <c r="H661" s="21" t="s">
        <v>4908</v>
      </c>
      <c r="I661" s="21" t="s">
        <v>95</v>
      </c>
      <c r="J661" s="21" t="s">
        <v>95</v>
      </c>
      <c r="K661" s="21" t="s">
        <v>143</v>
      </c>
      <c r="L661" s="21" t="s">
        <v>606</v>
      </c>
      <c r="M661" s="21" t="s">
        <v>5274</v>
      </c>
      <c r="N661" s="21" t="s">
        <v>5275</v>
      </c>
      <c r="O661" s="48" t="s">
        <v>5276</v>
      </c>
      <c r="P661" s="21" t="s">
        <v>75</v>
      </c>
      <c r="Q661" s="24" t="s">
        <v>198</v>
      </c>
      <c r="R661" s="21" t="s">
        <v>5094</v>
      </c>
      <c r="S661" s="21" t="s">
        <v>51</v>
      </c>
      <c r="T661" s="21" t="s">
        <v>5071</v>
      </c>
      <c r="U661" s="21" t="s">
        <v>5277</v>
      </c>
      <c r="V661" s="21" t="s">
        <v>5278</v>
      </c>
      <c r="W661" s="45">
        <v>45957.0</v>
      </c>
      <c r="X661" s="49">
        <v>0.08333333333333333</v>
      </c>
      <c r="Y661" s="45">
        <v>45956.0</v>
      </c>
      <c r="Z661" s="49">
        <v>0.9583333333333334</v>
      </c>
      <c r="AA661" s="49">
        <v>0.125</v>
      </c>
      <c r="AB661" s="29"/>
      <c r="AC661" s="29"/>
      <c r="AD661" s="25">
        <v>0.4375</v>
      </c>
      <c r="AE661" s="45">
        <v>45957.0</v>
      </c>
      <c r="AF661" s="21" t="s">
        <v>4914</v>
      </c>
      <c r="AG661" s="21" t="s">
        <v>1475</v>
      </c>
      <c r="AH661" s="21" t="s">
        <v>5279</v>
      </c>
      <c r="AI661" s="62" t="str">
        <f>IFERROR(__xludf.DUMMYFUNCTION("IF(OR(W661="""",X661="""",AE661="""",AD661=""""),"""",
   TEXT(
     (
       (AE661+AD661 + IF(AE661+AD661 &lt; W661+X661,1,0)) - (W661+X661)
     )
     - IF(AND(AB661&lt;&gt;"""",AC661&lt;&gt;""""), 
          SUM(ARRAYFORMULA(SPLIT(AC661,"","") - SPLIT(AB661,"",""))"&amp;"), 
          0
       ),
     ""[hh]:mm""
   )
)
"),"08:30")</f>
        <v>08:30</v>
      </c>
      <c r="AJ661" s="27">
        <f t="shared" si="9"/>
        <v>0</v>
      </c>
      <c r="AK661" s="63" t="str">
        <f t="shared" si="10"/>
        <v>Pass</v>
      </c>
    </row>
    <row r="662">
      <c r="A662" s="45">
        <v>45956.0</v>
      </c>
      <c r="B662" s="49">
        <v>0.7236111111111111</v>
      </c>
      <c r="C662" s="45">
        <v>45956.0</v>
      </c>
      <c r="D662" s="49">
        <v>0.7256944444444444</v>
      </c>
      <c r="E662" s="21" t="s">
        <v>5280</v>
      </c>
      <c r="F662" s="21" t="s">
        <v>2055</v>
      </c>
      <c r="G662" s="21" t="s">
        <v>2056</v>
      </c>
      <c r="H662" s="21" t="s">
        <v>2337</v>
      </c>
      <c r="I662" s="21" t="s">
        <v>1814</v>
      </c>
      <c r="J662" s="21" t="s">
        <v>3991</v>
      </c>
      <c r="K662" s="21" t="s">
        <v>43</v>
      </c>
      <c r="L662" s="21" t="s">
        <v>3992</v>
      </c>
      <c r="M662" s="21" t="s">
        <v>5281</v>
      </c>
      <c r="N662" s="21" t="s">
        <v>5282</v>
      </c>
      <c r="O662" s="48" t="s">
        <v>5283</v>
      </c>
      <c r="P662" s="21" t="s">
        <v>75</v>
      </c>
      <c r="Q662" s="24" t="s">
        <v>65</v>
      </c>
      <c r="R662" s="21" t="s">
        <v>5284</v>
      </c>
      <c r="S662" s="21" t="s">
        <v>51</v>
      </c>
      <c r="T662" s="21" t="s">
        <v>52</v>
      </c>
      <c r="U662" s="21" t="s">
        <v>52</v>
      </c>
      <c r="V662" s="21" t="s">
        <v>52</v>
      </c>
      <c r="W662" s="45">
        <v>45956.0</v>
      </c>
      <c r="X662" s="88">
        <v>0.7256944444444444</v>
      </c>
      <c r="Y662" s="45">
        <v>45956.0</v>
      </c>
      <c r="Z662" s="49">
        <v>0.7486111111111111</v>
      </c>
      <c r="AA662" s="49">
        <v>0.7486111111111111</v>
      </c>
      <c r="AB662" s="29"/>
      <c r="AC662" s="29"/>
      <c r="AD662" s="25">
        <v>0.7520833333333333</v>
      </c>
      <c r="AE662" s="45">
        <v>45956.0</v>
      </c>
      <c r="AF662" s="21" t="s">
        <v>2931</v>
      </c>
      <c r="AG662" s="21" t="s">
        <v>239</v>
      </c>
      <c r="AH662" s="21" t="s">
        <v>2063</v>
      </c>
      <c r="AI662" s="62" t="str">
        <f>IFERROR(__xludf.DUMMYFUNCTION("IF(OR(W662="""",X662="""",AE662="""",AD662=""""),"""",
   TEXT(
     (
       (AE662+AD662 + IF(AE662+AD662 &lt; W662+X662,1,0)) - (W662+X662)
     )
     - IF(AND(AB662&lt;&gt;"""",AC662&lt;&gt;""""), 
          SUM(ARRAYFORMULA(SPLIT(AC662,"","") - SPLIT(AB662,"",""))"&amp;"), 
          0
       ),
     ""[hh]:mm""
   )
)
"),"00:38")</f>
        <v>00:38</v>
      </c>
      <c r="AJ662" s="27">
        <f t="shared" si="9"/>
        <v>0</v>
      </c>
      <c r="AK662" s="63" t="str">
        <f t="shared" si="10"/>
        <v>Pass</v>
      </c>
    </row>
    <row r="663">
      <c r="A663" s="45">
        <v>45956.0</v>
      </c>
      <c r="B663" s="49">
        <v>0.7673611111111112</v>
      </c>
      <c r="C663" s="45">
        <v>45956.0</v>
      </c>
      <c r="D663" s="49">
        <v>0.7729166666666667</v>
      </c>
      <c r="E663" s="21" t="s">
        <v>5285</v>
      </c>
      <c r="F663" s="21" t="s">
        <v>5286</v>
      </c>
      <c r="G663" s="21" t="s">
        <v>5287</v>
      </c>
      <c r="H663" s="21" t="s">
        <v>4070</v>
      </c>
      <c r="I663" s="21" t="s">
        <v>567</v>
      </c>
      <c r="J663" s="21" t="s">
        <v>567</v>
      </c>
      <c r="K663" s="21" t="s">
        <v>568</v>
      </c>
      <c r="L663" s="21" t="s">
        <v>5288</v>
      </c>
      <c r="M663" s="21" t="s">
        <v>5289</v>
      </c>
      <c r="N663" s="21" t="s">
        <v>5290</v>
      </c>
      <c r="O663" s="48" t="s">
        <v>5291</v>
      </c>
      <c r="P663" s="21" t="s">
        <v>48</v>
      </c>
      <c r="Q663" s="24" t="s">
        <v>65</v>
      </c>
      <c r="R663" s="21" t="s">
        <v>5292</v>
      </c>
      <c r="S663" s="21" t="s">
        <v>51</v>
      </c>
      <c r="T663" s="21" t="s">
        <v>52</v>
      </c>
      <c r="U663" s="21" t="s">
        <v>52</v>
      </c>
      <c r="V663" s="21" t="s">
        <v>52</v>
      </c>
      <c r="W663" s="45">
        <v>45957.0</v>
      </c>
      <c r="X663" s="49">
        <v>0.3125</v>
      </c>
      <c r="Y663" s="45">
        <v>45957.0</v>
      </c>
      <c r="Z663" s="49">
        <v>0.4513888888888889</v>
      </c>
      <c r="AA663" s="49">
        <v>0.4791666666666667</v>
      </c>
      <c r="AB663" s="29"/>
      <c r="AC663" s="29"/>
      <c r="AD663" s="25">
        <v>0.5208333333333334</v>
      </c>
      <c r="AE663" s="45">
        <v>45957.0</v>
      </c>
      <c r="AF663" s="21" t="s">
        <v>2931</v>
      </c>
      <c r="AG663" s="21" t="s">
        <v>78</v>
      </c>
      <c r="AH663" s="21" t="s">
        <v>5293</v>
      </c>
      <c r="AI663" s="62" t="str">
        <f>IFERROR(__xludf.DUMMYFUNCTION("IF(OR(W663="""",X663="""",AE663="""",AD663=""""),"""",
   TEXT(
     (
       (AE663+AD663 + IF(AE663+AD663 &lt; W663+X663,1,0)) - (W663+X663)
     )
     - IF(AND(AB663&lt;&gt;"""",AC663&lt;&gt;""""), 
          SUM(ARRAYFORMULA(SPLIT(AC663,"","") - SPLIT(AB663,"",""))"&amp;"), 
          0
       ),
     ""[hh]:mm""
   )
)
"),"05:00")</f>
        <v>05:00</v>
      </c>
      <c r="AJ663" s="27">
        <f t="shared" si="9"/>
        <v>0</v>
      </c>
      <c r="AK663" s="63" t="str">
        <f t="shared" si="10"/>
        <v>Pass</v>
      </c>
    </row>
    <row r="664">
      <c r="A664" s="45">
        <v>45954.0</v>
      </c>
      <c r="B664" s="49">
        <v>0.375</v>
      </c>
      <c r="C664" s="45">
        <v>45954.0</v>
      </c>
      <c r="D664" s="91" t="s">
        <v>4905</v>
      </c>
      <c r="E664" s="21" t="s">
        <v>5294</v>
      </c>
      <c r="F664" s="21" t="s">
        <v>212</v>
      </c>
      <c r="G664" s="21" t="s">
        <v>213</v>
      </c>
      <c r="H664" s="21" t="s">
        <v>4908</v>
      </c>
      <c r="I664" s="21" t="s">
        <v>95</v>
      </c>
      <c r="J664" s="21" t="s">
        <v>95</v>
      </c>
      <c r="K664" s="21" t="s">
        <v>143</v>
      </c>
      <c r="L664" s="21" t="s">
        <v>606</v>
      </c>
      <c r="M664" s="21" t="s">
        <v>5295</v>
      </c>
      <c r="N664" s="21" t="s">
        <v>5296</v>
      </c>
      <c r="O664" s="48" t="s">
        <v>5297</v>
      </c>
      <c r="P664" s="21" t="s">
        <v>75</v>
      </c>
      <c r="Q664" s="24" t="s">
        <v>198</v>
      </c>
      <c r="R664" s="21" t="s">
        <v>5298</v>
      </c>
      <c r="S664" s="21" t="s">
        <v>51</v>
      </c>
      <c r="T664" s="21" t="s">
        <v>5299</v>
      </c>
      <c r="U664" s="21" t="s">
        <v>5300</v>
      </c>
      <c r="V664" s="21" t="s">
        <v>5301</v>
      </c>
      <c r="W664" s="45">
        <v>45957.0</v>
      </c>
      <c r="X664" s="49">
        <v>0.041666666666666664</v>
      </c>
      <c r="Y664" s="45">
        <v>45956.0</v>
      </c>
      <c r="Z664" s="49">
        <v>0.9784722222222222</v>
      </c>
      <c r="AA664" s="49">
        <v>0.10416666666666667</v>
      </c>
      <c r="AB664" s="29"/>
      <c r="AC664" s="29"/>
      <c r="AD664" s="25">
        <v>0.375</v>
      </c>
      <c r="AE664" s="45">
        <v>45957.0</v>
      </c>
      <c r="AF664" s="21" t="s">
        <v>4914</v>
      </c>
      <c r="AG664" s="21" t="s">
        <v>5302</v>
      </c>
      <c r="AH664" s="21" t="s">
        <v>5303</v>
      </c>
      <c r="AI664" s="62" t="str">
        <f>IFERROR(__xludf.DUMMYFUNCTION("IF(OR(W664="""",X664="""",AE664="""",AD664=""""),"""",
   TEXT(
     (
       (AE664+AD664 + IF(AE664+AD664 &lt; W664+X664,1,0)) - (W664+X664)
     )
     - IF(AND(AB664&lt;&gt;"""",AC664&lt;&gt;""""), 
          SUM(ARRAYFORMULA(SPLIT(AC664,"","") - SPLIT(AB664,"",""))"&amp;"), 
          0
       ),
     ""[hh]:mm""
   )
)
"),"08:00")</f>
        <v>08:00</v>
      </c>
      <c r="AJ664" s="27">
        <f t="shared" si="9"/>
        <v>0</v>
      </c>
      <c r="AK664" s="63" t="str">
        <f t="shared" si="10"/>
        <v>Pass</v>
      </c>
    </row>
    <row r="665">
      <c r="A665" s="45">
        <v>45956.0</v>
      </c>
      <c r="B665" s="49">
        <v>0.9805555555555555</v>
      </c>
      <c r="C665" s="45">
        <v>45957.0</v>
      </c>
      <c r="D665" s="80">
        <v>0.3138888888888889</v>
      </c>
      <c r="E665" s="21" t="s">
        <v>5304</v>
      </c>
      <c r="F665" s="21" t="s">
        <v>613</v>
      </c>
      <c r="G665" s="21" t="s">
        <v>614</v>
      </c>
      <c r="H665" s="21" t="s">
        <v>1610</v>
      </c>
      <c r="I665" s="21" t="s">
        <v>1612</v>
      </c>
      <c r="J665" s="21" t="s">
        <v>1612</v>
      </c>
      <c r="K665" s="21" t="s">
        <v>143</v>
      </c>
      <c r="L665" s="21" t="s">
        <v>4465</v>
      </c>
      <c r="M665" s="21" t="s">
        <v>5305</v>
      </c>
      <c r="N665" s="21" t="s">
        <v>5306</v>
      </c>
      <c r="O665" s="48" t="s">
        <v>5307</v>
      </c>
      <c r="P665" s="21" t="s">
        <v>187</v>
      </c>
      <c r="Q665" s="24" t="s">
        <v>65</v>
      </c>
      <c r="R665" s="21" t="s">
        <v>5017</v>
      </c>
      <c r="S665" s="21" t="s">
        <v>51</v>
      </c>
      <c r="T665" s="21" t="s">
        <v>52</v>
      </c>
      <c r="U665" s="21" t="s">
        <v>52</v>
      </c>
      <c r="V665" s="21" t="s">
        <v>52</v>
      </c>
      <c r="W665" s="45">
        <v>45957.0</v>
      </c>
      <c r="X665" s="49">
        <v>0.3138888888888889</v>
      </c>
      <c r="Y665" s="45">
        <v>45957.0</v>
      </c>
      <c r="Z665" s="49">
        <v>0.49236111111111114</v>
      </c>
      <c r="AA665" s="49">
        <v>0.4951388888888889</v>
      </c>
      <c r="AB665" s="29"/>
      <c r="AC665" s="29"/>
      <c r="AD665" s="25">
        <v>0.5270833333333333</v>
      </c>
      <c r="AE665" s="45">
        <v>45957.0</v>
      </c>
      <c r="AF665" s="21" t="s">
        <v>2839</v>
      </c>
      <c r="AG665" s="21" t="s">
        <v>239</v>
      </c>
      <c r="AH665" s="21" t="s">
        <v>5308</v>
      </c>
      <c r="AI665" s="62" t="str">
        <f>IFERROR(__xludf.DUMMYFUNCTION("IF(OR(W665="""",X665="""",AE665="""",AD665=""""),"""",
   TEXT(
     (
       (AE665+AD665 + IF(AE665+AD665 &lt; W665+X665,1,0)) - (W665+X665)
     )
     - IF(AND(AB665&lt;&gt;"""",AC665&lt;&gt;""""), 
          SUM(ARRAYFORMULA(SPLIT(AC665,"","") - SPLIT(AB665,"",""))"&amp;"), 
          0
       ),
     ""[hh]:mm""
   )
)
"),"05:07")</f>
        <v>05:07</v>
      </c>
      <c r="AJ665" s="27">
        <f t="shared" si="9"/>
        <v>0</v>
      </c>
      <c r="AK665" s="63" t="str">
        <f t="shared" si="10"/>
        <v>Pass</v>
      </c>
    </row>
    <row r="666">
      <c r="A666" s="45">
        <v>45956.0</v>
      </c>
      <c r="B666" s="49">
        <v>0.9819444444444444</v>
      </c>
      <c r="C666" s="45">
        <v>45957.0</v>
      </c>
      <c r="D666" s="80">
        <v>0.3159722222222222</v>
      </c>
      <c r="E666" s="21" t="s">
        <v>5309</v>
      </c>
      <c r="F666" s="21" t="s">
        <v>3291</v>
      </c>
      <c r="G666" s="21" t="s">
        <v>3292</v>
      </c>
      <c r="H666" s="21" t="s">
        <v>5310</v>
      </c>
      <c r="I666" s="21" t="s">
        <v>567</v>
      </c>
      <c r="J666" s="21" t="s">
        <v>567</v>
      </c>
      <c r="K666" s="21" t="s">
        <v>568</v>
      </c>
      <c r="L666" s="21" t="s">
        <v>567</v>
      </c>
      <c r="M666" s="21" t="s">
        <v>5311</v>
      </c>
      <c r="N666" s="21" t="s">
        <v>5312</v>
      </c>
      <c r="O666" s="48" t="s">
        <v>5313</v>
      </c>
      <c r="P666" s="21" t="s">
        <v>48</v>
      </c>
      <c r="Q666" s="24" t="s">
        <v>65</v>
      </c>
      <c r="R666" s="21" t="s">
        <v>5292</v>
      </c>
      <c r="S666" s="21" t="s">
        <v>51</v>
      </c>
      <c r="T666" s="21" t="s">
        <v>52</v>
      </c>
      <c r="U666" s="21" t="s">
        <v>52</v>
      </c>
      <c r="V666" s="21" t="s">
        <v>52</v>
      </c>
      <c r="W666" s="45">
        <v>45957.0</v>
      </c>
      <c r="X666" s="49">
        <v>0.3159722222222222</v>
      </c>
      <c r="Y666" s="45">
        <v>45957.0</v>
      </c>
      <c r="Z666" s="49">
        <v>0.4777777777777778</v>
      </c>
      <c r="AA666" s="49">
        <v>0.4791666666666667</v>
      </c>
      <c r="AB666" s="29"/>
      <c r="AC666" s="29"/>
      <c r="AD666" s="25">
        <v>0.5034722222222222</v>
      </c>
      <c r="AE666" s="45">
        <v>45957.0</v>
      </c>
      <c r="AF666" s="21" t="s">
        <v>2931</v>
      </c>
      <c r="AG666" s="21" t="s">
        <v>67</v>
      </c>
      <c r="AH666" s="21" t="s">
        <v>5314</v>
      </c>
      <c r="AI666" s="62" t="str">
        <f>IFERROR(__xludf.DUMMYFUNCTION("IF(OR(W666="""",X666="""",AE666="""",AD666=""""),"""",
   TEXT(
     (
       (AE666+AD666 + IF(AE666+AD666 &lt; W666+X666,1,0)) - (W666+X666)
     )
     - IF(AND(AB666&lt;&gt;"""",AC666&lt;&gt;""""), 
          SUM(ARRAYFORMULA(SPLIT(AC666,"","") - SPLIT(AB666,"",""))"&amp;"), 
          0
       ),
     ""[hh]:mm""
   )
)
"),"04:30")</f>
        <v>04:30</v>
      </c>
      <c r="AJ666" s="27">
        <f t="shared" si="9"/>
        <v>0</v>
      </c>
      <c r="AK666" s="63" t="str">
        <f t="shared" si="10"/>
        <v>Pass</v>
      </c>
    </row>
    <row r="667">
      <c r="A667" s="45">
        <v>45957.0</v>
      </c>
      <c r="B667" s="49">
        <v>0.22569444444444445</v>
      </c>
      <c r="C667" s="45">
        <v>45957.0</v>
      </c>
      <c r="D667" s="49">
        <v>0.32222222222222224</v>
      </c>
      <c r="E667" s="21" t="s">
        <v>5315</v>
      </c>
      <c r="F667" s="21" t="s">
        <v>259</v>
      </c>
      <c r="G667" s="21" t="s">
        <v>260</v>
      </c>
      <c r="H667" s="21" t="s">
        <v>3553</v>
      </c>
      <c r="I667" s="21" t="s">
        <v>107</v>
      </c>
      <c r="J667" s="21" t="s">
        <v>3806</v>
      </c>
      <c r="K667" s="21" t="s">
        <v>3967</v>
      </c>
      <c r="L667" s="21" t="s">
        <v>170</v>
      </c>
      <c r="M667" s="21" t="s">
        <v>5316</v>
      </c>
      <c r="N667" s="21" t="s">
        <v>5317</v>
      </c>
      <c r="O667" s="48" t="s">
        <v>5318</v>
      </c>
      <c r="P667" s="21" t="s">
        <v>75</v>
      </c>
      <c r="Q667" s="24" t="s">
        <v>49</v>
      </c>
      <c r="R667" s="21" t="s">
        <v>5319</v>
      </c>
      <c r="S667" s="21" t="s">
        <v>51</v>
      </c>
      <c r="T667" s="21" t="s">
        <v>52</v>
      </c>
      <c r="U667" s="21" t="s">
        <v>52</v>
      </c>
      <c r="V667" s="21" t="s">
        <v>52</v>
      </c>
      <c r="W667" s="45">
        <v>45957.0</v>
      </c>
      <c r="X667" s="49">
        <v>0.43333333333333335</v>
      </c>
      <c r="Y667" s="45">
        <v>45957.0</v>
      </c>
      <c r="Z667" s="49">
        <v>0.5402777777777777</v>
      </c>
      <c r="AA667" s="49">
        <v>0.5416666666666666</v>
      </c>
      <c r="AB667" s="29"/>
      <c r="AC667" s="29"/>
      <c r="AD667" s="25">
        <v>0.5555555555555556</v>
      </c>
      <c r="AE667" s="45">
        <v>45957.0</v>
      </c>
      <c r="AF667" s="21" t="s">
        <v>2828</v>
      </c>
      <c r="AG667" s="21" t="s">
        <v>67</v>
      </c>
      <c r="AH667" s="21" t="s">
        <v>5320</v>
      </c>
      <c r="AI667" s="62" t="str">
        <f>IFERROR(__xludf.DUMMYFUNCTION("IF(OR(W667="""",X667="""",AE667="""",AD667=""""),"""",
   TEXT(
     (
       (AE667+AD667 + IF(AE667+AD667 &lt; W667+X667,1,0)) - (W667+X667)
     )
     - IF(AND(AB667&lt;&gt;"""",AC667&lt;&gt;""""), 
          SUM(ARRAYFORMULA(SPLIT(AC667,"","") - SPLIT(AB667,"",""))"&amp;"), 
          0
       ),
     ""[hh]:mm""
   )
)
"),"02:56")</f>
        <v>02:56</v>
      </c>
      <c r="AJ667" s="27">
        <f t="shared" si="9"/>
        <v>0</v>
      </c>
      <c r="AK667" s="63" t="str">
        <f t="shared" si="10"/>
        <v>Pass</v>
      </c>
    </row>
    <row r="668">
      <c r="A668" s="45">
        <v>45957.0</v>
      </c>
      <c r="B668" s="49">
        <v>0.4083333333333333</v>
      </c>
      <c r="C668" s="45">
        <v>45957.0</v>
      </c>
      <c r="D668" s="49">
        <v>0.4125</v>
      </c>
      <c r="E668" s="21" t="s">
        <v>5321</v>
      </c>
      <c r="F668" s="21" t="s">
        <v>426</v>
      </c>
      <c r="G668" s="21" t="s">
        <v>5322</v>
      </c>
      <c r="H668" s="21" t="s">
        <v>1610</v>
      </c>
      <c r="I668" s="21" t="s">
        <v>1612</v>
      </c>
      <c r="J668" s="21" t="s">
        <v>1612</v>
      </c>
      <c r="K668" s="21" t="s">
        <v>143</v>
      </c>
      <c r="L668" s="21" t="s">
        <v>356</v>
      </c>
      <c r="M668" s="21" t="s">
        <v>5323</v>
      </c>
      <c r="N668" s="21" t="s">
        <v>5324</v>
      </c>
      <c r="O668" s="48" t="s">
        <v>5325</v>
      </c>
      <c r="P668" s="21" t="s">
        <v>187</v>
      </c>
      <c r="Q668" s="24" t="s">
        <v>65</v>
      </c>
      <c r="R668" s="21" t="s">
        <v>5017</v>
      </c>
      <c r="S668" s="21" t="s">
        <v>51</v>
      </c>
      <c r="T668" s="21" t="s">
        <v>52</v>
      </c>
      <c r="U668" s="21" t="s">
        <v>52</v>
      </c>
      <c r="V668" s="21" t="s">
        <v>52</v>
      </c>
      <c r="W668" s="45">
        <v>45957.0</v>
      </c>
      <c r="X668" s="49">
        <v>0.4125</v>
      </c>
      <c r="Y668" s="45">
        <v>45957.0</v>
      </c>
      <c r="Z668" s="49">
        <v>0.4791666666666667</v>
      </c>
      <c r="AA668" s="49">
        <v>0.4826388888888889</v>
      </c>
      <c r="AB668" s="29"/>
      <c r="AC668" s="29"/>
      <c r="AD668" s="25">
        <v>0.5833333333333334</v>
      </c>
      <c r="AE668" s="45">
        <v>45957.0</v>
      </c>
      <c r="AF668" s="21" t="s">
        <v>2719</v>
      </c>
      <c r="AG668" s="21" t="s">
        <v>54</v>
      </c>
      <c r="AH668" s="21" t="s">
        <v>5326</v>
      </c>
      <c r="AI668" s="62" t="str">
        <f>IFERROR(__xludf.DUMMYFUNCTION("IF(OR(W668="""",X668="""",AE668="""",AD668=""""),"""",
   TEXT(
     (
       (AE668+AD668 + IF(AE668+AD668 &lt; W668+X668,1,0)) - (W668+X668)
     )
     - IF(AND(AB668&lt;&gt;"""",AC668&lt;&gt;""""), 
          SUM(ARRAYFORMULA(SPLIT(AC668,"","") - SPLIT(AB668,"",""))"&amp;"), 
          0
       ),
     ""[hh]:mm""
   )
)
"),"04:06")</f>
        <v>04:06</v>
      </c>
      <c r="AJ668" s="27">
        <f t="shared" si="9"/>
        <v>0</v>
      </c>
      <c r="AK668" s="63" t="str">
        <f t="shared" si="10"/>
        <v>Pass</v>
      </c>
    </row>
    <row r="669">
      <c r="A669" s="18">
        <v>45954.0</v>
      </c>
      <c r="B669" s="20">
        <v>0.39305555555555555</v>
      </c>
      <c r="C669" s="18">
        <v>45954.0</v>
      </c>
      <c r="D669" s="20">
        <v>0.40208333333333335</v>
      </c>
      <c r="E669" s="22" t="s">
        <v>5327</v>
      </c>
      <c r="F669" s="22" t="s">
        <v>5328</v>
      </c>
      <c r="G669" s="22" t="s">
        <v>5329</v>
      </c>
      <c r="H669" s="22" t="s">
        <v>566</v>
      </c>
      <c r="I669" s="22" t="s">
        <v>4174</v>
      </c>
      <c r="J669" s="22" t="s">
        <v>5330</v>
      </c>
      <c r="K669" s="22" t="s">
        <v>3249</v>
      </c>
      <c r="L669" s="22" t="s">
        <v>5331</v>
      </c>
      <c r="M669" s="22" t="s">
        <v>5332</v>
      </c>
      <c r="N669" s="22" t="s">
        <v>5333</v>
      </c>
      <c r="O669" s="23" t="s">
        <v>5334</v>
      </c>
      <c r="P669" s="22" t="s">
        <v>48</v>
      </c>
      <c r="Q669" s="50" t="s">
        <v>65</v>
      </c>
      <c r="R669" s="22" t="s">
        <v>5335</v>
      </c>
      <c r="S669" s="22" t="s">
        <v>51</v>
      </c>
      <c r="T669" s="22" t="s">
        <v>52</v>
      </c>
      <c r="U669" s="22" t="s">
        <v>52</v>
      </c>
      <c r="V669" s="22" t="s">
        <v>52</v>
      </c>
      <c r="W669" s="18">
        <v>45957.0</v>
      </c>
      <c r="X669" s="20">
        <v>0.5361111111111111</v>
      </c>
      <c r="Y669" s="18">
        <v>45957.0</v>
      </c>
      <c r="Z669" s="20">
        <v>0.6375</v>
      </c>
      <c r="AA669" s="20">
        <v>0.65625</v>
      </c>
      <c r="AB669" s="54"/>
      <c r="AC669" s="54"/>
      <c r="AD669" s="51">
        <v>0.7041666666666667</v>
      </c>
      <c r="AE669" s="18">
        <v>45957.0</v>
      </c>
      <c r="AF669" s="22" t="s">
        <v>3218</v>
      </c>
      <c r="AG669" s="22" t="s">
        <v>162</v>
      </c>
      <c r="AH669" s="22" t="s">
        <v>5336</v>
      </c>
      <c r="AI669" s="62" t="str">
        <f>IFERROR(__xludf.DUMMYFUNCTION("IF(OR(W669="""",X669="""",AE669="""",AD669=""""),"""",
   TEXT(
     (
       (AE669+AD669 + IF(AE669+AD669 &lt; W669+X669,1,0)) - (W669+X669)
     )
     - IF(AND(AB669&lt;&gt;"""",AC669&lt;&gt;""""), 
          SUM(ARRAYFORMULA(SPLIT(AC669,"","") - SPLIT(AB669,"",""))"&amp;"), 
          0
       ),
     ""[hh]:mm""
   )
)
"),"04:02")</f>
        <v>04:02</v>
      </c>
      <c r="AJ669" s="27">
        <f t="shared" si="9"/>
        <v>0</v>
      </c>
      <c r="AK669" s="63" t="str">
        <f t="shared" si="10"/>
        <v>Pass</v>
      </c>
    </row>
    <row r="670">
      <c r="A670" s="18">
        <v>45954.0</v>
      </c>
      <c r="B670" s="20">
        <v>0.39305555555555555</v>
      </c>
      <c r="C670" s="18">
        <v>45954.0</v>
      </c>
      <c r="D670" s="20">
        <v>0.40208333333333335</v>
      </c>
      <c r="E670" s="22" t="s">
        <v>5337</v>
      </c>
      <c r="F670" s="22" t="s">
        <v>5328</v>
      </c>
      <c r="G670" s="22" t="s">
        <v>5329</v>
      </c>
      <c r="H670" s="22" t="s">
        <v>566</v>
      </c>
      <c r="I670" s="22" t="s">
        <v>1612</v>
      </c>
      <c r="J670" s="22" t="s">
        <v>1612</v>
      </c>
      <c r="K670" s="22" t="s">
        <v>143</v>
      </c>
      <c r="L670" s="22" t="s">
        <v>1613</v>
      </c>
      <c r="M670" s="22" t="s">
        <v>5338</v>
      </c>
      <c r="N670" s="22" t="s">
        <v>5339</v>
      </c>
      <c r="O670" s="23" t="s">
        <v>5340</v>
      </c>
      <c r="P670" s="22" t="s">
        <v>48</v>
      </c>
      <c r="Q670" s="50" t="s">
        <v>65</v>
      </c>
      <c r="R670" s="22" t="s">
        <v>5341</v>
      </c>
      <c r="S670" s="22" t="s">
        <v>51</v>
      </c>
      <c r="T670" s="22" t="s">
        <v>52</v>
      </c>
      <c r="U670" s="22" t="s">
        <v>52</v>
      </c>
      <c r="V670" s="22" t="s">
        <v>52</v>
      </c>
      <c r="W670" s="18">
        <v>45957.0</v>
      </c>
      <c r="X670" s="20">
        <v>0.5361111111111111</v>
      </c>
      <c r="Y670" s="18">
        <v>45957.0</v>
      </c>
      <c r="Z670" s="20">
        <v>0.6375</v>
      </c>
      <c r="AA670" s="20">
        <v>0.7076388888888889</v>
      </c>
      <c r="AB670" s="51">
        <v>0.6375</v>
      </c>
      <c r="AC670" s="51">
        <v>0.7076388888888889</v>
      </c>
      <c r="AD670" s="51">
        <v>0.7319444444444444</v>
      </c>
      <c r="AE670" s="18">
        <v>45957.0</v>
      </c>
      <c r="AF670" s="22" t="s">
        <v>3218</v>
      </c>
      <c r="AG670" s="22" t="s">
        <v>162</v>
      </c>
      <c r="AH670" s="22" t="s">
        <v>5336</v>
      </c>
      <c r="AI670" s="62" t="str">
        <f>IFERROR(__xludf.DUMMYFUNCTION("IF(OR(W670="""",X670="""",AE670="""",AD670=""""),"""",
   TEXT(
     (
       (AE670+AD670 + IF(AE670+AD670 &lt; W670+X670,1,0)) - (W670+X670)
     )
     - IF(AND(AB670&lt;&gt;"""",AC670&lt;&gt;""""), 
          SUM(ARRAYFORMULA(SPLIT(AC670,"","") - SPLIT(AB670,"",""))"&amp;"), 
          0
       ),
     ""[hh]:mm""
   )
)
"),"03:01")</f>
        <v>03:01</v>
      </c>
      <c r="AJ670" s="27">
        <f t="shared" si="9"/>
        <v>0</v>
      </c>
      <c r="AK670" s="63" t="str">
        <f t="shared" si="10"/>
        <v>Pass</v>
      </c>
    </row>
    <row r="671">
      <c r="A671" s="18">
        <v>45954.0</v>
      </c>
      <c r="B671" s="20">
        <v>0.39305555555555555</v>
      </c>
      <c r="C671" s="18">
        <v>45954.0</v>
      </c>
      <c r="D671" s="20">
        <v>0.40208333333333335</v>
      </c>
      <c r="E671" s="22" t="s">
        <v>5342</v>
      </c>
      <c r="F671" s="22" t="s">
        <v>5328</v>
      </c>
      <c r="G671" s="22" t="s">
        <v>5329</v>
      </c>
      <c r="H671" s="22" t="s">
        <v>566</v>
      </c>
      <c r="I671" s="22" t="s">
        <v>1612</v>
      </c>
      <c r="J671" s="22" t="s">
        <v>1612</v>
      </c>
      <c r="K671" s="22" t="s">
        <v>143</v>
      </c>
      <c r="L671" s="22" t="s">
        <v>1613</v>
      </c>
      <c r="M671" s="22" t="s">
        <v>5343</v>
      </c>
      <c r="N671" s="22" t="s">
        <v>5344</v>
      </c>
      <c r="O671" s="23" t="s">
        <v>5340</v>
      </c>
      <c r="P671" s="22" t="s">
        <v>48</v>
      </c>
      <c r="Q671" s="50" t="s">
        <v>65</v>
      </c>
      <c r="R671" s="22" t="s">
        <v>5341</v>
      </c>
      <c r="S671" s="22" t="s">
        <v>51</v>
      </c>
      <c r="T671" s="22" t="s">
        <v>52</v>
      </c>
      <c r="U671" s="22" t="s">
        <v>52</v>
      </c>
      <c r="V671" s="22" t="s">
        <v>52</v>
      </c>
      <c r="W671" s="18">
        <v>45957.0</v>
      </c>
      <c r="X671" s="20">
        <v>0.5361111111111111</v>
      </c>
      <c r="Y671" s="18">
        <v>45957.0</v>
      </c>
      <c r="Z671" s="20">
        <v>0.6375</v>
      </c>
      <c r="AA671" s="20">
        <v>0.7076388888888889</v>
      </c>
      <c r="AB671" s="51">
        <v>0.6375</v>
      </c>
      <c r="AC671" s="51">
        <v>0.7076388888888889</v>
      </c>
      <c r="AD671" s="51">
        <v>0.7319444444444444</v>
      </c>
      <c r="AE671" s="18">
        <v>45957.0</v>
      </c>
      <c r="AF671" s="22" t="s">
        <v>3218</v>
      </c>
      <c r="AG671" s="22" t="s">
        <v>162</v>
      </c>
      <c r="AH671" s="22" t="s">
        <v>5336</v>
      </c>
      <c r="AI671" s="62" t="str">
        <f>IFERROR(__xludf.DUMMYFUNCTION("IF(OR(W671="""",X671="""",AE671="""",AD671=""""),"""",
   TEXT(
     (
       (AE671+AD671 + IF(AE671+AD671 &lt; W671+X671,1,0)) - (W671+X671)
     )
     - IF(AND(AB671&lt;&gt;"""",AC671&lt;&gt;""""), 
          SUM(ARRAYFORMULA(SPLIT(AC671,"","") - SPLIT(AB671,"",""))"&amp;"), 
          0
       ),
     ""[hh]:mm""
   )
)
"),"03:01")</f>
        <v>03:01</v>
      </c>
      <c r="AJ671" s="27">
        <f t="shared" si="9"/>
        <v>0</v>
      </c>
      <c r="AK671" s="63" t="str">
        <f t="shared" si="10"/>
        <v>Pass</v>
      </c>
    </row>
    <row r="672">
      <c r="A672" s="18">
        <v>45957.0</v>
      </c>
      <c r="B672" s="20">
        <v>0.7166666666666667</v>
      </c>
      <c r="C672" s="18">
        <v>45957.0</v>
      </c>
      <c r="D672" s="20">
        <v>0.7229166666666667</v>
      </c>
      <c r="E672" s="22" t="s">
        <v>5345</v>
      </c>
      <c r="F672" s="22" t="s">
        <v>5346</v>
      </c>
      <c r="G672" s="22" t="s">
        <v>5347</v>
      </c>
      <c r="H672" s="22" t="s">
        <v>566</v>
      </c>
      <c r="I672" s="22" t="s">
        <v>95</v>
      </c>
      <c r="J672" s="22" t="s">
        <v>95</v>
      </c>
      <c r="K672" s="22" t="s">
        <v>143</v>
      </c>
      <c r="L672" s="22" t="s">
        <v>606</v>
      </c>
      <c r="M672" s="22" t="s">
        <v>5348</v>
      </c>
      <c r="N672" s="22" t="s">
        <v>5349</v>
      </c>
      <c r="O672" s="23" t="s">
        <v>5350</v>
      </c>
      <c r="P672" s="22" t="s">
        <v>48</v>
      </c>
      <c r="Q672" s="50" t="s">
        <v>49</v>
      </c>
      <c r="R672" s="22" t="s">
        <v>5351</v>
      </c>
      <c r="S672" s="22" t="s">
        <v>51</v>
      </c>
      <c r="T672" s="22" t="s">
        <v>52</v>
      </c>
      <c r="U672" s="22" t="s">
        <v>52</v>
      </c>
      <c r="V672" s="22" t="s">
        <v>52</v>
      </c>
      <c r="W672" s="18">
        <v>45957.0</v>
      </c>
      <c r="X672" s="20">
        <v>0.7229166666666667</v>
      </c>
      <c r="Y672" s="18">
        <v>45957.0</v>
      </c>
      <c r="Z672" s="20">
        <v>0.8708333333333333</v>
      </c>
      <c r="AA672" s="20">
        <v>0.8784722222222222</v>
      </c>
      <c r="AB672" s="54"/>
      <c r="AC672" s="54"/>
      <c r="AD672" s="51">
        <v>0.9201388888888888</v>
      </c>
      <c r="AE672" s="18">
        <v>45957.0</v>
      </c>
      <c r="AF672" s="22" t="s">
        <v>2931</v>
      </c>
      <c r="AG672" s="22" t="s">
        <v>209</v>
      </c>
      <c r="AH672" s="22" t="s">
        <v>5352</v>
      </c>
      <c r="AI672" s="62" t="str">
        <f>IFERROR(__xludf.DUMMYFUNCTION("IF(OR(W672="""",X672="""",AE672="""",AD672=""""),"""",
   TEXT(
     (
       (AE672+AD672 + IF(AE672+AD672 &lt; W672+X672,1,0)) - (W672+X672)
     )
     - IF(AND(AB672&lt;&gt;"""",AC672&lt;&gt;""""), 
          SUM(ARRAYFORMULA(SPLIT(AC672,"","") - SPLIT(AB672,"",""))"&amp;"), 
          0
       ),
     ""[hh]:mm""
   )
)
"),"04:44")</f>
        <v>04:44</v>
      </c>
      <c r="AJ672" s="27">
        <f t="shared" si="9"/>
        <v>0.03055555556</v>
      </c>
      <c r="AK672" s="63" t="str">
        <f t="shared" si="10"/>
        <v>Fail</v>
      </c>
    </row>
    <row r="673">
      <c r="A673" s="18">
        <v>45957.0</v>
      </c>
      <c r="B673" s="20">
        <v>0.8569444444444444</v>
      </c>
      <c r="C673" s="18">
        <v>45957.0</v>
      </c>
      <c r="D673" s="20">
        <v>0.8625</v>
      </c>
      <c r="E673" s="22" t="s">
        <v>5353</v>
      </c>
      <c r="F673" s="22" t="s">
        <v>2193</v>
      </c>
      <c r="G673" s="22" t="s">
        <v>2194</v>
      </c>
      <c r="H673" s="22" t="s">
        <v>2337</v>
      </c>
      <c r="I673" s="22" t="s">
        <v>118</v>
      </c>
      <c r="J673" s="22" t="s">
        <v>3991</v>
      </c>
      <c r="K673" s="22" t="s">
        <v>43</v>
      </c>
      <c r="L673" s="22" t="s">
        <v>120</v>
      </c>
      <c r="M673" s="22" t="s">
        <v>5184</v>
      </c>
      <c r="N673" s="22" t="s">
        <v>5185</v>
      </c>
      <c r="O673" s="23" t="s">
        <v>5354</v>
      </c>
      <c r="P673" s="22" t="s">
        <v>75</v>
      </c>
      <c r="Q673" s="50" t="s">
        <v>65</v>
      </c>
      <c r="R673" s="22" t="s">
        <v>5355</v>
      </c>
      <c r="S673" s="22" t="s">
        <v>51</v>
      </c>
      <c r="T673" s="22" t="s">
        <v>3991</v>
      </c>
      <c r="U673" s="22" t="s">
        <v>5356</v>
      </c>
      <c r="V673" s="22" t="s">
        <v>5184</v>
      </c>
      <c r="W673" s="18">
        <v>45958.0</v>
      </c>
      <c r="X673" s="20">
        <v>0.5763888888888888</v>
      </c>
      <c r="Y673" s="18">
        <v>45958.0</v>
      </c>
      <c r="Z673" s="20">
        <v>0.6458333333333334</v>
      </c>
      <c r="AA673" s="20">
        <v>0.6493055555555556</v>
      </c>
      <c r="AB673" s="54"/>
      <c r="AC673" s="54"/>
      <c r="AD673" s="51">
        <v>0.6701388888888888</v>
      </c>
      <c r="AE673" s="18">
        <v>45958.0</v>
      </c>
      <c r="AF673" s="22" t="s">
        <v>2711</v>
      </c>
      <c r="AG673" s="22" t="s">
        <v>1975</v>
      </c>
      <c r="AH673" s="22" t="s">
        <v>4376</v>
      </c>
      <c r="AI673" s="26" t="str">
        <f>IFERROR(__xludf.DUMMYFUNCTION("IF(OR(W673="""",X673="""",AE673="""",AD673=""""),"""",
   TEXT(
     (
       (AE673+AD673 + IF(AE673+AD673 &lt; W673+X673,1,0)) - (W673+X673)
     )
     - IF(AND(AB673&lt;&gt;"""",AC673&lt;&gt;""""), 
          SUM(ARRAYFORMULA(SPLIT(AC673,"","") - SPLIT(AB673,"",""))"&amp;"), 
          0
       ),
     ""[hh]:mm""
   )
)
"),"02:15")</f>
        <v>02:15</v>
      </c>
      <c r="AJ673" s="55">
        <f t="shared" si="9"/>
        <v>0</v>
      </c>
      <c r="AK673" s="28" t="str">
        <f t="shared" si="10"/>
        <v>Pass</v>
      </c>
    </row>
    <row r="674">
      <c r="A674" s="45">
        <v>45957.0</v>
      </c>
      <c r="B674" s="49">
        <v>0.9229166666666667</v>
      </c>
      <c r="C674" s="45">
        <v>45957.0</v>
      </c>
      <c r="D674" s="49">
        <v>0.9256944444444445</v>
      </c>
      <c r="E674" s="21" t="s">
        <v>5357</v>
      </c>
      <c r="F674" s="21" t="s">
        <v>3804</v>
      </c>
      <c r="G674" s="21" t="s">
        <v>5358</v>
      </c>
      <c r="H674" s="21" t="s">
        <v>566</v>
      </c>
      <c r="I674" s="21" t="s">
        <v>644</v>
      </c>
      <c r="J674" s="21" t="s">
        <v>644</v>
      </c>
      <c r="K674" s="21" t="s">
        <v>143</v>
      </c>
      <c r="L674" s="21" t="s">
        <v>143</v>
      </c>
      <c r="M674" s="21" t="s">
        <v>5359</v>
      </c>
      <c r="N674" s="21" t="s">
        <v>5360</v>
      </c>
      <c r="O674" s="48" t="s">
        <v>5361</v>
      </c>
      <c r="P674" s="21" t="s">
        <v>48</v>
      </c>
      <c r="Q674" s="24" t="s">
        <v>65</v>
      </c>
      <c r="R674" s="21" t="s">
        <v>2648</v>
      </c>
      <c r="S674" s="21" t="s">
        <v>51</v>
      </c>
      <c r="T674" s="21" t="s">
        <v>52</v>
      </c>
      <c r="U674" s="21" t="s">
        <v>52</v>
      </c>
      <c r="V674" s="21" t="s">
        <v>52</v>
      </c>
      <c r="W674" s="45">
        <v>45958.0</v>
      </c>
      <c r="X674" s="49">
        <v>0.25</v>
      </c>
      <c r="Y674" s="45">
        <v>45958.0</v>
      </c>
      <c r="Z674" s="49">
        <v>0.4270833333333333</v>
      </c>
      <c r="AA674" s="49">
        <v>0.4305555555555556</v>
      </c>
      <c r="AB674" s="29"/>
      <c r="AC674" s="29"/>
      <c r="AD674" s="25">
        <v>0.4583333333333333</v>
      </c>
      <c r="AE674" s="45">
        <v>45958.0</v>
      </c>
      <c r="AF674" s="21" t="s">
        <v>2931</v>
      </c>
      <c r="AG674" s="21" t="s">
        <v>54</v>
      </c>
      <c r="AH674" s="21" t="s">
        <v>5362</v>
      </c>
      <c r="AI674" s="62" t="str">
        <f>IFERROR(__xludf.DUMMYFUNCTION("IF(OR(W674="""",X674="""",AE674="""",AD674=""""),"""",
   TEXT(
     (
       (AE674+AD674 + IF(AE674+AD674 &lt; W674+X674,1,0)) - (W674+X674)
     )
     - IF(AND(AB674&lt;&gt;"""",AC674&lt;&gt;""""), 
          SUM(ARRAYFORMULA(SPLIT(AC674,"","") - SPLIT(AB674,"",""))"&amp;"), 
          0
       ),
     ""[hh]:mm""
   )
)
"),"05:00")</f>
        <v>05:00</v>
      </c>
      <c r="AJ674" s="27">
        <f t="shared" si="9"/>
        <v>0</v>
      </c>
      <c r="AK674" s="63" t="str">
        <f t="shared" si="10"/>
        <v>Pass</v>
      </c>
    </row>
    <row r="675">
      <c r="A675" s="18">
        <v>45958.0</v>
      </c>
      <c r="B675" s="20">
        <v>0.5027777777777778</v>
      </c>
      <c r="C675" s="18">
        <v>45958.0</v>
      </c>
      <c r="D675" s="79">
        <v>0.30416666666666664</v>
      </c>
      <c r="E675" s="22" t="s">
        <v>5363</v>
      </c>
      <c r="F675" s="22" t="s">
        <v>5364</v>
      </c>
      <c r="G675" s="22" t="s">
        <v>5365</v>
      </c>
      <c r="H675" s="22" t="s">
        <v>1610</v>
      </c>
      <c r="I675" s="22" t="s">
        <v>1612</v>
      </c>
      <c r="J675" s="22" t="s">
        <v>1612</v>
      </c>
      <c r="K675" s="22" t="s">
        <v>143</v>
      </c>
      <c r="L675" s="22" t="s">
        <v>1613</v>
      </c>
      <c r="M675" s="22" t="s">
        <v>5366</v>
      </c>
      <c r="N675" s="22" t="s">
        <v>5367</v>
      </c>
      <c r="O675" s="23" t="s">
        <v>5368</v>
      </c>
      <c r="P675" s="22" t="s">
        <v>187</v>
      </c>
      <c r="Q675" s="50" t="s">
        <v>65</v>
      </c>
      <c r="R675" s="22" t="s">
        <v>5369</v>
      </c>
      <c r="S675" s="22" t="s">
        <v>51</v>
      </c>
      <c r="T675" s="22" t="s">
        <v>52</v>
      </c>
      <c r="U675" s="22" t="s">
        <v>52</v>
      </c>
      <c r="V675" s="22" t="s">
        <v>52</v>
      </c>
      <c r="W675" s="18">
        <v>45958.0</v>
      </c>
      <c r="X675" s="20">
        <v>0.30416666666666664</v>
      </c>
      <c r="Y675" s="18">
        <v>45958.0</v>
      </c>
      <c r="Z675" s="20">
        <v>0.6020833333333333</v>
      </c>
      <c r="AA675" s="20">
        <v>0.6027777777777777</v>
      </c>
      <c r="AB675" s="54"/>
      <c r="AC675" s="54"/>
      <c r="AD675" s="51">
        <v>0.7097222222222223</v>
      </c>
      <c r="AE675" s="18">
        <v>45958.0</v>
      </c>
      <c r="AF675" s="22" t="s">
        <v>2931</v>
      </c>
      <c r="AG675" s="22" t="s">
        <v>162</v>
      </c>
      <c r="AH675" s="22" t="s">
        <v>5370</v>
      </c>
      <c r="AI675" s="26" t="str">
        <f>IFERROR(__xludf.DUMMYFUNCTION("IF(OR(W675="""",X675="""",AE675="""",AD675=""""),"""",
   TEXT(
     (
       (AE675+AD675 + IF(AE675+AD675 &lt; W675+X675,1,0)) - (W675+X675)
     )
     - IF(AND(AB675&lt;&gt;"""",AC675&lt;&gt;""""), 
          SUM(ARRAYFORMULA(SPLIT(AC675,"","") - SPLIT(AB675,"",""))"&amp;"), 
          0
       ),
     ""[hh]:mm""
   )
)
"),"09:44")</f>
        <v>09:44</v>
      </c>
      <c r="AJ675" s="55">
        <f t="shared" si="9"/>
        <v>0</v>
      </c>
      <c r="AK675" s="28" t="str">
        <f t="shared" si="10"/>
        <v>Pass</v>
      </c>
    </row>
    <row r="676">
      <c r="A676" s="18">
        <v>45957.0</v>
      </c>
      <c r="B676" s="20">
        <v>0.4041666666666667</v>
      </c>
      <c r="C676" s="18">
        <v>45957.0</v>
      </c>
      <c r="D676" s="20">
        <v>0.4097222222222222</v>
      </c>
      <c r="E676" s="22" t="s">
        <v>5371</v>
      </c>
      <c r="F676" s="22" t="s">
        <v>5372</v>
      </c>
      <c r="G676" s="22" t="s">
        <v>5373</v>
      </c>
      <c r="H676" s="22" t="s">
        <v>3471</v>
      </c>
      <c r="I676" s="22" t="s">
        <v>815</v>
      </c>
      <c r="J676" s="22" t="s">
        <v>1084</v>
      </c>
      <c r="K676" s="22" t="s">
        <v>1936</v>
      </c>
      <c r="L676" s="22" t="s">
        <v>52</v>
      </c>
      <c r="M676" s="22" t="s">
        <v>52</v>
      </c>
      <c r="N676" s="22" t="s">
        <v>5374</v>
      </c>
      <c r="O676" s="23" t="s">
        <v>5375</v>
      </c>
      <c r="P676" s="22" t="s">
        <v>48</v>
      </c>
      <c r="Q676" s="50" t="s">
        <v>198</v>
      </c>
      <c r="R676" s="22" t="s">
        <v>5376</v>
      </c>
      <c r="S676" s="22" t="s">
        <v>51</v>
      </c>
      <c r="T676" s="22" t="s">
        <v>52</v>
      </c>
      <c r="U676" s="22" t="s">
        <v>52</v>
      </c>
      <c r="V676" s="22" t="s">
        <v>52</v>
      </c>
      <c r="W676" s="18">
        <v>45958.0</v>
      </c>
      <c r="X676" s="20">
        <v>0.4166666666666667</v>
      </c>
      <c r="Y676" s="18">
        <v>45958.0</v>
      </c>
      <c r="Z676" s="20">
        <v>0.6541666666666667</v>
      </c>
      <c r="AA676" s="20">
        <v>0.6548611111111111</v>
      </c>
      <c r="AB676" s="54"/>
      <c r="AC676" s="54"/>
      <c r="AD676" s="51">
        <v>0.6833333333333333</v>
      </c>
      <c r="AE676" s="18">
        <v>45958.0</v>
      </c>
      <c r="AF676" s="22" t="s">
        <v>2730</v>
      </c>
      <c r="AG676" s="22" t="s">
        <v>293</v>
      </c>
      <c r="AH676" s="22" t="s">
        <v>5377</v>
      </c>
      <c r="AI676" s="26" t="str">
        <f>IFERROR(__xludf.DUMMYFUNCTION("IF(OR(W676="""",X676="""",AE676="""",AD676=""""),"""",
   TEXT(
     (
       (AE676+AD676 + IF(AE676+AD676 &lt; W676+X676,1,0)) - (W676+X676)
     )
     - IF(AND(AB676&lt;&gt;"""",AC676&lt;&gt;""""), 
          SUM(ARRAYFORMULA(SPLIT(AC676,"","") - SPLIT(AB676,"",""))"&amp;"), 
          0
       ),
     ""[hh]:mm""
   )
)
"),"06:24")</f>
        <v>06:24</v>
      </c>
      <c r="AJ676" s="55">
        <f t="shared" si="9"/>
        <v>0</v>
      </c>
      <c r="AK676" s="28" t="str">
        <f t="shared" si="10"/>
        <v>Pass</v>
      </c>
    </row>
    <row r="677">
      <c r="A677" s="18">
        <v>45957.0</v>
      </c>
      <c r="B677" s="20">
        <v>0.6368055555555555</v>
      </c>
      <c r="C677" s="18">
        <v>45957.0</v>
      </c>
      <c r="D677" s="20">
        <v>0.6388888888888888</v>
      </c>
      <c r="E677" s="22" t="s">
        <v>5378</v>
      </c>
      <c r="F677" s="22" t="s">
        <v>435</v>
      </c>
      <c r="G677" s="22" t="s">
        <v>5379</v>
      </c>
      <c r="H677" s="22" t="s">
        <v>3471</v>
      </c>
      <c r="I677" s="22" t="s">
        <v>815</v>
      </c>
      <c r="J677" s="22" t="s">
        <v>1084</v>
      </c>
      <c r="K677" s="22" t="s">
        <v>1936</v>
      </c>
      <c r="L677" s="22" t="s">
        <v>52</v>
      </c>
      <c r="M677" s="22" t="s">
        <v>52</v>
      </c>
      <c r="N677" s="22" t="s">
        <v>5374</v>
      </c>
      <c r="O677" s="23" t="s">
        <v>5380</v>
      </c>
      <c r="P677" s="22" t="s">
        <v>48</v>
      </c>
      <c r="Q677" s="50" t="s">
        <v>65</v>
      </c>
      <c r="R677" s="22" t="s">
        <v>5376</v>
      </c>
      <c r="S677" s="22" t="s">
        <v>51</v>
      </c>
      <c r="T677" s="22" t="s">
        <v>52</v>
      </c>
      <c r="U677" s="22" t="s">
        <v>52</v>
      </c>
      <c r="V677" s="22" t="s">
        <v>52</v>
      </c>
      <c r="W677" s="18">
        <v>45958.0</v>
      </c>
      <c r="X677" s="20">
        <v>0.4166666666666667</v>
      </c>
      <c r="Y677" s="18">
        <v>45958.0</v>
      </c>
      <c r="Z677" s="20">
        <v>0.4444444444444444</v>
      </c>
      <c r="AA677" s="20">
        <v>0.4583333333333333</v>
      </c>
      <c r="AB677" s="54"/>
      <c r="AC677" s="54"/>
      <c r="AD677" s="51">
        <v>0.5104166666666666</v>
      </c>
      <c r="AE677" s="18">
        <v>45958.0</v>
      </c>
      <c r="AF677" s="22" t="s">
        <v>2730</v>
      </c>
      <c r="AG677" s="22" t="s">
        <v>78</v>
      </c>
      <c r="AH677" s="22" t="s">
        <v>5381</v>
      </c>
      <c r="AI677" s="26" t="str">
        <f>IFERROR(__xludf.DUMMYFUNCTION("IF(OR(W677="""",X677="""",AE677="""",AD677=""""),"""",
   TEXT(
     (
       (AE677+AD677 + IF(AE677+AD677 &lt; W677+X677,1,0)) - (W677+X677)
     )
     - IF(AND(AB677&lt;&gt;"""",AC677&lt;&gt;""""), 
          SUM(ARRAYFORMULA(SPLIT(AC677,"","") - SPLIT(AB677,"",""))"&amp;"), 
          0
       ),
     ""[hh]:mm""
   )
)
"),"02:15")</f>
        <v>02:15</v>
      </c>
      <c r="AJ677" s="55">
        <f t="shared" si="9"/>
        <v>0</v>
      </c>
      <c r="AK677" s="28" t="str">
        <f t="shared" si="10"/>
        <v>Pass</v>
      </c>
    </row>
    <row r="678">
      <c r="A678" s="18">
        <v>45957.0</v>
      </c>
      <c r="B678" s="20">
        <v>0.6388888888888888</v>
      </c>
      <c r="C678" s="18">
        <v>45957.0</v>
      </c>
      <c r="D678" s="20">
        <v>0.6416666666666667</v>
      </c>
      <c r="E678" s="22" t="s">
        <v>5382</v>
      </c>
      <c r="F678" s="22" t="s">
        <v>5383</v>
      </c>
      <c r="G678" s="22" t="s">
        <v>5384</v>
      </c>
      <c r="H678" s="22" t="s">
        <v>3471</v>
      </c>
      <c r="I678" s="22" t="s">
        <v>815</v>
      </c>
      <c r="J678" s="22" t="s">
        <v>1084</v>
      </c>
      <c r="K678" s="22" t="s">
        <v>1936</v>
      </c>
      <c r="L678" s="22" t="s">
        <v>52</v>
      </c>
      <c r="M678" s="22" t="s">
        <v>52</v>
      </c>
      <c r="N678" s="22" t="s">
        <v>5374</v>
      </c>
      <c r="O678" s="23" t="s">
        <v>5385</v>
      </c>
      <c r="P678" s="22" t="s">
        <v>48</v>
      </c>
      <c r="Q678" s="50" t="s">
        <v>65</v>
      </c>
      <c r="R678" s="22" t="s">
        <v>5376</v>
      </c>
      <c r="S678" s="22" t="s">
        <v>51</v>
      </c>
      <c r="T678" s="22" t="s">
        <v>52</v>
      </c>
      <c r="U678" s="22" t="s">
        <v>52</v>
      </c>
      <c r="V678" s="22" t="s">
        <v>52</v>
      </c>
      <c r="W678" s="18">
        <v>45958.0</v>
      </c>
      <c r="X678" s="20">
        <v>0.4166666666666667</v>
      </c>
      <c r="Y678" s="18">
        <v>45958.0</v>
      </c>
      <c r="Z678" s="20">
        <v>0.5173611111111112</v>
      </c>
      <c r="AA678" s="20">
        <v>0.5208333333333334</v>
      </c>
      <c r="AB678" s="54"/>
      <c r="AC678" s="54"/>
      <c r="AD678" s="51">
        <v>0.5625</v>
      </c>
      <c r="AE678" s="18">
        <v>45958.0</v>
      </c>
      <c r="AF678" s="22" t="s">
        <v>2730</v>
      </c>
      <c r="AG678" s="22" t="s">
        <v>78</v>
      </c>
      <c r="AH678" s="22" t="s">
        <v>5386</v>
      </c>
      <c r="AI678" s="26" t="str">
        <f>IFERROR(__xludf.DUMMYFUNCTION("IF(OR(W678="""",X678="""",AE678="""",AD678=""""),"""",
   TEXT(
     (
       (AE678+AD678 + IF(AE678+AD678 &lt; W678+X678,1,0)) - (W678+X678)
     )
     - IF(AND(AB678&lt;&gt;"""",AC678&lt;&gt;""""), 
          SUM(ARRAYFORMULA(SPLIT(AC678,"","") - SPLIT(AB678,"",""))"&amp;"), 
          0
       ),
     ""[hh]:mm""
   )
)
"),"03:30")</f>
        <v>03:30</v>
      </c>
      <c r="AJ678" s="55">
        <f t="shared" si="9"/>
        <v>0</v>
      </c>
      <c r="AK678" s="28" t="str">
        <f t="shared" si="10"/>
        <v>Pass</v>
      </c>
    </row>
    <row r="679">
      <c r="A679" s="18">
        <v>45957.0</v>
      </c>
      <c r="B679" s="20">
        <v>0.7090277777777778</v>
      </c>
      <c r="C679" s="18">
        <v>45957.0</v>
      </c>
      <c r="D679" s="20">
        <v>0.7201388888888889</v>
      </c>
      <c r="E679" s="22" t="s">
        <v>5387</v>
      </c>
      <c r="F679" s="22" t="s">
        <v>3780</v>
      </c>
      <c r="G679" s="22" t="s">
        <v>3781</v>
      </c>
      <c r="H679" s="22" t="s">
        <v>1610</v>
      </c>
      <c r="I679" s="22" t="s">
        <v>1612</v>
      </c>
      <c r="J679" s="22" t="s">
        <v>1612</v>
      </c>
      <c r="K679" s="22" t="s">
        <v>143</v>
      </c>
      <c r="L679" s="22" t="s">
        <v>3833</v>
      </c>
      <c r="M679" s="22" t="s">
        <v>5388</v>
      </c>
      <c r="N679" s="22" t="s">
        <v>5389</v>
      </c>
      <c r="O679" s="23" t="s">
        <v>5390</v>
      </c>
      <c r="P679" s="22" t="s">
        <v>187</v>
      </c>
      <c r="Q679" s="50" t="s">
        <v>65</v>
      </c>
      <c r="R679" s="22" t="s">
        <v>5391</v>
      </c>
      <c r="S679" s="22" t="s">
        <v>51</v>
      </c>
      <c r="T679" s="22" t="s">
        <v>52</v>
      </c>
      <c r="U679" s="22" t="s">
        <v>52</v>
      </c>
      <c r="V679" s="22" t="s">
        <v>52</v>
      </c>
      <c r="W679" s="18">
        <v>45958.0</v>
      </c>
      <c r="X679" s="20">
        <v>0.375</v>
      </c>
      <c r="Y679" s="18">
        <v>45958.0</v>
      </c>
      <c r="Z679" s="20">
        <v>0.7534722222222222</v>
      </c>
      <c r="AA679" s="20">
        <v>0.7569444444444444</v>
      </c>
      <c r="AB679" s="54"/>
      <c r="AC679" s="54"/>
      <c r="AD679" s="51">
        <v>0.78125</v>
      </c>
      <c r="AE679" s="18">
        <v>45958.0</v>
      </c>
      <c r="AF679" s="22" t="s">
        <v>2839</v>
      </c>
      <c r="AG679" s="22" t="s">
        <v>102</v>
      </c>
      <c r="AH679" s="22" t="s">
        <v>5392</v>
      </c>
      <c r="AI679" s="26" t="str">
        <f>IFERROR(__xludf.DUMMYFUNCTION("IF(OR(W679="""",X679="""",AE679="""",AD679=""""),"""",
   TEXT(
     (
       (AE679+AD679 + IF(AE679+AD679 &lt; W679+X679,1,0)) - (W679+X679)
     )
     - IF(AND(AB679&lt;&gt;"""",AC679&lt;&gt;""""), 
          SUM(ARRAYFORMULA(SPLIT(AC679,"","") - SPLIT(AB679,"",""))"&amp;"), 
          0
       ),
     ""[hh]:mm""
   )
)
"),"09:45")</f>
        <v>09:45</v>
      </c>
      <c r="AJ679" s="55">
        <f t="shared" si="9"/>
        <v>0</v>
      </c>
      <c r="AK679" s="28" t="str">
        <f t="shared" si="10"/>
        <v>Pass</v>
      </c>
    </row>
    <row r="680">
      <c r="A680" s="45">
        <v>45953.0</v>
      </c>
      <c r="B680" s="49">
        <v>0.7888888888888889</v>
      </c>
      <c r="C680" s="45">
        <v>45953.0</v>
      </c>
      <c r="D680" s="91" t="s">
        <v>4905</v>
      </c>
      <c r="E680" s="21" t="s">
        <v>5393</v>
      </c>
      <c r="F680" s="21" t="s">
        <v>2284</v>
      </c>
      <c r="G680" s="21" t="s">
        <v>4747</v>
      </c>
      <c r="H680" s="21" t="s">
        <v>4908</v>
      </c>
      <c r="I680" s="21" t="s">
        <v>95</v>
      </c>
      <c r="J680" s="21" t="s">
        <v>95</v>
      </c>
      <c r="K680" s="21" t="s">
        <v>143</v>
      </c>
      <c r="L680" s="21" t="s">
        <v>606</v>
      </c>
      <c r="M680" s="21" t="s">
        <v>5394</v>
      </c>
      <c r="N680" s="21" t="s">
        <v>5395</v>
      </c>
      <c r="O680" s="48" t="s">
        <v>5396</v>
      </c>
      <c r="P680" s="22" t="s">
        <v>75</v>
      </c>
      <c r="Q680" s="24" t="s">
        <v>449</v>
      </c>
      <c r="R680" s="21" t="s">
        <v>5094</v>
      </c>
      <c r="S680" s="21" t="s">
        <v>51</v>
      </c>
      <c r="T680" s="21" t="s">
        <v>5071</v>
      </c>
      <c r="U680" s="21" t="s">
        <v>5397</v>
      </c>
      <c r="V680" s="21" t="s">
        <v>52</v>
      </c>
      <c r="W680" s="45">
        <v>45958.0</v>
      </c>
      <c r="X680" s="49">
        <v>0.08333333333333333</v>
      </c>
      <c r="Y680" s="45">
        <v>45958.0</v>
      </c>
      <c r="Z680" s="49">
        <v>0.08333333333333333</v>
      </c>
      <c r="AA680" s="49">
        <v>0.09027777777777778</v>
      </c>
      <c r="AB680" s="29"/>
      <c r="AC680" s="29"/>
      <c r="AD680" s="25">
        <v>0.3333333333333333</v>
      </c>
      <c r="AE680" s="45">
        <v>45958.0</v>
      </c>
      <c r="AF680" s="21" t="s">
        <v>4914</v>
      </c>
      <c r="AG680" s="21" t="s">
        <v>4384</v>
      </c>
      <c r="AH680" s="21" t="s">
        <v>5398</v>
      </c>
      <c r="AI680" s="62" t="str">
        <f>IFERROR(__xludf.DUMMYFUNCTION("IF(OR(W680="""",X680="""",AE680="""",AD680=""""),"""",
   TEXT(
     (
       (AE680+AD680 + IF(AE680+AD680 &lt; W680+X680,1,0)) - (W680+X680)
     )
     - IF(AND(AB680&lt;&gt;"""",AC680&lt;&gt;""""), 
          SUM(ARRAYFORMULA(SPLIT(AC680,"","") - SPLIT(AB680,"",""))"&amp;"), 
          0
       ),
     ""[hh]:mm""
   )
)
"),"06:00")</f>
        <v>06:00</v>
      </c>
      <c r="AJ680" s="27">
        <f t="shared" si="9"/>
        <v>0</v>
      </c>
      <c r="AK680" s="63" t="str">
        <f t="shared" si="10"/>
        <v>Pass</v>
      </c>
    </row>
    <row r="681">
      <c r="A681" s="45">
        <v>45953.0</v>
      </c>
      <c r="B681" s="49">
        <v>0.5895833333333333</v>
      </c>
      <c r="C681" s="45">
        <v>45953.0</v>
      </c>
      <c r="D681" s="91" t="s">
        <v>4905</v>
      </c>
      <c r="E681" s="21" t="s">
        <v>5399</v>
      </c>
      <c r="F681" s="21" t="s">
        <v>4326</v>
      </c>
      <c r="G681" s="21" t="s">
        <v>4327</v>
      </c>
      <c r="H681" s="21" t="s">
        <v>4908</v>
      </c>
      <c r="I681" s="21" t="s">
        <v>95</v>
      </c>
      <c r="J681" s="21" t="s">
        <v>95</v>
      </c>
      <c r="K681" s="21" t="s">
        <v>143</v>
      </c>
      <c r="L681" s="21" t="s">
        <v>606</v>
      </c>
      <c r="M681" s="21" t="s">
        <v>5400</v>
      </c>
      <c r="N681" s="21" t="s">
        <v>5401</v>
      </c>
      <c r="O681" s="48" t="s">
        <v>5402</v>
      </c>
      <c r="P681" s="21" t="s">
        <v>75</v>
      </c>
      <c r="Q681" s="24" t="s">
        <v>198</v>
      </c>
      <c r="R681" s="21" t="s">
        <v>5094</v>
      </c>
      <c r="S681" s="21" t="s">
        <v>51</v>
      </c>
      <c r="T681" s="21" t="s">
        <v>5071</v>
      </c>
      <c r="U681" s="21" t="s">
        <v>5403</v>
      </c>
      <c r="V681" s="21" t="s">
        <v>52</v>
      </c>
      <c r="W681" s="45">
        <v>45958.0</v>
      </c>
      <c r="X681" s="49">
        <v>0.9902777777777778</v>
      </c>
      <c r="Y681" s="45">
        <v>45958.0</v>
      </c>
      <c r="Z681" s="49">
        <v>0.9902777777777778</v>
      </c>
      <c r="AA681" s="49">
        <v>0.08333333333333333</v>
      </c>
      <c r="AB681" s="29"/>
      <c r="AC681" s="29"/>
      <c r="AD681" s="25">
        <v>0.4375</v>
      </c>
      <c r="AE681" s="45">
        <v>45958.0</v>
      </c>
      <c r="AF681" s="21" t="s">
        <v>4914</v>
      </c>
      <c r="AG681" s="21" t="s">
        <v>1475</v>
      </c>
      <c r="AH681" s="47"/>
      <c r="AI681" s="62" t="str">
        <f>IFERROR(__xludf.DUMMYFUNCTION("IF(OR(W681="""",X681="""",AE681="""",AD681=""""),"""",
   TEXT(
     (
       (AE681+AD681 + IF(AE681+AD681 &lt; W681+X681,1,0)) - (W681+X681)
     )
     - IF(AND(AB681&lt;&gt;"""",AC681&lt;&gt;""""), 
          SUM(ARRAYFORMULA(SPLIT(AC681,"","") - SPLIT(AB681,"",""))"&amp;"), 
          0
       ),
     ""[hh]:mm""
   )
)
"),"10:44")</f>
        <v>10:44</v>
      </c>
      <c r="AJ681" s="27">
        <f t="shared" si="9"/>
        <v>0</v>
      </c>
      <c r="AK681" s="63" t="str">
        <f t="shared" si="10"/>
        <v>Pass</v>
      </c>
    </row>
    <row r="682">
      <c r="A682" s="18">
        <v>45958.0</v>
      </c>
      <c r="B682" s="20">
        <v>0.5097222222222222</v>
      </c>
      <c r="C682" s="18">
        <v>45958.0</v>
      </c>
      <c r="D682" s="20">
        <v>0.5152777777777777</v>
      </c>
      <c r="E682" s="22" t="s">
        <v>5404</v>
      </c>
      <c r="F682" s="22" t="s">
        <v>1045</v>
      </c>
      <c r="G682" s="22" t="s">
        <v>5405</v>
      </c>
      <c r="H682" s="22" t="s">
        <v>156</v>
      </c>
      <c r="I682" s="22" t="s">
        <v>5406</v>
      </c>
      <c r="J682" s="22" t="s">
        <v>2253</v>
      </c>
      <c r="K682" s="22" t="s">
        <v>43</v>
      </c>
      <c r="L682" s="22">
        <v>7600.0</v>
      </c>
      <c r="M682" s="22" t="s">
        <v>5407</v>
      </c>
      <c r="N682" s="22" t="s">
        <v>5408</v>
      </c>
      <c r="O682" s="23" t="s">
        <v>5409</v>
      </c>
      <c r="P682" s="22" t="s">
        <v>75</v>
      </c>
      <c r="Q682" s="50" t="s">
        <v>49</v>
      </c>
      <c r="R682" s="22" t="s">
        <v>5410</v>
      </c>
      <c r="S682" s="22" t="s">
        <v>51</v>
      </c>
      <c r="T682" s="22" t="s">
        <v>5411</v>
      </c>
      <c r="U682" s="22" t="s">
        <v>52</v>
      </c>
      <c r="V682" s="22" t="s">
        <v>52</v>
      </c>
      <c r="W682" s="18">
        <v>45958.0</v>
      </c>
      <c r="X682" s="20">
        <v>0.5152777777777777</v>
      </c>
      <c r="Y682" s="18">
        <v>45958.0</v>
      </c>
      <c r="Z682" s="75">
        <v>0.6145833333333334</v>
      </c>
      <c r="AA682" s="20">
        <v>0.6180555555555556</v>
      </c>
      <c r="AB682" s="51">
        <v>0.6388888888888888</v>
      </c>
      <c r="AC682" s="51">
        <v>0.6597222222222222</v>
      </c>
      <c r="AD682" s="51">
        <v>0.6666666666666666</v>
      </c>
      <c r="AE682" s="18">
        <v>45958.0</v>
      </c>
      <c r="AF682" s="22" t="s">
        <v>2819</v>
      </c>
      <c r="AG682" s="22" t="s">
        <v>54</v>
      </c>
      <c r="AH682" s="22" t="s">
        <v>3754</v>
      </c>
      <c r="AI682" s="26" t="str">
        <f>IFERROR(__xludf.DUMMYFUNCTION("IF(OR(W682="""",X682="""",AE682="""",AD682=""""),"""",
   TEXT(
     (
       (AE682+AD682 + IF(AE682+AD682 &lt; W682+X682,1,0)) - (W682+X682)
     )
     - IF(AND(AB682&lt;&gt;"""",AC682&lt;&gt;""""), 
          SUM(ARRAYFORMULA(SPLIT(AC682,"","") - SPLIT(AB682,"",""))"&amp;"), 
          0
       ),
     ""[hh]:mm""
   )
)
"),"03:08")</f>
        <v>03:08</v>
      </c>
      <c r="AJ682" s="55">
        <f t="shared" si="9"/>
        <v>0</v>
      </c>
      <c r="AK682" s="28" t="str">
        <f t="shared" si="10"/>
        <v>Pass</v>
      </c>
    </row>
    <row r="683">
      <c r="A683" s="18">
        <v>45958.0</v>
      </c>
      <c r="B683" s="20">
        <v>0.6979166666666666</v>
      </c>
      <c r="C683" s="18">
        <v>45958.0</v>
      </c>
      <c r="D683" s="20">
        <v>0.7604166666666666</v>
      </c>
      <c r="E683" s="22" t="s">
        <v>5412</v>
      </c>
      <c r="F683" s="22" t="s">
        <v>3082</v>
      </c>
      <c r="G683" s="22" t="s">
        <v>5413</v>
      </c>
      <c r="H683" s="22" t="s">
        <v>2337</v>
      </c>
      <c r="I683" s="22" t="s">
        <v>118</v>
      </c>
      <c r="J683" s="22" t="s">
        <v>4198</v>
      </c>
      <c r="K683" s="22" t="s">
        <v>72</v>
      </c>
      <c r="L683" s="22" t="s">
        <v>1815</v>
      </c>
      <c r="M683" s="22" t="s">
        <v>5414</v>
      </c>
      <c r="N683" s="22" t="s">
        <v>5415</v>
      </c>
      <c r="O683" s="23" t="s">
        <v>5416</v>
      </c>
      <c r="P683" s="22" t="s">
        <v>75</v>
      </c>
      <c r="Q683" s="50" t="s">
        <v>65</v>
      </c>
      <c r="R683" s="22" t="s">
        <v>5417</v>
      </c>
      <c r="S683" s="22" t="s">
        <v>51</v>
      </c>
      <c r="T683" s="22" t="s">
        <v>52</v>
      </c>
      <c r="U683" s="22" t="s">
        <v>52</v>
      </c>
      <c r="V683" s="22" t="s">
        <v>52</v>
      </c>
      <c r="W683" s="18">
        <v>45958.0</v>
      </c>
      <c r="X683" s="20">
        <v>0.7604166666666666</v>
      </c>
      <c r="Y683" s="18">
        <v>45958.0</v>
      </c>
      <c r="Z683" s="20">
        <v>0.8125</v>
      </c>
      <c r="AA683" s="20">
        <v>0.8131944444444444</v>
      </c>
      <c r="AB683" s="54"/>
      <c r="AC683" s="54"/>
      <c r="AD683" s="51">
        <v>0.8680555555555556</v>
      </c>
      <c r="AE683" s="18">
        <v>45958.0</v>
      </c>
      <c r="AF683" s="22" t="s">
        <v>2711</v>
      </c>
      <c r="AG683" s="22" t="s">
        <v>3191</v>
      </c>
      <c r="AH683" s="22" t="s">
        <v>5418</v>
      </c>
      <c r="AI683" s="26" t="str">
        <f>IFERROR(__xludf.DUMMYFUNCTION("IF(OR(W683="""",X683="""",AE683="""",AD683=""""),"""",
   TEXT(
     (
       (AE683+AD683 + IF(AE683+AD683 &lt; W683+X683,1,0)) - (W683+X683)
     )
     - IF(AND(AB683&lt;&gt;"""",AC683&lt;&gt;""""), 
          SUM(ARRAYFORMULA(SPLIT(AC683,"","") - SPLIT(AB683,"",""))"&amp;"), 
          0
       ),
     ""[hh]:mm""
   )
)
"),"02:35")</f>
        <v>02:35</v>
      </c>
      <c r="AJ683" s="55">
        <f t="shared" si="9"/>
        <v>0</v>
      </c>
      <c r="AK683" s="28" t="str">
        <f t="shared" si="10"/>
        <v>Pass</v>
      </c>
    </row>
    <row r="684">
      <c r="A684" s="18">
        <v>45958.0</v>
      </c>
      <c r="B684" s="20">
        <v>0.7173611111111111</v>
      </c>
      <c r="C684" s="18">
        <v>45958.0</v>
      </c>
      <c r="D684" s="20">
        <v>0.7298611111111111</v>
      </c>
      <c r="E684" s="22" t="s">
        <v>5419</v>
      </c>
      <c r="F684" s="22" t="s">
        <v>1093</v>
      </c>
      <c r="G684" s="22" t="s">
        <v>1094</v>
      </c>
      <c r="H684" s="22" t="s">
        <v>2337</v>
      </c>
      <c r="I684" s="22" t="s">
        <v>118</v>
      </c>
      <c r="J684" s="22" t="s">
        <v>4198</v>
      </c>
      <c r="K684" s="22" t="s">
        <v>72</v>
      </c>
      <c r="L684" s="22" t="s">
        <v>1815</v>
      </c>
      <c r="M684" s="22" t="s">
        <v>5420</v>
      </c>
      <c r="N684" s="22" t="s">
        <v>5421</v>
      </c>
      <c r="O684" s="23" t="s">
        <v>5422</v>
      </c>
      <c r="P684" s="22" t="s">
        <v>75</v>
      </c>
      <c r="Q684" s="50" t="s">
        <v>65</v>
      </c>
      <c r="R684" s="22" t="s">
        <v>5423</v>
      </c>
      <c r="S684" s="22" t="s">
        <v>51</v>
      </c>
      <c r="T684" s="22" t="s">
        <v>4198</v>
      </c>
      <c r="U684" s="22" t="s">
        <v>5424</v>
      </c>
      <c r="V684" s="22" t="s">
        <v>5420</v>
      </c>
      <c r="W684" s="18">
        <v>45958.0</v>
      </c>
      <c r="X684" s="20">
        <v>0.7409722222222223</v>
      </c>
      <c r="Y684" s="18">
        <v>45958.0</v>
      </c>
      <c r="Z684" s="20">
        <v>0.80625</v>
      </c>
      <c r="AA684" s="20">
        <v>0.8083333333333333</v>
      </c>
      <c r="AB684" s="51">
        <v>0.8263888888888888</v>
      </c>
      <c r="AC684" s="51">
        <v>0.9145833333333333</v>
      </c>
      <c r="AD684" s="51">
        <v>0.9375</v>
      </c>
      <c r="AE684" s="18">
        <v>45958.0</v>
      </c>
      <c r="AF684" s="22" t="s">
        <v>2839</v>
      </c>
      <c r="AG684" s="22" t="s">
        <v>239</v>
      </c>
      <c r="AH684" s="22" t="s">
        <v>5425</v>
      </c>
      <c r="AI684" s="26" t="str">
        <f>IFERROR(__xludf.DUMMYFUNCTION("IF(OR(W684="""",X684="""",AE684="""",AD684=""""),"""",
   TEXT(
     (
       (AE684+AD684 + IF(AE684+AD684 &lt; W684+X684,1,0)) - (W684+X684)
     )
     - IF(AND(AB684&lt;&gt;"""",AC684&lt;&gt;""""), 
          SUM(ARRAYFORMULA(SPLIT(AC684,"","") - SPLIT(AB684,"",""))"&amp;"), 
          0
       ),
     ""[hh]:mm""
   )
)
"),"02:36")</f>
        <v>02:36</v>
      </c>
      <c r="AJ684" s="55">
        <f t="shared" si="9"/>
        <v>0</v>
      </c>
      <c r="AK684" s="28" t="str">
        <f t="shared" si="10"/>
        <v>Pass</v>
      </c>
    </row>
    <row r="685">
      <c r="A685" s="18">
        <v>45944.0</v>
      </c>
      <c r="B685" s="20">
        <v>0.3819444444444444</v>
      </c>
      <c r="C685" s="18">
        <v>45944.0</v>
      </c>
      <c r="D685" s="20">
        <v>0.4284722222222222</v>
      </c>
      <c r="E685" s="22" t="s">
        <v>5426</v>
      </c>
      <c r="F685" s="22" t="s">
        <v>3864</v>
      </c>
      <c r="G685" s="22" t="s">
        <v>3865</v>
      </c>
      <c r="H685" s="22" t="s">
        <v>2352</v>
      </c>
      <c r="I685" s="22" t="s">
        <v>2626</v>
      </c>
      <c r="J685" s="22" t="s">
        <v>2352</v>
      </c>
      <c r="K685" s="22" t="s">
        <v>2626</v>
      </c>
      <c r="L685" s="22" t="s">
        <v>2626</v>
      </c>
      <c r="M685" s="22" t="s">
        <v>2626</v>
      </c>
      <c r="N685" s="22" t="s">
        <v>5427</v>
      </c>
      <c r="O685" s="23" t="s">
        <v>5428</v>
      </c>
      <c r="P685" s="22" t="s">
        <v>75</v>
      </c>
      <c r="Q685" s="50" t="s">
        <v>449</v>
      </c>
      <c r="R685" s="22" t="s">
        <v>5429</v>
      </c>
      <c r="S685" s="22" t="s">
        <v>51</v>
      </c>
      <c r="T685" s="22" t="s">
        <v>52</v>
      </c>
      <c r="U685" s="22" t="s">
        <v>52</v>
      </c>
      <c r="V685" s="22" t="s">
        <v>52</v>
      </c>
      <c r="W685" s="18">
        <v>45958.0</v>
      </c>
      <c r="X685" s="20">
        <v>0.9166666666666666</v>
      </c>
      <c r="Y685" s="18">
        <v>45958.0</v>
      </c>
      <c r="Z685" s="20">
        <v>0.9305555555555556</v>
      </c>
      <c r="AA685" s="20">
        <v>0.041666666666666664</v>
      </c>
      <c r="AB685" s="50" t="s">
        <v>5430</v>
      </c>
      <c r="AC685" s="50" t="s">
        <v>5431</v>
      </c>
      <c r="AD685" s="51">
        <v>0.15347222222222223</v>
      </c>
      <c r="AE685" s="18">
        <v>45959.0</v>
      </c>
      <c r="AF685" s="22" t="s">
        <v>3358</v>
      </c>
      <c r="AG685" s="22" t="s">
        <v>3191</v>
      </c>
      <c r="AH685" s="22" t="s">
        <v>5432</v>
      </c>
      <c r="AI685" s="26" t="str">
        <f>IFERROR(__xludf.DUMMYFUNCTION("IF(OR(W685="""",X685="""",AE685="""",AD685=""""),"""",
   TEXT(
     (
       (AE685+AD685 + IF(AE685+AD685 &lt; W685+X685,1,0)) - (W685+X685)
     )
     - IF(AND(AB685&lt;&gt;"""",AC685&lt;&gt;""""), 
          SUM(ARRAYFORMULA(SPLIT(AC685,"","") - SPLIT(AB685,"",""))"&amp;"), 
          0
       ),
     ""[hh]:mm""
   )
)
"),"03:02")</f>
        <v>03:02</v>
      </c>
      <c r="AJ685" s="55">
        <f t="shared" si="9"/>
        <v>0</v>
      </c>
      <c r="AK685" s="28" t="str">
        <f t="shared" si="10"/>
        <v>Pass</v>
      </c>
    </row>
    <row r="686">
      <c r="A686" s="18">
        <v>45930.0</v>
      </c>
      <c r="B686" s="20">
        <v>0.4215277777777778</v>
      </c>
      <c r="C686" s="18">
        <v>45930.0</v>
      </c>
      <c r="D686" s="20">
        <v>0.4340277777777778</v>
      </c>
      <c r="E686" s="22" t="s">
        <v>5433</v>
      </c>
      <c r="F686" s="22" t="s">
        <v>5434</v>
      </c>
      <c r="G686" s="22" t="s">
        <v>5435</v>
      </c>
      <c r="H686" s="22" t="s">
        <v>253</v>
      </c>
      <c r="I686" s="22" t="s">
        <v>1162</v>
      </c>
      <c r="J686" s="22" t="s">
        <v>2655</v>
      </c>
      <c r="K686" s="22" t="s">
        <v>3967</v>
      </c>
      <c r="L686" s="22" t="s">
        <v>4114</v>
      </c>
      <c r="M686" s="22" t="s">
        <v>5436</v>
      </c>
      <c r="N686" s="22" t="s">
        <v>5437</v>
      </c>
      <c r="O686" s="23" t="s">
        <v>5438</v>
      </c>
      <c r="P686" s="22" t="s">
        <v>75</v>
      </c>
      <c r="Q686" s="50" t="s">
        <v>65</v>
      </c>
      <c r="R686" s="22" t="s">
        <v>5439</v>
      </c>
      <c r="S686" s="22" t="s">
        <v>51</v>
      </c>
      <c r="T686" s="22" t="s">
        <v>4119</v>
      </c>
      <c r="U686" s="22" t="s">
        <v>52</v>
      </c>
      <c r="V686" s="22" t="s">
        <v>52</v>
      </c>
      <c r="W686" s="18">
        <v>45959.0</v>
      </c>
      <c r="X686" s="20">
        <v>0.041666666666666664</v>
      </c>
      <c r="Y686" s="18">
        <v>45958.0</v>
      </c>
      <c r="Z686" s="20">
        <v>0.9631944444444445</v>
      </c>
      <c r="AA686" s="20">
        <v>0.9993055555555556</v>
      </c>
      <c r="AB686" s="86"/>
      <c r="AC686" s="50" t="s">
        <v>5431</v>
      </c>
      <c r="AD686" s="51">
        <v>0.125</v>
      </c>
      <c r="AE686" s="18">
        <v>45959.0</v>
      </c>
      <c r="AF686" s="22" t="s">
        <v>2744</v>
      </c>
      <c r="AG686" s="22" t="s">
        <v>151</v>
      </c>
      <c r="AH686" s="22" t="s">
        <v>1230</v>
      </c>
      <c r="AI686" s="26" t="str">
        <f>IFERROR(__xludf.DUMMYFUNCTION("IF(OR(W686="""",X686="""",AE686="""",AD686=""""),"""",
   TEXT(
     (
       (AE686+AD686 + IF(AE686+AD686 &lt; W686+X686,1,0)) - (W686+X686)
     )
     - IF(AND(AB686&lt;&gt;"""",AC686&lt;&gt;""""), 
          SUM(ARRAYFORMULA(SPLIT(AC686,"","") - SPLIT(AB686,"",""))"&amp;"), 
          0
       ),
     ""[hh]:mm""
   )
)
"),"02:00")</f>
        <v>02:00</v>
      </c>
      <c r="AJ686" s="55">
        <f t="shared" si="9"/>
        <v>0</v>
      </c>
      <c r="AK686" s="28" t="str">
        <f t="shared" si="10"/>
        <v>Pass</v>
      </c>
    </row>
    <row r="687">
      <c r="A687" s="45">
        <v>45958.0</v>
      </c>
      <c r="B687" s="49">
        <v>0.7298611111111111</v>
      </c>
      <c r="C687" s="45">
        <v>45958.0</v>
      </c>
      <c r="D687" s="49">
        <v>0.7333333333333333</v>
      </c>
      <c r="E687" s="21" t="s">
        <v>5440</v>
      </c>
      <c r="F687" s="21" t="s">
        <v>5441</v>
      </c>
      <c r="G687" s="21" t="s">
        <v>5442</v>
      </c>
      <c r="H687" s="21" t="s">
        <v>156</v>
      </c>
      <c r="I687" s="21" t="s">
        <v>616</v>
      </c>
      <c r="J687" s="21" t="s">
        <v>2253</v>
      </c>
      <c r="K687" s="21" t="s">
        <v>43</v>
      </c>
      <c r="L687" s="21" t="s">
        <v>805</v>
      </c>
      <c r="M687" s="21" t="s">
        <v>5443</v>
      </c>
      <c r="N687" s="21" t="s">
        <v>5444</v>
      </c>
      <c r="O687" s="48" t="s">
        <v>5445</v>
      </c>
      <c r="P687" s="21" t="s">
        <v>75</v>
      </c>
      <c r="Q687" s="24" t="s">
        <v>65</v>
      </c>
      <c r="R687" s="21" t="s">
        <v>5446</v>
      </c>
      <c r="S687" s="21" t="s">
        <v>51</v>
      </c>
      <c r="T687" s="21" t="s">
        <v>2032</v>
      </c>
      <c r="U687" s="21" t="s">
        <v>5447</v>
      </c>
      <c r="V687" s="21" t="s">
        <v>5443</v>
      </c>
      <c r="W687" s="45">
        <v>45961.0</v>
      </c>
      <c r="X687" s="49">
        <v>0.6944444444444444</v>
      </c>
      <c r="Y687" s="45">
        <v>45961.0</v>
      </c>
      <c r="Z687" s="49">
        <v>0.7256944444444444</v>
      </c>
      <c r="AA687" s="49">
        <v>0.7638888888888888</v>
      </c>
      <c r="AB687" s="25">
        <v>0.7256944444444444</v>
      </c>
      <c r="AC687" s="25">
        <v>0.7631944444444444</v>
      </c>
      <c r="AD687" s="25">
        <v>0.7847222222222222</v>
      </c>
      <c r="AE687" s="45">
        <v>45961.0</v>
      </c>
      <c r="AF687" s="21" t="s">
        <v>2839</v>
      </c>
      <c r="AG687" s="21" t="s">
        <v>102</v>
      </c>
      <c r="AH687" s="21" t="s">
        <v>5448</v>
      </c>
      <c r="AI687" s="62" t="str">
        <f>IFERROR(__xludf.DUMMYFUNCTION("IF(OR(W687="""",X687="""",AE687="""",AD687=""""),"""",
   TEXT(
     (
       (AE687+AD687 + IF(AE687+AD687 &lt; W687+X687,1,0)) - (W687+X687)
     )
     - IF(AND(AB687&lt;&gt;"""",AC687&lt;&gt;""""), 
          SUM(ARRAYFORMULA(SPLIT(AC687,"","") - SPLIT(AB687,"",""))"&amp;"), 
          0
       ),
     ""[hh]:mm""
   )
)
"),"01:16")</f>
        <v>01:16</v>
      </c>
      <c r="AJ687" s="27">
        <f t="shared" si="9"/>
        <v>0</v>
      </c>
      <c r="AK687" s="63" t="str">
        <f t="shared" si="10"/>
        <v>Pass</v>
      </c>
    </row>
    <row r="688">
      <c r="A688" s="18">
        <v>45958.0</v>
      </c>
      <c r="B688" s="20">
        <v>0.8972222222222223</v>
      </c>
      <c r="C688" s="18">
        <v>45958.0</v>
      </c>
      <c r="D688" s="20">
        <v>0.9076388888888889</v>
      </c>
      <c r="E688" s="22" t="s">
        <v>5449</v>
      </c>
      <c r="F688" s="22" t="s">
        <v>2849</v>
      </c>
      <c r="G688" s="22" t="s">
        <v>2850</v>
      </c>
      <c r="H688" s="22" t="s">
        <v>1881</v>
      </c>
      <c r="I688" s="22" t="s">
        <v>95</v>
      </c>
      <c r="J688" s="22" t="s">
        <v>95</v>
      </c>
      <c r="K688" s="22" t="s">
        <v>333</v>
      </c>
      <c r="L688" s="22" t="s">
        <v>5450</v>
      </c>
      <c r="M688" s="22" t="s">
        <v>5451</v>
      </c>
      <c r="N688" s="22" t="s">
        <v>5452</v>
      </c>
      <c r="O688" s="23" t="s">
        <v>5453</v>
      </c>
      <c r="P688" s="22" t="s">
        <v>48</v>
      </c>
      <c r="Q688" s="50" t="s">
        <v>49</v>
      </c>
      <c r="R688" s="22" t="s">
        <v>5454</v>
      </c>
      <c r="S688" s="22" t="s">
        <v>51</v>
      </c>
      <c r="T688" s="22" t="s">
        <v>52</v>
      </c>
      <c r="U688" s="22" t="s">
        <v>52</v>
      </c>
      <c r="V688" s="22" t="s">
        <v>52</v>
      </c>
      <c r="W688" s="18">
        <v>45959.0</v>
      </c>
      <c r="X688" s="20">
        <v>0.20833333333333334</v>
      </c>
      <c r="Y688" s="18">
        <v>45959.0</v>
      </c>
      <c r="Z688" s="20">
        <v>0.1736111111111111</v>
      </c>
      <c r="AA688" s="20">
        <v>0.21180555555555555</v>
      </c>
      <c r="AB688" s="54"/>
      <c r="AC688" s="54"/>
      <c r="AD688" s="51">
        <v>0.2326388888888889</v>
      </c>
      <c r="AE688" s="18">
        <v>45959.0</v>
      </c>
      <c r="AF688" s="22" t="s">
        <v>5455</v>
      </c>
      <c r="AG688" s="22" t="s">
        <v>67</v>
      </c>
      <c r="AH688" s="22" t="s">
        <v>5456</v>
      </c>
      <c r="AI688" s="26" t="str">
        <f>IFERROR(__xludf.DUMMYFUNCTION("IF(OR(W688="""",X688="""",AE688="""",AD688=""""),"""",
   TEXT(
     (
       (AE688+AD688 + IF(AE688+AD688 &lt; W688+X688,1,0)) - (W688+X688)
     )
     - IF(AND(AB688&lt;&gt;"""",AC688&lt;&gt;""""), 
          SUM(ARRAYFORMULA(SPLIT(AC688,"","") - SPLIT(AB688,"",""))"&amp;"), 
          0
       ),
     ""[hh]:mm""
   )
)
"),"00:35")</f>
        <v>00:35</v>
      </c>
      <c r="AJ688" s="55">
        <f t="shared" si="9"/>
        <v>0</v>
      </c>
      <c r="AK688" s="28" t="str">
        <f t="shared" si="10"/>
        <v>Pass</v>
      </c>
    </row>
    <row r="689">
      <c r="A689" s="45">
        <v>45954.0</v>
      </c>
      <c r="B689" s="49">
        <v>0.7541666666666667</v>
      </c>
      <c r="C689" s="45">
        <v>45954.0</v>
      </c>
      <c r="D689" s="91" t="s">
        <v>4905</v>
      </c>
      <c r="E689" s="21" t="s">
        <v>5457</v>
      </c>
      <c r="F689" s="21" t="s">
        <v>1734</v>
      </c>
      <c r="G689" s="21" t="s">
        <v>1735</v>
      </c>
      <c r="H689" s="21" t="s">
        <v>4908</v>
      </c>
      <c r="I689" s="21" t="s">
        <v>95</v>
      </c>
      <c r="J689" s="21" t="s">
        <v>95</v>
      </c>
      <c r="K689" s="21" t="s">
        <v>143</v>
      </c>
      <c r="L689" s="21" t="s">
        <v>606</v>
      </c>
      <c r="M689" s="21" t="s">
        <v>5458</v>
      </c>
      <c r="N689" s="21" t="s">
        <v>5459</v>
      </c>
      <c r="O689" s="48" t="s">
        <v>5460</v>
      </c>
      <c r="P689" s="21" t="s">
        <v>75</v>
      </c>
      <c r="Q689" s="24" t="s">
        <v>198</v>
      </c>
      <c r="R689" s="21" t="s">
        <v>5094</v>
      </c>
      <c r="S689" s="21" t="s">
        <v>51</v>
      </c>
      <c r="T689" s="21" t="s">
        <v>5071</v>
      </c>
      <c r="U689" s="21" t="s">
        <v>5461</v>
      </c>
      <c r="V689" s="21" t="s">
        <v>5462</v>
      </c>
      <c r="W689" s="45">
        <v>45959.0</v>
      </c>
      <c r="X689" s="49">
        <v>0.041666666666666664</v>
      </c>
      <c r="Y689" s="45">
        <v>45959.0</v>
      </c>
      <c r="Z689" s="49">
        <v>0.05138888888888889</v>
      </c>
      <c r="AA689" s="49">
        <v>0.10694444444444444</v>
      </c>
      <c r="AB689" s="29"/>
      <c r="AC689" s="29"/>
      <c r="AD689" s="25">
        <v>0.3333333333333333</v>
      </c>
      <c r="AE689" s="18">
        <v>45959.0</v>
      </c>
      <c r="AF689" s="21" t="s">
        <v>4914</v>
      </c>
      <c r="AG689" s="21" t="s">
        <v>5463</v>
      </c>
      <c r="AH689" s="21" t="s">
        <v>5464</v>
      </c>
      <c r="AI689" s="62" t="str">
        <f>IFERROR(__xludf.DUMMYFUNCTION("IF(OR(W689="""",X689="""",AE689="""",AD689=""""),"""",
   TEXT(
     (
       (AE689+AD689 + IF(AE689+AD689 &lt; W689+X689,1,0)) - (W689+X689)
     )
     - IF(AND(AB689&lt;&gt;"""",AC689&lt;&gt;""""), 
          SUM(ARRAYFORMULA(SPLIT(AC689,"","") - SPLIT(AB689,"",""))"&amp;"), 
          0
       ),
     ""[hh]:mm""
   )
)
"),"07:00")</f>
        <v>07:00</v>
      </c>
      <c r="AJ689" s="27">
        <f t="shared" si="9"/>
        <v>0</v>
      </c>
      <c r="AK689" s="63" t="str">
        <f t="shared" si="10"/>
        <v>Pass</v>
      </c>
    </row>
    <row r="690">
      <c r="A690" s="45">
        <v>45957.0</v>
      </c>
      <c r="B690" s="49">
        <v>0.7020833333333333</v>
      </c>
      <c r="C690" s="45">
        <v>45957.0</v>
      </c>
      <c r="D690" s="91" t="s">
        <v>4905</v>
      </c>
      <c r="E690" s="21" t="s">
        <v>5465</v>
      </c>
      <c r="F690" s="21" t="s">
        <v>1151</v>
      </c>
      <c r="G690" s="21" t="s">
        <v>1152</v>
      </c>
      <c r="H690" s="21" t="s">
        <v>2120</v>
      </c>
      <c r="I690" s="21" t="s">
        <v>95</v>
      </c>
      <c r="J690" s="21" t="s">
        <v>95</v>
      </c>
      <c r="K690" s="21" t="s">
        <v>143</v>
      </c>
      <c r="L690" s="21" t="s">
        <v>606</v>
      </c>
      <c r="M690" s="21" t="s">
        <v>5466</v>
      </c>
      <c r="N690" s="21" t="s">
        <v>5467</v>
      </c>
      <c r="O690" s="48" t="s">
        <v>5468</v>
      </c>
      <c r="P690" s="21" t="s">
        <v>75</v>
      </c>
      <c r="Q690" s="24" t="s">
        <v>198</v>
      </c>
      <c r="R690" s="21" t="s">
        <v>5155</v>
      </c>
      <c r="S690" s="21" t="s">
        <v>51</v>
      </c>
      <c r="T690" s="21" t="s">
        <v>2125</v>
      </c>
      <c r="U690" s="21" t="s">
        <v>5469</v>
      </c>
      <c r="V690" s="21" t="s">
        <v>5470</v>
      </c>
      <c r="W690" s="45">
        <v>45959.0</v>
      </c>
      <c r="X690" s="49">
        <v>0.125</v>
      </c>
      <c r="Y690" s="45">
        <v>45959.0</v>
      </c>
      <c r="Z690" s="49">
        <v>0.08194444444444444</v>
      </c>
      <c r="AA690" s="49">
        <v>0.125</v>
      </c>
      <c r="AB690" s="29"/>
      <c r="AC690" s="29"/>
      <c r="AD690" s="25">
        <v>0.4583333333333333</v>
      </c>
      <c r="AE690" s="45">
        <v>45959.0</v>
      </c>
      <c r="AF690" s="21" t="s">
        <v>4914</v>
      </c>
      <c r="AG690" s="21" t="s">
        <v>1475</v>
      </c>
      <c r="AH690" s="21" t="s">
        <v>5471</v>
      </c>
      <c r="AI690" s="62" t="str">
        <f>IFERROR(__xludf.DUMMYFUNCTION("IF(OR(W690="""",X690="""",AE690="""",AD690=""""),"""",
   TEXT(
     (
       (AE690+AD690 + IF(AE690+AD690 &lt; W690+X690,1,0)) - (W690+X690)
     )
     - IF(AND(AB690&lt;&gt;"""",AC690&lt;&gt;""""), 
          SUM(ARRAYFORMULA(SPLIT(AC690,"","") - SPLIT(AB690,"",""))"&amp;"), 
          0
       ),
     ""[hh]:mm""
   )
)
"),"08:00")</f>
        <v>08:00</v>
      </c>
      <c r="AJ690" s="27">
        <f t="shared" si="9"/>
        <v>0</v>
      </c>
      <c r="AK690" s="63" t="str">
        <f t="shared" si="10"/>
        <v>Pass</v>
      </c>
    </row>
    <row r="691">
      <c r="A691" s="45">
        <v>45954.0</v>
      </c>
      <c r="B691" s="49">
        <v>0.4708333333333333</v>
      </c>
      <c r="C691" s="45">
        <v>45954.0</v>
      </c>
      <c r="D691" s="91" t="s">
        <v>4905</v>
      </c>
      <c r="E691" s="21" t="s">
        <v>5472</v>
      </c>
      <c r="F691" s="21" t="s">
        <v>1903</v>
      </c>
      <c r="G691" s="21" t="s">
        <v>1904</v>
      </c>
      <c r="H691" s="21" t="s">
        <v>4908</v>
      </c>
      <c r="I691" s="21" t="s">
        <v>95</v>
      </c>
      <c r="J691" s="21" t="s">
        <v>95</v>
      </c>
      <c r="K691" s="21" t="s">
        <v>143</v>
      </c>
      <c r="L691" s="21" t="s">
        <v>606</v>
      </c>
      <c r="M691" s="21" t="s">
        <v>5473</v>
      </c>
      <c r="N691" s="21" t="s">
        <v>5474</v>
      </c>
      <c r="O691" s="48" t="s">
        <v>5475</v>
      </c>
      <c r="P691" s="21" t="s">
        <v>75</v>
      </c>
      <c r="Q691" s="24" t="s">
        <v>198</v>
      </c>
      <c r="R691" s="21" t="s">
        <v>5094</v>
      </c>
      <c r="S691" s="21" t="s">
        <v>51</v>
      </c>
      <c r="T691" s="21" t="s">
        <v>5071</v>
      </c>
      <c r="U691" s="21" t="s">
        <v>5476</v>
      </c>
      <c r="V691" s="21" t="s">
        <v>5477</v>
      </c>
      <c r="W691" s="45">
        <v>45959.0</v>
      </c>
      <c r="X691" s="49">
        <v>0.0625</v>
      </c>
      <c r="Y691" s="45">
        <v>45959.0</v>
      </c>
      <c r="Z691" s="49">
        <v>0.0625</v>
      </c>
      <c r="AA691" s="49">
        <v>0.125</v>
      </c>
      <c r="AB691" s="29"/>
      <c r="AC691" s="29"/>
      <c r="AD691" s="25">
        <v>0.3958333333333333</v>
      </c>
      <c r="AE691" s="45">
        <v>45960.0</v>
      </c>
      <c r="AF691" s="21" t="s">
        <v>4914</v>
      </c>
      <c r="AG691" s="21" t="s">
        <v>5478</v>
      </c>
      <c r="AH691" s="21" t="s">
        <v>2739</v>
      </c>
      <c r="AI691" s="62" t="str">
        <f>IFERROR(__xludf.DUMMYFUNCTION("IF(OR(W691="""",X691="""",AE691="""",AD691=""""),"""",
   TEXT(
     (
       (AE691+AD691 + IF(AE691+AD691 &lt; W691+X691,1,0)) - (W691+X691)
     )
     - IF(AND(AB691&lt;&gt;"""",AC691&lt;&gt;""""), 
          SUM(ARRAYFORMULA(SPLIT(AC691,"","") - SPLIT(AB691,"",""))"&amp;"), 
          0
       ),
     ""[hh]:mm""
   )
)
"),"32:00")</f>
        <v>32:00</v>
      </c>
      <c r="AJ691" s="27">
        <f t="shared" si="9"/>
        <v>0.3333333333</v>
      </c>
      <c r="AK691" s="63" t="str">
        <f t="shared" si="10"/>
        <v>Fail</v>
      </c>
    </row>
    <row r="692">
      <c r="A692" s="45">
        <v>45959.0</v>
      </c>
      <c r="B692" s="49">
        <v>0.325</v>
      </c>
      <c r="C692" s="45">
        <v>45959.0</v>
      </c>
      <c r="D692" s="49">
        <v>0.36319444444444443</v>
      </c>
      <c r="E692" s="21" t="s">
        <v>5479</v>
      </c>
      <c r="F692" s="21" t="s">
        <v>3864</v>
      </c>
      <c r="G692" s="21" t="s">
        <v>3865</v>
      </c>
      <c r="H692" s="21" t="s">
        <v>130</v>
      </c>
      <c r="I692" s="21" t="s">
        <v>1814</v>
      </c>
      <c r="J692" s="21" t="s">
        <v>4198</v>
      </c>
      <c r="K692" s="21" t="s">
        <v>72</v>
      </c>
      <c r="L692" s="47"/>
      <c r="M692" s="21">
        <v>1.532582345E9</v>
      </c>
      <c r="N692" s="21" t="s">
        <v>5480</v>
      </c>
      <c r="O692" s="48" t="s">
        <v>5481</v>
      </c>
      <c r="P692" s="21" t="s">
        <v>75</v>
      </c>
      <c r="Q692" s="24" t="s">
        <v>65</v>
      </c>
      <c r="R692" s="21" t="s">
        <v>5482</v>
      </c>
      <c r="S692" s="21" t="s">
        <v>51</v>
      </c>
      <c r="T692" s="21" t="s">
        <v>5483</v>
      </c>
      <c r="U692" s="21" t="s">
        <v>5484</v>
      </c>
      <c r="V692" s="21">
        <v>1.532582345E9</v>
      </c>
      <c r="W692" s="45">
        <v>45959.0</v>
      </c>
      <c r="X692" s="76">
        <v>0.36319444444444443</v>
      </c>
      <c r="Y692" s="45">
        <v>45959.0</v>
      </c>
      <c r="Z692" s="49">
        <v>0.6875</v>
      </c>
      <c r="AA692" s="49">
        <v>0.7430555555555556</v>
      </c>
      <c r="AB692" s="25">
        <v>0.6875</v>
      </c>
      <c r="AC692" s="25">
        <v>0.7708333333333334</v>
      </c>
      <c r="AD692" s="25">
        <v>0.8125</v>
      </c>
      <c r="AE692" s="45">
        <v>45959.0</v>
      </c>
      <c r="AF692" s="21" t="s">
        <v>2711</v>
      </c>
      <c r="AG692" s="21" t="s">
        <v>78</v>
      </c>
      <c r="AH692" s="21" t="s">
        <v>5485</v>
      </c>
      <c r="AI692" s="62" t="str">
        <f>IFERROR(__xludf.DUMMYFUNCTION("IF(OR(W692="""",X692="""",AE692="""",AD692=""""),"""",
   TEXT(
     (
       (AE692+AD692 + IF(AE692+AD692 &lt; W692+X692,1,0)) - (W692+X692)
     )
     - IF(AND(AB692&lt;&gt;"""",AC692&lt;&gt;""""), 
          SUM(ARRAYFORMULA(SPLIT(AC692,"","") - SPLIT(AB692,"",""))"&amp;"), 
          0
       ),
     ""[hh]:mm""
   )
)
"),"08:47")</f>
        <v>08:47</v>
      </c>
      <c r="AJ692" s="27">
        <f t="shared" si="9"/>
        <v>0</v>
      </c>
      <c r="AK692" s="63" t="str">
        <f t="shared" si="10"/>
        <v>Pass</v>
      </c>
    </row>
    <row r="693">
      <c r="A693" s="45">
        <v>45959.0</v>
      </c>
      <c r="B693" s="49">
        <v>0.3347222222222222</v>
      </c>
      <c r="C693" s="45">
        <v>45959.0</v>
      </c>
      <c r="D693" s="49">
        <v>0.37430555555555556</v>
      </c>
      <c r="E693" s="21" t="s">
        <v>5486</v>
      </c>
      <c r="F693" s="21" t="s">
        <v>5487</v>
      </c>
      <c r="G693" s="21" t="s">
        <v>5488</v>
      </c>
      <c r="H693" s="21" t="s">
        <v>566</v>
      </c>
      <c r="I693" s="21" t="s">
        <v>234</v>
      </c>
      <c r="J693" s="21" t="s">
        <v>3813</v>
      </c>
      <c r="K693" s="21" t="s">
        <v>61</v>
      </c>
      <c r="L693" s="21" t="s">
        <v>183</v>
      </c>
      <c r="M693" s="21" t="s">
        <v>5489</v>
      </c>
      <c r="N693" s="21" t="s">
        <v>5490</v>
      </c>
      <c r="O693" s="48" t="s">
        <v>5491</v>
      </c>
      <c r="P693" s="21" t="s">
        <v>48</v>
      </c>
      <c r="Q693" s="24" t="s">
        <v>65</v>
      </c>
      <c r="R693" s="21" t="s">
        <v>5492</v>
      </c>
      <c r="S693" s="21" t="s">
        <v>51</v>
      </c>
      <c r="T693" s="21" t="s">
        <v>52</v>
      </c>
      <c r="U693" s="21" t="s">
        <v>52</v>
      </c>
      <c r="V693" s="21" t="s">
        <v>52</v>
      </c>
      <c r="W693" s="45">
        <v>45959.0</v>
      </c>
      <c r="X693" s="49">
        <v>0.37430555555555556</v>
      </c>
      <c r="Y693" s="45">
        <v>45959.0</v>
      </c>
      <c r="Z693" s="49">
        <v>0.4375</v>
      </c>
      <c r="AA693" s="49">
        <v>0.4409722222222222</v>
      </c>
      <c r="AB693" s="25">
        <v>0.4791666666666667</v>
      </c>
      <c r="AC693" s="25">
        <v>0.5</v>
      </c>
      <c r="AD693" s="25">
        <v>0.5</v>
      </c>
      <c r="AE693" s="45">
        <v>45959.0</v>
      </c>
      <c r="AF693" s="21" t="s">
        <v>2744</v>
      </c>
      <c r="AG693" s="21" t="s">
        <v>54</v>
      </c>
      <c r="AH693" s="21" t="s">
        <v>5493</v>
      </c>
      <c r="AI693" s="62" t="str">
        <f>IFERROR(__xludf.DUMMYFUNCTION("IF(OR(W693="""",X693="""",AE693="""",AD693=""""),"""",
   TEXT(
     (
       (AE693+AD693 + IF(AE693+AD693 &lt; W693+X693,1,0)) - (W693+X693)
     )
     - IF(AND(AB693&lt;&gt;"""",AC693&lt;&gt;""""), 
          SUM(ARRAYFORMULA(SPLIT(AC693,"","") - SPLIT(AB693,"",""))"&amp;"), 
          0
       ),
     ""[hh]:mm""
   )
)
"),"02:31")</f>
        <v>02:31</v>
      </c>
      <c r="AJ693" s="27">
        <f t="shared" si="9"/>
        <v>0</v>
      </c>
      <c r="AK693" s="63" t="str">
        <f t="shared" si="10"/>
        <v>Pass</v>
      </c>
    </row>
    <row r="694">
      <c r="A694" s="45">
        <v>45959.0</v>
      </c>
      <c r="B694" s="49">
        <v>0.35347222222222224</v>
      </c>
      <c r="C694" s="45">
        <v>45959.0</v>
      </c>
      <c r="D694" s="49">
        <v>0.3659722222222222</v>
      </c>
      <c r="E694" s="21" t="s">
        <v>5494</v>
      </c>
      <c r="F694" s="21" t="s">
        <v>2502</v>
      </c>
      <c r="G694" s="21" t="s">
        <v>2503</v>
      </c>
      <c r="H694" s="21" t="s">
        <v>746</v>
      </c>
      <c r="I694" s="21" t="s">
        <v>1162</v>
      </c>
      <c r="J694" s="21" t="s">
        <v>2655</v>
      </c>
      <c r="K694" s="21" t="s">
        <v>3967</v>
      </c>
      <c r="L694" s="21" t="s">
        <v>5495</v>
      </c>
      <c r="M694" s="21" t="s">
        <v>5496</v>
      </c>
      <c r="N694" s="21" t="s">
        <v>5497</v>
      </c>
      <c r="O694" s="48" t="s">
        <v>5498</v>
      </c>
      <c r="P694" s="21" t="s">
        <v>75</v>
      </c>
      <c r="Q694" s="24" t="s">
        <v>65</v>
      </c>
      <c r="R694" s="21" t="s">
        <v>5499</v>
      </c>
      <c r="S694" s="21" t="s">
        <v>51</v>
      </c>
      <c r="T694" s="21" t="s">
        <v>4996</v>
      </c>
      <c r="U694" s="21">
        <v>2.0240628001E11</v>
      </c>
      <c r="V694" s="21">
        <v>2.01900310309E11</v>
      </c>
      <c r="W694" s="45">
        <v>45959.0</v>
      </c>
      <c r="X694" s="49">
        <v>0.3659722222222222</v>
      </c>
      <c r="Y694" s="45">
        <v>45959.0</v>
      </c>
      <c r="Z694" s="49">
        <v>0.4722222222222222</v>
      </c>
      <c r="AA694" s="49">
        <v>0.4756944444444444</v>
      </c>
      <c r="AB694" s="25">
        <v>0.4826388888888889</v>
      </c>
      <c r="AC694" s="25">
        <v>0.5729166666666666</v>
      </c>
      <c r="AD694" s="25">
        <v>0.6180555555555556</v>
      </c>
      <c r="AE694" s="45">
        <v>45959.0</v>
      </c>
      <c r="AF694" s="21" t="s">
        <v>2711</v>
      </c>
      <c r="AG694" s="21" t="s">
        <v>102</v>
      </c>
      <c r="AH694" s="21" t="s">
        <v>5500</v>
      </c>
      <c r="AI694" s="62" t="str">
        <f>IFERROR(__xludf.DUMMYFUNCTION("IF(OR(W694="""",X694="""",AE694="""",AD694=""""),"""",
   TEXT(
     (
       (AE694+AD694 + IF(AE694+AD694 &lt; W694+X694,1,0)) - (W694+X694)
     )
     - IF(AND(AB694&lt;&gt;"""",AC694&lt;&gt;""""), 
          SUM(ARRAYFORMULA(SPLIT(AC694,"","") - SPLIT(AB694,"",""))"&amp;"), 
          0
       ),
     ""[hh]:mm""
   )
)
"),"03:53")</f>
        <v>03:53</v>
      </c>
      <c r="AJ694" s="27">
        <f t="shared" si="9"/>
        <v>0</v>
      </c>
      <c r="AK694" s="63" t="str">
        <f t="shared" si="10"/>
        <v>Pass</v>
      </c>
    </row>
    <row r="695">
      <c r="A695" s="45">
        <v>45959.0</v>
      </c>
      <c r="B695" s="49">
        <v>0.35625</v>
      </c>
      <c r="C695" s="45">
        <v>45959.0</v>
      </c>
      <c r="D695" s="49">
        <v>0.3659722222222222</v>
      </c>
      <c r="E695" s="21" t="s">
        <v>5501</v>
      </c>
      <c r="F695" s="21" t="s">
        <v>2502</v>
      </c>
      <c r="G695" s="21" t="s">
        <v>2503</v>
      </c>
      <c r="H695" s="21" t="s">
        <v>746</v>
      </c>
      <c r="I695" s="21" t="s">
        <v>1632</v>
      </c>
      <c r="J695" s="21" t="s">
        <v>3806</v>
      </c>
      <c r="K695" s="21" t="s">
        <v>3967</v>
      </c>
      <c r="L695" s="21" t="s">
        <v>5495</v>
      </c>
      <c r="M695" s="21" t="s">
        <v>5502</v>
      </c>
      <c r="N695" s="21" t="s">
        <v>5503</v>
      </c>
      <c r="O695" s="48" t="s">
        <v>5504</v>
      </c>
      <c r="P695" s="21" t="s">
        <v>75</v>
      </c>
      <c r="Q695" s="24" t="s">
        <v>65</v>
      </c>
      <c r="R695" s="21" t="s">
        <v>5505</v>
      </c>
      <c r="S695" s="21" t="s">
        <v>51</v>
      </c>
      <c r="T695" s="21" t="s">
        <v>4996</v>
      </c>
      <c r="U695" s="21">
        <v>2.0240829022E11</v>
      </c>
      <c r="V695" s="21">
        <v>2.01905310122E11</v>
      </c>
      <c r="W695" s="45">
        <v>45959.0</v>
      </c>
      <c r="X695" s="49">
        <v>0.3659722222222222</v>
      </c>
      <c r="Y695" s="45">
        <v>45959.0</v>
      </c>
      <c r="Z695" s="49">
        <v>0.4722222222222222</v>
      </c>
      <c r="AA695" s="49">
        <v>0.4756944444444444</v>
      </c>
      <c r="AB695" s="25">
        <v>0.4826388888888889</v>
      </c>
      <c r="AC695" s="25">
        <v>0.5729166666666666</v>
      </c>
      <c r="AD695" s="25">
        <v>0.6180555555555556</v>
      </c>
      <c r="AE695" s="45">
        <v>45959.0</v>
      </c>
      <c r="AF695" s="21" t="s">
        <v>2711</v>
      </c>
      <c r="AG695" s="21" t="s">
        <v>102</v>
      </c>
      <c r="AH695" s="21" t="s">
        <v>5500</v>
      </c>
      <c r="AI695" s="62" t="str">
        <f>IFERROR(__xludf.DUMMYFUNCTION("IF(OR(W695="""",X695="""",AE695="""",AD695=""""),"""",
   TEXT(
     (
       (AE695+AD695 + IF(AE695+AD695 &lt; W695+X695,1,0)) - (W695+X695)
     )
     - IF(AND(AB695&lt;&gt;"""",AC695&lt;&gt;""""), 
          SUM(ARRAYFORMULA(SPLIT(AC695,"","") - SPLIT(AB695,"",""))"&amp;"), 
          0
       ),
     ""[hh]:mm""
   )
)
"),"03:53")</f>
        <v>03:53</v>
      </c>
      <c r="AJ695" s="27">
        <f t="shared" si="9"/>
        <v>0</v>
      </c>
      <c r="AK695" s="63" t="str">
        <f t="shared" si="10"/>
        <v>Pass</v>
      </c>
    </row>
    <row r="696">
      <c r="A696" s="45">
        <v>45959.0</v>
      </c>
      <c r="B696" s="49">
        <v>0.43333333333333335</v>
      </c>
      <c r="C696" s="45">
        <v>45959.0</v>
      </c>
      <c r="D696" s="49">
        <v>0.4361111111111111</v>
      </c>
      <c r="E696" s="21" t="s">
        <v>5506</v>
      </c>
      <c r="F696" s="21" t="s">
        <v>3241</v>
      </c>
      <c r="G696" s="21" t="s">
        <v>3242</v>
      </c>
      <c r="H696" s="21" t="s">
        <v>3471</v>
      </c>
      <c r="I696" s="21" t="s">
        <v>815</v>
      </c>
      <c r="J696" s="21" t="s">
        <v>1084</v>
      </c>
      <c r="K696" s="21" t="s">
        <v>5507</v>
      </c>
      <c r="L696" s="21" t="s">
        <v>5507</v>
      </c>
      <c r="M696" s="21" t="s">
        <v>5508</v>
      </c>
      <c r="N696" s="21" t="s">
        <v>5509</v>
      </c>
      <c r="O696" s="48" t="s">
        <v>5510</v>
      </c>
      <c r="P696" s="21" t="s">
        <v>48</v>
      </c>
      <c r="Q696" s="24" t="s">
        <v>65</v>
      </c>
      <c r="R696" s="21" t="s">
        <v>5511</v>
      </c>
      <c r="S696" s="21" t="s">
        <v>51</v>
      </c>
      <c r="T696" s="21" t="s">
        <v>52</v>
      </c>
      <c r="U696" s="21" t="s">
        <v>52</v>
      </c>
      <c r="V696" s="21" t="s">
        <v>52</v>
      </c>
      <c r="W696" s="45">
        <v>45959.0</v>
      </c>
      <c r="X696" s="49">
        <v>0.4361111111111111</v>
      </c>
      <c r="Y696" s="45">
        <v>45959.0</v>
      </c>
      <c r="Z696" s="49">
        <v>0.625</v>
      </c>
      <c r="AA696" s="49">
        <v>0.6256944444444444</v>
      </c>
      <c r="AB696" s="29"/>
      <c r="AC696" s="29"/>
      <c r="AD696" s="25">
        <v>0.6666666666666666</v>
      </c>
      <c r="AE696" s="45">
        <v>45959.0</v>
      </c>
      <c r="AF696" s="21" t="s">
        <v>2730</v>
      </c>
      <c r="AG696" s="21" t="s">
        <v>239</v>
      </c>
      <c r="AH696" s="21" t="s">
        <v>5512</v>
      </c>
      <c r="AI696" s="62" t="str">
        <f>IFERROR(__xludf.DUMMYFUNCTION("IF(OR(W696="""",X696="""",AE696="""",AD696=""""),"""",
   TEXT(
     (
       (AE696+AD696 + IF(AE696+AD696 &lt; W696+X696,1,0)) - (W696+X696)
     )
     - IF(AND(AB696&lt;&gt;"""",AC696&lt;&gt;""""), 
          SUM(ARRAYFORMULA(SPLIT(AC696,"","") - SPLIT(AB696,"",""))"&amp;"), 
          0
       ),
     ""[hh]:mm""
   )
)
"),"05:32")</f>
        <v>05:32</v>
      </c>
      <c r="AJ696" s="27">
        <f t="shared" si="9"/>
        <v>0</v>
      </c>
      <c r="AK696" s="63" t="str">
        <f t="shared" si="10"/>
        <v>Pass</v>
      </c>
    </row>
    <row r="697">
      <c r="A697" s="45">
        <v>45959.0</v>
      </c>
      <c r="B697" s="49">
        <v>0.5090277777777777</v>
      </c>
      <c r="C697" s="45">
        <v>45959.0</v>
      </c>
      <c r="D697" s="49">
        <v>0.5180555555555556</v>
      </c>
      <c r="E697" s="21" t="s">
        <v>5513</v>
      </c>
      <c r="F697" s="21" t="s">
        <v>1432</v>
      </c>
      <c r="G697" s="21" t="s">
        <v>1433</v>
      </c>
      <c r="H697" s="21" t="s">
        <v>2184</v>
      </c>
      <c r="I697" s="21" t="s">
        <v>1497</v>
      </c>
      <c r="J697" s="21" t="s">
        <v>95</v>
      </c>
      <c r="K697" s="21" t="s">
        <v>143</v>
      </c>
      <c r="L697" s="21" t="s">
        <v>3175</v>
      </c>
      <c r="M697" s="21" t="s">
        <v>5514</v>
      </c>
      <c r="N697" s="21" t="s">
        <v>5515</v>
      </c>
      <c r="O697" s="48" t="s">
        <v>5516</v>
      </c>
      <c r="P697" s="21" t="s">
        <v>48</v>
      </c>
      <c r="Q697" s="24" t="s">
        <v>49</v>
      </c>
      <c r="R697" s="21" t="s">
        <v>5517</v>
      </c>
      <c r="S697" s="21" t="s">
        <v>51</v>
      </c>
      <c r="T697" s="21" t="s">
        <v>52</v>
      </c>
      <c r="U697" s="21" t="s">
        <v>52</v>
      </c>
      <c r="V697" s="21" t="s">
        <v>52</v>
      </c>
      <c r="W697" s="45">
        <v>45959.0</v>
      </c>
      <c r="X697" s="49">
        <v>0.5180555555555556</v>
      </c>
      <c r="Y697" s="45">
        <v>45959.0</v>
      </c>
      <c r="Z697" s="49">
        <v>0.5958333333333333</v>
      </c>
      <c r="AA697" s="49">
        <v>0.6048611111111111</v>
      </c>
      <c r="AB697" s="25">
        <v>0.5965277777777778</v>
      </c>
      <c r="AC697" s="25">
        <v>0.6048611111111111</v>
      </c>
      <c r="AD697" s="25">
        <v>0.6125</v>
      </c>
      <c r="AE697" s="45">
        <v>45959.0</v>
      </c>
      <c r="AF697" s="21" t="s">
        <v>2711</v>
      </c>
      <c r="AG697" s="21" t="s">
        <v>313</v>
      </c>
      <c r="AH697" s="21" t="s">
        <v>5518</v>
      </c>
      <c r="AI697" s="62" t="str">
        <f>IFERROR(__xludf.DUMMYFUNCTION("IF(OR(W697="""",X697="""",AE697="""",AD697=""""),"""",
   TEXT(
     (
       (AE697+AD697 + IF(AE697+AD697 &lt; W697+X697,1,0)) - (W697+X697)
     )
     - IF(AND(AB697&lt;&gt;"""",AC697&lt;&gt;""""), 
          SUM(ARRAYFORMULA(SPLIT(AC697,"","") - SPLIT(AB697,"",""))"&amp;"), 
          0
       ),
     ""[hh]:mm""
   )
)
"),"02:04")</f>
        <v>02:04</v>
      </c>
      <c r="AJ697" s="27">
        <f t="shared" si="9"/>
        <v>0</v>
      </c>
      <c r="AK697" s="63" t="str">
        <f t="shared" si="10"/>
        <v>Pass</v>
      </c>
    </row>
    <row r="698">
      <c r="A698" s="45">
        <v>45959.0</v>
      </c>
      <c r="B698" s="49">
        <v>0.5222222222222223</v>
      </c>
      <c r="C698" s="45">
        <v>45959.0</v>
      </c>
      <c r="D698" s="49">
        <v>0.5291666666666667</v>
      </c>
      <c r="E698" s="21" t="s">
        <v>5519</v>
      </c>
      <c r="F698" s="21" t="s">
        <v>3291</v>
      </c>
      <c r="G698" s="21" t="s">
        <v>3292</v>
      </c>
      <c r="H698" s="21" t="s">
        <v>454</v>
      </c>
      <c r="I698" s="21" t="s">
        <v>5520</v>
      </c>
      <c r="J698" s="21" t="s">
        <v>3813</v>
      </c>
      <c r="K698" s="21" t="s">
        <v>61</v>
      </c>
      <c r="L698" s="21">
        <v>9634961.0</v>
      </c>
      <c r="M698" s="21" t="s">
        <v>5521</v>
      </c>
      <c r="N698" s="21" t="s">
        <v>5522</v>
      </c>
      <c r="O698" s="48" t="s">
        <v>5523</v>
      </c>
      <c r="P698" s="21" t="s">
        <v>75</v>
      </c>
      <c r="Q698" s="24" t="s">
        <v>65</v>
      </c>
      <c r="R698" s="21" t="s">
        <v>5524</v>
      </c>
      <c r="S698" s="21" t="s">
        <v>51</v>
      </c>
      <c r="T698" s="21" t="s">
        <v>5525</v>
      </c>
      <c r="U698" s="21" t="s">
        <v>5526</v>
      </c>
      <c r="V698" s="21" t="s">
        <v>5521</v>
      </c>
      <c r="W698" s="45">
        <v>45959.0</v>
      </c>
      <c r="X698" s="49">
        <v>0.5291666666666667</v>
      </c>
      <c r="Y698" s="45">
        <v>45959.0</v>
      </c>
      <c r="Z698" s="49">
        <v>0.6458333333333334</v>
      </c>
      <c r="AA698" s="49">
        <v>0.6493055555555556</v>
      </c>
      <c r="AB698" s="25">
        <v>0.6597222222222222</v>
      </c>
      <c r="AC698" s="25">
        <v>0.7013888888888888</v>
      </c>
      <c r="AD698" s="25">
        <v>0.7083333333333334</v>
      </c>
      <c r="AE698" s="45">
        <v>45959.0</v>
      </c>
      <c r="AF698" s="21" t="s">
        <v>2744</v>
      </c>
      <c r="AG698" s="21" t="s">
        <v>3022</v>
      </c>
      <c r="AH698" s="21" t="s">
        <v>5527</v>
      </c>
      <c r="AI698" s="62" t="str">
        <f>IFERROR(__xludf.DUMMYFUNCTION("IF(OR(W698="""",X698="""",AE698="""",AD698=""""),"""",
   TEXT(
     (
       (AE698+AD698 + IF(AE698+AD698 &lt; W698+X698,1,0)) - (W698+X698)
     )
     - IF(AND(AB698&lt;&gt;"""",AC698&lt;&gt;""""), 
          SUM(ARRAYFORMULA(SPLIT(AC698,"","") - SPLIT(AB698,"",""))"&amp;"), 
          0
       ),
     ""[hh]:mm""
   )
)
"),"03:18")</f>
        <v>03:18</v>
      </c>
      <c r="AJ698" s="27">
        <f t="shared" si="9"/>
        <v>0</v>
      </c>
      <c r="AK698" s="63" t="str">
        <f t="shared" si="10"/>
        <v>Pass</v>
      </c>
    </row>
    <row r="699">
      <c r="A699" s="45">
        <v>45959.0</v>
      </c>
      <c r="B699" s="49">
        <v>0.5395833333333333</v>
      </c>
      <c r="C699" s="45">
        <v>45959.0</v>
      </c>
      <c r="D699" s="49">
        <v>0.5402777777777777</v>
      </c>
      <c r="E699" s="21" t="s">
        <v>5528</v>
      </c>
      <c r="F699" s="21" t="s">
        <v>842</v>
      </c>
      <c r="G699" s="21" t="s">
        <v>843</v>
      </c>
      <c r="H699" s="21" t="s">
        <v>2184</v>
      </c>
      <c r="I699" s="21" t="s">
        <v>1497</v>
      </c>
      <c r="J699" s="21" t="s">
        <v>95</v>
      </c>
      <c r="K699" s="21" t="s">
        <v>143</v>
      </c>
      <c r="L699" s="21" t="s">
        <v>5529</v>
      </c>
      <c r="M699" s="21" t="s">
        <v>5530</v>
      </c>
      <c r="N699" s="21" t="s">
        <v>5515</v>
      </c>
      <c r="O699" s="48" t="s">
        <v>5531</v>
      </c>
      <c r="P699" s="21" t="s">
        <v>48</v>
      </c>
      <c r="Q699" s="24" t="s">
        <v>49</v>
      </c>
      <c r="R699" s="21" t="s">
        <v>5532</v>
      </c>
      <c r="S699" s="21" t="s">
        <v>51</v>
      </c>
      <c r="T699" s="21" t="s">
        <v>52</v>
      </c>
      <c r="U699" s="21" t="s">
        <v>52</v>
      </c>
      <c r="V699" s="21" t="s">
        <v>52</v>
      </c>
      <c r="W699" s="45">
        <v>45959.0</v>
      </c>
      <c r="X699" s="49">
        <v>0.5402777777777777</v>
      </c>
      <c r="Y699" s="45">
        <v>45959.0</v>
      </c>
      <c r="Z699" s="49">
        <v>0.5763888888888888</v>
      </c>
      <c r="AA699" s="49">
        <v>0.6118055555555556</v>
      </c>
      <c r="AB699" s="25">
        <v>0.5798611111111112</v>
      </c>
      <c r="AC699" s="25">
        <v>0.6111111111111112</v>
      </c>
      <c r="AD699" s="25">
        <v>0.6284722222222222</v>
      </c>
      <c r="AE699" s="45">
        <v>45959.0</v>
      </c>
      <c r="AF699" s="21" t="s">
        <v>2711</v>
      </c>
      <c r="AG699" s="21" t="s">
        <v>113</v>
      </c>
      <c r="AH699" s="21" t="s">
        <v>5533</v>
      </c>
      <c r="AI699" s="62" t="str">
        <f>IFERROR(__xludf.DUMMYFUNCTION("IF(OR(W699="""",X699="""",AE699="""",AD699=""""),"""",
   TEXT(
     (
       (AE699+AD699 + IF(AE699+AD699 &lt; W699+X699,1,0)) - (W699+X699)
     )
     - IF(AND(AB699&lt;&gt;"""",AC699&lt;&gt;""""), 
          SUM(ARRAYFORMULA(SPLIT(AC699,"","") - SPLIT(AB699,"",""))"&amp;"), 
          0
       ),
     ""[hh]:mm""
   )
)
"),"01:22")</f>
        <v>01:22</v>
      </c>
      <c r="AJ699" s="27">
        <f t="shared" si="9"/>
        <v>0</v>
      </c>
      <c r="AK699" s="63" t="str">
        <f t="shared" si="10"/>
        <v>Pass</v>
      </c>
    </row>
    <row r="700">
      <c r="A700" s="45">
        <v>45959.0</v>
      </c>
      <c r="B700" s="49">
        <v>0.5333333333333333</v>
      </c>
      <c r="C700" s="45">
        <v>45959.0</v>
      </c>
      <c r="D700" s="49">
        <v>0.5409722222222222</v>
      </c>
      <c r="E700" s="21" t="s">
        <v>5534</v>
      </c>
      <c r="F700" s="21" t="s">
        <v>5535</v>
      </c>
      <c r="G700" s="21" t="s">
        <v>5536</v>
      </c>
      <c r="H700" s="21" t="s">
        <v>130</v>
      </c>
      <c r="I700" s="21" t="s">
        <v>131</v>
      </c>
      <c r="J700" s="21" t="s">
        <v>3806</v>
      </c>
      <c r="K700" s="21" t="s">
        <v>43</v>
      </c>
      <c r="L700" s="21" t="s">
        <v>1251</v>
      </c>
      <c r="M700" s="21" t="s">
        <v>5537</v>
      </c>
      <c r="N700" s="21" t="s">
        <v>5538</v>
      </c>
      <c r="O700" s="48" t="s">
        <v>5539</v>
      </c>
      <c r="P700" s="21" t="s">
        <v>75</v>
      </c>
      <c r="Q700" s="24" t="s">
        <v>65</v>
      </c>
      <c r="R700" s="21" t="s">
        <v>5540</v>
      </c>
      <c r="S700" s="21" t="s">
        <v>51</v>
      </c>
      <c r="T700" s="21" t="s">
        <v>52</v>
      </c>
      <c r="U700" s="21" t="s">
        <v>52</v>
      </c>
      <c r="V700" s="21" t="s">
        <v>52</v>
      </c>
      <c r="W700" s="45">
        <v>45959.0</v>
      </c>
      <c r="X700" s="49">
        <v>0.5409722222222222</v>
      </c>
      <c r="Y700" s="45">
        <v>45959.0</v>
      </c>
      <c r="Z700" s="49">
        <v>0.6083333333333333</v>
      </c>
      <c r="AA700" s="49">
        <v>0.6090277777777777</v>
      </c>
      <c r="AB700" s="29"/>
      <c r="AC700" s="29"/>
      <c r="AD700" s="25">
        <v>0.65625</v>
      </c>
      <c r="AE700" s="45">
        <v>45959.0</v>
      </c>
      <c r="AF700" s="21" t="s">
        <v>2744</v>
      </c>
      <c r="AG700" s="21" t="s">
        <v>5541</v>
      </c>
      <c r="AH700" s="21" t="s">
        <v>5542</v>
      </c>
      <c r="AI700" s="62" t="str">
        <f>IFERROR(__xludf.DUMMYFUNCTION("IF(OR(W700="""",X700="""",AE700="""",AD700=""""),"""",
   TEXT(
     (
       (AE700+AD700 + IF(AE700+AD700 &lt; W700+X700,1,0)) - (W700+X700)
     )
     - IF(AND(AB700&lt;&gt;"""",AC700&lt;&gt;""""), 
          SUM(ARRAYFORMULA(SPLIT(AC700,"","") - SPLIT(AB700,"",""))"&amp;"), 
          0
       ),
     ""[hh]:mm""
   )
)
"),"02:46")</f>
        <v>02:46</v>
      </c>
      <c r="AJ700" s="27">
        <f t="shared" si="9"/>
        <v>0</v>
      </c>
      <c r="AK700" s="63" t="str">
        <f t="shared" si="10"/>
        <v>Pass</v>
      </c>
    </row>
    <row r="701">
      <c r="A701" s="45">
        <v>45959.0</v>
      </c>
      <c r="B701" s="49">
        <v>0.6055555555555555</v>
      </c>
      <c r="C701" s="45">
        <v>45959.0</v>
      </c>
      <c r="D701" s="49">
        <v>0.6118055555555556</v>
      </c>
      <c r="E701" s="21" t="s">
        <v>5543</v>
      </c>
      <c r="F701" s="21" t="s">
        <v>3057</v>
      </c>
      <c r="G701" s="21" t="s">
        <v>3058</v>
      </c>
      <c r="H701" s="21" t="s">
        <v>3471</v>
      </c>
      <c r="I701" s="21" t="s">
        <v>815</v>
      </c>
      <c r="J701" s="21" t="s">
        <v>1084</v>
      </c>
      <c r="K701" s="21" t="s">
        <v>1936</v>
      </c>
      <c r="L701" s="21" t="s">
        <v>5544</v>
      </c>
      <c r="M701" s="21" t="s">
        <v>5544</v>
      </c>
      <c r="N701" s="21" t="s">
        <v>5545</v>
      </c>
      <c r="O701" s="48" t="s">
        <v>5546</v>
      </c>
      <c r="P701" s="21" t="s">
        <v>48</v>
      </c>
      <c r="Q701" s="24" t="s">
        <v>65</v>
      </c>
      <c r="R701" s="21" t="s">
        <v>5547</v>
      </c>
      <c r="S701" s="21" t="s">
        <v>51</v>
      </c>
      <c r="T701" s="21" t="s">
        <v>52</v>
      </c>
      <c r="U701" s="21" t="s">
        <v>52</v>
      </c>
      <c r="V701" s="21" t="s">
        <v>52</v>
      </c>
      <c r="W701" s="45">
        <v>45960.0</v>
      </c>
      <c r="X701" s="49">
        <v>0.4166666666666667</v>
      </c>
      <c r="Y701" s="45">
        <v>45960.0</v>
      </c>
      <c r="Z701" s="49">
        <v>0.4583333333333333</v>
      </c>
      <c r="AA701" s="49">
        <v>0.4618055555555556</v>
      </c>
      <c r="AB701" s="92"/>
      <c r="AC701" s="92"/>
      <c r="AD701" s="25">
        <v>0.65</v>
      </c>
      <c r="AE701" s="45">
        <v>45960.0</v>
      </c>
      <c r="AF701" s="21" t="s">
        <v>4914</v>
      </c>
      <c r="AG701" s="21" t="s">
        <v>1117</v>
      </c>
      <c r="AH701" s="21" t="s">
        <v>5548</v>
      </c>
      <c r="AI701" s="62" t="str">
        <f>IFERROR(__xludf.DUMMYFUNCTION("IF(OR(W701="""",X701="""",AE701="""",AD701=""""),"""",
   TEXT(
     (
       (AE701+AD701 + IF(AE701+AD701 &lt; W701+X701,1,0)) - (W701+X701)
     )
     - IF(AND(AB701&lt;&gt;"""",AC701&lt;&gt;""""), 
          SUM(ARRAYFORMULA(SPLIT(AC701,"","") - SPLIT(AB701,"",""))"&amp;"), 
          0
       ),
     ""[hh]:mm""
   )
)
"),"05:36")</f>
        <v>05:36</v>
      </c>
      <c r="AJ701" s="27">
        <f t="shared" si="9"/>
        <v>0</v>
      </c>
      <c r="AK701" s="63" t="str">
        <f t="shared" si="10"/>
        <v>Pass</v>
      </c>
    </row>
    <row r="702">
      <c r="A702" s="45">
        <v>45959.0</v>
      </c>
      <c r="B702" s="49">
        <v>0.37777777777777777</v>
      </c>
      <c r="C702" s="45">
        <v>45959.0</v>
      </c>
      <c r="D702" s="49">
        <v>0.3819444444444444</v>
      </c>
      <c r="E702" s="21" t="s">
        <v>5549</v>
      </c>
      <c r="F702" s="21" t="s">
        <v>5434</v>
      </c>
      <c r="G702" s="21" t="s">
        <v>5435</v>
      </c>
      <c r="H702" s="21" t="s">
        <v>746</v>
      </c>
      <c r="I702" s="21" t="s">
        <v>1178</v>
      </c>
      <c r="J702" s="21" t="s">
        <v>2655</v>
      </c>
      <c r="K702" s="21" t="s">
        <v>3967</v>
      </c>
      <c r="L702" s="21" t="s">
        <v>5550</v>
      </c>
      <c r="M702" s="21">
        <v>2.022328021E10</v>
      </c>
      <c r="N702" s="21" t="s">
        <v>5551</v>
      </c>
      <c r="O702" s="48" t="s">
        <v>5552</v>
      </c>
      <c r="P702" s="21" t="s">
        <v>75</v>
      </c>
      <c r="Q702" s="24" t="s">
        <v>65</v>
      </c>
      <c r="R702" s="21" t="s">
        <v>5553</v>
      </c>
      <c r="S702" s="21" t="s">
        <v>51</v>
      </c>
      <c r="T702" s="21" t="s">
        <v>679</v>
      </c>
      <c r="U702" s="21">
        <v>2.02406280219E11</v>
      </c>
      <c r="V702" s="21">
        <v>2.0220328021E11</v>
      </c>
      <c r="W702" s="45">
        <v>45959.0</v>
      </c>
      <c r="X702" s="49">
        <v>0.29444444444444445</v>
      </c>
      <c r="Y702" s="45">
        <v>45959.0</v>
      </c>
      <c r="Z702" s="49">
        <v>0.4375</v>
      </c>
      <c r="AA702" s="49">
        <v>0.4409722222222222</v>
      </c>
      <c r="AB702" s="25">
        <v>0.4444444444444444</v>
      </c>
      <c r="AC702" s="25">
        <v>0.5118055555555555</v>
      </c>
      <c r="AD702" s="25">
        <v>0.65</v>
      </c>
      <c r="AE702" s="45">
        <v>45959.0</v>
      </c>
      <c r="AF702" s="21" t="s">
        <v>2744</v>
      </c>
      <c r="AG702" s="21" t="s">
        <v>293</v>
      </c>
      <c r="AH702" s="21" t="s">
        <v>5554</v>
      </c>
      <c r="AI702" s="62" t="str">
        <f>IFERROR(__xludf.DUMMYFUNCTION("IF(OR(W702="""",X702="""",AE702="""",AD702=""""),"""",
   TEXT(
     (
       (AE702+AD702 + IF(AE702+AD702 &lt; W702+X702,1,0)) - (W702+X702)
     )
     - IF(AND(AB702&lt;&gt;"""",AC702&lt;&gt;""""), 
          SUM(ARRAYFORMULA(SPLIT(AC702,"","") - SPLIT(AB702,"",""))"&amp;"), 
          0
       ),
     ""[hh]:mm""
   )
)
"),"06:55")</f>
        <v>06:55</v>
      </c>
      <c r="AJ702" s="27">
        <f t="shared" si="9"/>
        <v>0</v>
      </c>
      <c r="AK702" s="63" t="str">
        <f t="shared" si="10"/>
        <v>Pass</v>
      </c>
    </row>
    <row r="703">
      <c r="A703" s="45">
        <v>45959.0</v>
      </c>
      <c r="B703" s="49">
        <v>0.6131944444444445</v>
      </c>
      <c r="C703" s="45">
        <v>45959.0</v>
      </c>
      <c r="D703" s="49">
        <v>0.6131944444444445</v>
      </c>
      <c r="E703" s="21" t="s">
        <v>5555</v>
      </c>
      <c r="F703" s="21" t="s">
        <v>1432</v>
      </c>
      <c r="G703" s="21" t="s">
        <v>1433</v>
      </c>
      <c r="H703" s="21" t="s">
        <v>4070</v>
      </c>
      <c r="I703" s="21" t="s">
        <v>567</v>
      </c>
      <c r="J703" s="21" t="s">
        <v>567</v>
      </c>
      <c r="K703" s="21" t="s">
        <v>568</v>
      </c>
      <c r="L703" s="47"/>
      <c r="M703" s="21" t="s">
        <v>5556</v>
      </c>
      <c r="N703" s="21" t="s">
        <v>5557</v>
      </c>
      <c r="O703" s="48" t="s">
        <v>5558</v>
      </c>
      <c r="P703" s="21" t="s">
        <v>48</v>
      </c>
      <c r="Q703" s="24" t="s">
        <v>65</v>
      </c>
      <c r="R703" s="21" t="s">
        <v>5559</v>
      </c>
      <c r="S703" s="21" t="s">
        <v>51</v>
      </c>
      <c r="T703" s="21" t="s">
        <v>52</v>
      </c>
      <c r="U703" s="21" t="s">
        <v>52</v>
      </c>
      <c r="V703" s="21" t="s">
        <v>52</v>
      </c>
      <c r="W703" s="45">
        <v>45959.0</v>
      </c>
      <c r="X703" s="49">
        <v>0.6131944444444445</v>
      </c>
      <c r="Y703" s="45">
        <v>45959.0</v>
      </c>
      <c r="Z703" s="49">
        <v>0.6131944444444445</v>
      </c>
      <c r="AA703" s="49">
        <v>0.6145833333333334</v>
      </c>
      <c r="AB703" s="29"/>
      <c r="AC703" s="29"/>
      <c r="AD703" s="25">
        <v>0.6527777777777778</v>
      </c>
      <c r="AE703" s="45">
        <v>45959.0</v>
      </c>
      <c r="AF703" s="21" t="s">
        <v>5560</v>
      </c>
      <c r="AG703" s="21" t="s">
        <v>313</v>
      </c>
      <c r="AH703" s="21" t="s">
        <v>5518</v>
      </c>
      <c r="AI703" s="62" t="str">
        <f>IFERROR(__xludf.DUMMYFUNCTION("IF(OR(W703="""",X703="""",AE703="""",AD703=""""),"""",
   TEXT(
     (
       (AE703+AD703 + IF(AE703+AD703 &lt; W703+X703,1,0)) - (W703+X703)
     )
     - IF(AND(AB703&lt;&gt;"""",AC703&lt;&gt;""""), 
          SUM(ARRAYFORMULA(SPLIT(AC703,"","") - SPLIT(AB703,"",""))"&amp;"), 
          0
       ),
     ""[hh]:mm""
   )
)
"),"00:57")</f>
        <v>00:57</v>
      </c>
      <c r="AJ703" s="27">
        <f t="shared" si="9"/>
        <v>0</v>
      </c>
      <c r="AK703" s="63" t="str">
        <f t="shared" si="10"/>
        <v>Pass</v>
      </c>
    </row>
    <row r="704">
      <c r="A704" s="45">
        <v>45951.0</v>
      </c>
      <c r="B704" s="49">
        <v>0.6548611111111111</v>
      </c>
      <c r="C704" s="45">
        <v>45951.0</v>
      </c>
      <c r="D704" s="93" t="s">
        <v>4905</v>
      </c>
      <c r="E704" s="21" t="s">
        <v>5561</v>
      </c>
      <c r="F704" s="21" t="s">
        <v>905</v>
      </c>
      <c r="G704" s="21" t="s">
        <v>5562</v>
      </c>
      <c r="H704" s="21" t="s">
        <v>4908</v>
      </c>
      <c r="I704" s="21" t="s">
        <v>95</v>
      </c>
      <c r="J704" s="21" t="s">
        <v>95</v>
      </c>
      <c r="K704" s="21" t="s">
        <v>143</v>
      </c>
      <c r="L704" s="21" t="s">
        <v>5021</v>
      </c>
      <c r="M704" s="21" t="s">
        <v>5563</v>
      </c>
      <c r="N704" s="21" t="s">
        <v>5564</v>
      </c>
      <c r="O704" s="48" t="s">
        <v>5565</v>
      </c>
      <c r="P704" s="21" t="s">
        <v>75</v>
      </c>
      <c r="Q704" s="24" t="s">
        <v>198</v>
      </c>
      <c r="R704" s="21" t="s">
        <v>5566</v>
      </c>
      <c r="S704" s="21" t="s">
        <v>51</v>
      </c>
      <c r="T704" s="21" t="s">
        <v>52</v>
      </c>
      <c r="U704" s="21" t="s">
        <v>52</v>
      </c>
      <c r="V704" s="21" t="s">
        <v>52</v>
      </c>
      <c r="W704" s="45">
        <v>45960.0</v>
      </c>
      <c r="X704" s="49">
        <v>0.0</v>
      </c>
      <c r="Y704" s="45">
        <v>45960.0</v>
      </c>
      <c r="Z704" s="49">
        <v>0.5222222222222223</v>
      </c>
      <c r="AA704" s="49">
        <v>0.0625</v>
      </c>
      <c r="AB704" s="25">
        <v>0.10416666666666667</v>
      </c>
      <c r="AC704" s="25">
        <v>0.3472222222222222</v>
      </c>
      <c r="AD704" s="25">
        <v>0.3472222222222222</v>
      </c>
      <c r="AE704" s="45">
        <v>45960.0</v>
      </c>
      <c r="AF704" s="21" t="s">
        <v>4914</v>
      </c>
      <c r="AG704" s="21" t="s">
        <v>2086</v>
      </c>
      <c r="AH704" s="21" t="s">
        <v>5567</v>
      </c>
      <c r="AI704" s="62" t="str">
        <f>IFERROR(__xludf.DUMMYFUNCTION("IF(OR(W704="""",X704="""",AE704="""",AD704=""""),"""",
   TEXT(
     (
       (AE704+AD704 + IF(AE704+AD704 &lt; W704+X704,1,0)) - (W704+X704)
     )
     - IF(AND(AB704&lt;&gt;"""",AC704&lt;&gt;""""), 
          SUM(ARRAYFORMULA(SPLIT(AC704,"","") - SPLIT(AB704,"",""))"&amp;"), 
          0
       ),
     ""[hh]:mm""
   )
)
"),"02:30")</f>
        <v>02:30</v>
      </c>
      <c r="AJ704" s="27">
        <f t="shared" si="9"/>
        <v>0</v>
      </c>
      <c r="AK704" s="63" t="str">
        <f t="shared" si="10"/>
        <v>Pass</v>
      </c>
    </row>
    <row r="705">
      <c r="A705" s="45">
        <v>45951.0</v>
      </c>
      <c r="B705" s="49">
        <v>0.6548611111111111</v>
      </c>
      <c r="C705" s="45">
        <v>45951.0</v>
      </c>
      <c r="D705" s="93" t="s">
        <v>4905</v>
      </c>
      <c r="E705" s="21" t="s">
        <v>5561</v>
      </c>
      <c r="F705" s="21" t="s">
        <v>905</v>
      </c>
      <c r="G705" s="21" t="s">
        <v>5562</v>
      </c>
      <c r="H705" s="21" t="s">
        <v>4908</v>
      </c>
      <c r="I705" s="21" t="s">
        <v>95</v>
      </c>
      <c r="J705" s="21" t="s">
        <v>95</v>
      </c>
      <c r="K705" s="21" t="s">
        <v>143</v>
      </c>
      <c r="L705" s="21" t="s">
        <v>5021</v>
      </c>
      <c r="M705" s="21" t="s">
        <v>5563</v>
      </c>
      <c r="N705" s="21" t="s">
        <v>5564</v>
      </c>
      <c r="O705" s="48" t="s">
        <v>5568</v>
      </c>
      <c r="P705" s="21" t="s">
        <v>75</v>
      </c>
      <c r="Q705" s="24" t="s">
        <v>198</v>
      </c>
      <c r="R705" s="21" t="s">
        <v>5569</v>
      </c>
      <c r="S705" s="21" t="s">
        <v>51</v>
      </c>
      <c r="T705" s="21" t="s">
        <v>52</v>
      </c>
      <c r="U705" s="21" t="s">
        <v>52</v>
      </c>
      <c r="V705" s="21" t="s">
        <v>52</v>
      </c>
      <c r="W705" s="45">
        <v>45960.0</v>
      </c>
      <c r="X705" s="49">
        <v>0.0</v>
      </c>
      <c r="Y705" s="45">
        <v>45960.0</v>
      </c>
      <c r="Z705" s="49">
        <v>0.4166666666666667</v>
      </c>
      <c r="AA705" s="49">
        <v>0.4201388888888889</v>
      </c>
      <c r="AB705" s="29"/>
      <c r="AC705" s="29"/>
      <c r="AD705" s="25">
        <v>0.6145833333333334</v>
      </c>
      <c r="AE705" s="45">
        <v>45960.0</v>
      </c>
      <c r="AF705" s="21" t="s">
        <v>4914</v>
      </c>
      <c r="AG705" s="21" t="s">
        <v>3701</v>
      </c>
      <c r="AH705" s="21" t="s">
        <v>5570</v>
      </c>
      <c r="AI705" s="62" t="str">
        <f>IFERROR(__xludf.DUMMYFUNCTION("IF(OR(W705="""",X705="""",AE705="""",AD705=""""),"""",
   TEXT(
     (
       (AE705+AD705 + IF(AE705+AD705 &lt; W705+X705,1,0)) - (W705+X705)
     )
     - IF(AND(AB705&lt;&gt;"""",AC705&lt;&gt;""""), 
          SUM(ARRAYFORMULA(SPLIT(AC705,"","") - SPLIT(AB705,"",""))"&amp;"), 
          0
       ),
     ""[hh]:mm""
   )
)
"),"14:45")</f>
        <v>14:45</v>
      </c>
      <c r="AJ705" s="27">
        <f t="shared" si="9"/>
        <v>0</v>
      </c>
      <c r="AK705" s="63" t="str">
        <f t="shared" si="10"/>
        <v>Pass</v>
      </c>
    </row>
    <row r="706">
      <c r="A706" s="45">
        <v>45956.0</v>
      </c>
      <c r="B706" s="49">
        <v>0.475</v>
      </c>
      <c r="C706" s="45">
        <v>45956.0</v>
      </c>
      <c r="D706" s="93" t="s">
        <v>4905</v>
      </c>
      <c r="E706" s="21" t="s">
        <v>5571</v>
      </c>
      <c r="F706" s="21" t="s">
        <v>4966</v>
      </c>
      <c r="G706" s="21" t="s">
        <v>4967</v>
      </c>
      <c r="H706" s="21" t="s">
        <v>2120</v>
      </c>
      <c r="I706" s="21" t="s">
        <v>95</v>
      </c>
      <c r="J706" s="21" t="s">
        <v>95</v>
      </c>
      <c r="K706" s="47"/>
      <c r="L706" s="47"/>
      <c r="M706" s="47"/>
      <c r="N706" s="21" t="s">
        <v>5572</v>
      </c>
      <c r="O706" s="48" t="s">
        <v>5573</v>
      </c>
      <c r="P706" s="21" t="s">
        <v>75</v>
      </c>
      <c r="Q706" s="24" t="s">
        <v>198</v>
      </c>
      <c r="R706" s="21" t="s">
        <v>5574</v>
      </c>
      <c r="S706" s="21" t="s">
        <v>51</v>
      </c>
      <c r="T706" s="21" t="s">
        <v>2125</v>
      </c>
      <c r="U706" s="21" t="s">
        <v>5575</v>
      </c>
      <c r="V706" s="21" t="s">
        <v>5576</v>
      </c>
      <c r="W706" s="45">
        <v>45959.0</v>
      </c>
      <c r="X706" s="49">
        <v>0.08333333333333333</v>
      </c>
      <c r="Y706" s="45">
        <v>45959.0</v>
      </c>
      <c r="Z706" s="49">
        <v>0.06041666666666667</v>
      </c>
      <c r="AA706" s="49">
        <v>0.09722222222222222</v>
      </c>
      <c r="AB706" s="29"/>
      <c r="AC706" s="29"/>
      <c r="AD706" s="85">
        <v>0.13541666666666666</v>
      </c>
      <c r="AE706" s="45">
        <v>45959.0</v>
      </c>
      <c r="AF706" s="21" t="s">
        <v>4914</v>
      </c>
      <c r="AG706" s="21" t="s">
        <v>5577</v>
      </c>
      <c r="AH706" s="21" t="s">
        <v>5578</v>
      </c>
      <c r="AI706" s="62" t="str">
        <f>IFERROR(__xludf.DUMMYFUNCTION("IF(OR(W706="""",X706="""",AE706="""",AD706=""""),"""",
   TEXT(
     (
       (AE706+AD706 + IF(AE706+AD706 &lt; W706+X706,1,0)) - (W706+X706)
     )
     - IF(AND(AB706&lt;&gt;"""",AC706&lt;&gt;""""), 
          SUM(ARRAYFORMULA(SPLIT(AC706,"","") - SPLIT(AB706,"",""))"&amp;"), 
          0
       ),
     ""[hh]:mm""
   )
)
"),"01:15")</f>
        <v>01:15</v>
      </c>
      <c r="AJ706" s="27">
        <f t="shared" si="9"/>
        <v>0</v>
      </c>
      <c r="AK706" s="63" t="str">
        <f t="shared" si="10"/>
        <v>Pass</v>
      </c>
    </row>
    <row r="707">
      <c r="A707" s="45">
        <v>45956.0</v>
      </c>
      <c r="B707" s="49">
        <v>0.4798611111111111</v>
      </c>
      <c r="C707" s="45">
        <v>45956.0</v>
      </c>
      <c r="D707" s="93" t="s">
        <v>4905</v>
      </c>
      <c r="E707" s="21" t="s">
        <v>5579</v>
      </c>
      <c r="F707" s="21" t="s">
        <v>4706</v>
      </c>
      <c r="G707" s="21" t="s">
        <v>5580</v>
      </c>
      <c r="H707" s="21" t="s">
        <v>4908</v>
      </c>
      <c r="I707" s="21" t="s">
        <v>95</v>
      </c>
      <c r="J707" s="21" t="s">
        <v>95</v>
      </c>
      <c r="K707" s="21" t="s">
        <v>143</v>
      </c>
      <c r="L707" s="21" t="s">
        <v>5581</v>
      </c>
      <c r="M707" s="21" t="s">
        <v>5582</v>
      </c>
      <c r="N707" s="21" t="s">
        <v>5583</v>
      </c>
      <c r="O707" s="48" t="s">
        <v>5584</v>
      </c>
      <c r="P707" s="21" t="s">
        <v>75</v>
      </c>
      <c r="Q707" s="24" t="s">
        <v>198</v>
      </c>
      <c r="R707" s="21" t="s">
        <v>5585</v>
      </c>
      <c r="S707" s="21" t="s">
        <v>51</v>
      </c>
      <c r="T707" s="21" t="s">
        <v>5071</v>
      </c>
      <c r="U707" s="21" t="s">
        <v>5586</v>
      </c>
      <c r="V707" s="21" t="s">
        <v>52</v>
      </c>
      <c r="W707" s="45">
        <v>45959.0</v>
      </c>
      <c r="X707" s="49">
        <v>0.9791666666666666</v>
      </c>
      <c r="Y707" s="45">
        <v>45959.0</v>
      </c>
      <c r="Z707" s="49">
        <v>0.96875</v>
      </c>
      <c r="AA707" s="49">
        <v>6.944444444444445E-4</v>
      </c>
      <c r="AB707" s="29"/>
      <c r="AC707" s="29"/>
      <c r="AD707" s="25">
        <v>0.3333333333333333</v>
      </c>
      <c r="AE707" s="45">
        <v>45960.0</v>
      </c>
      <c r="AF707" s="21" t="s">
        <v>4914</v>
      </c>
      <c r="AG707" s="21" t="s">
        <v>4384</v>
      </c>
      <c r="AH707" s="21" t="s">
        <v>5587</v>
      </c>
      <c r="AI707" s="62" t="str">
        <f>IFERROR(__xludf.DUMMYFUNCTION("IF(OR(W707="""",X707="""",AE707="""",AD707=""""),"""",
   TEXT(
     (
       (AE707+AD707 + IF(AE707+AD707 &lt; W707+X707,1,0)) - (W707+X707)
     )
     - IF(AND(AB707&lt;&gt;"""",AC707&lt;&gt;""""), 
          SUM(ARRAYFORMULA(SPLIT(AC707,"","") - SPLIT(AB707,"",""))"&amp;"), 
          0
       ),
     ""[hh]:mm""
   )
)
"),"08:30")</f>
        <v>08:30</v>
      </c>
      <c r="AJ707" s="27">
        <f t="shared" si="9"/>
        <v>0</v>
      </c>
      <c r="AK707" s="63" t="str">
        <f t="shared" si="10"/>
        <v>Pass</v>
      </c>
    </row>
    <row r="708">
      <c r="A708" s="45">
        <v>45959.0</v>
      </c>
      <c r="B708" s="49">
        <v>0.5020833333333333</v>
      </c>
      <c r="C708" s="45">
        <v>45960.0</v>
      </c>
      <c r="D708" s="80">
        <v>0.3173611111111111</v>
      </c>
      <c r="E708" s="21" t="s">
        <v>5588</v>
      </c>
      <c r="F708" s="21" t="s">
        <v>1053</v>
      </c>
      <c r="G708" s="21" t="s">
        <v>1054</v>
      </c>
      <c r="H708" s="21" t="s">
        <v>566</v>
      </c>
      <c r="I708" s="21" t="s">
        <v>991</v>
      </c>
      <c r="J708" s="21" t="s">
        <v>95</v>
      </c>
      <c r="K708" s="21" t="s">
        <v>386</v>
      </c>
      <c r="L708" s="21" t="s">
        <v>5529</v>
      </c>
      <c r="M708" s="21" t="s">
        <v>5589</v>
      </c>
      <c r="N708" s="21" t="s">
        <v>5590</v>
      </c>
      <c r="O708" s="48" t="s">
        <v>5591</v>
      </c>
      <c r="P708" s="21" t="s">
        <v>48</v>
      </c>
      <c r="Q708" s="24" t="s">
        <v>49</v>
      </c>
      <c r="R708" s="21" t="s">
        <v>5592</v>
      </c>
      <c r="S708" s="21" t="s">
        <v>51</v>
      </c>
      <c r="T708" s="21" t="s">
        <v>52</v>
      </c>
      <c r="U708" s="21" t="s">
        <v>52</v>
      </c>
      <c r="V708" s="21" t="s">
        <v>52</v>
      </c>
      <c r="W708" s="45">
        <v>45960.0</v>
      </c>
      <c r="X708" s="49">
        <v>0.3333333333333333</v>
      </c>
      <c r="Y708" s="45">
        <v>45960.0</v>
      </c>
      <c r="Z708" s="49">
        <v>0.41041666666666665</v>
      </c>
      <c r="AA708" s="49">
        <v>0.4111111111111111</v>
      </c>
      <c r="AB708" s="29"/>
      <c r="AC708" s="29"/>
      <c r="AD708" s="25">
        <v>0.4284722222222222</v>
      </c>
      <c r="AE708" s="45">
        <v>45959.0</v>
      </c>
      <c r="AF708" s="21" t="s">
        <v>2839</v>
      </c>
      <c r="AG708" s="21" t="s">
        <v>113</v>
      </c>
      <c r="AH708" s="21" t="s">
        <v>5593</v>
      </c>
      <c r="AI708" s="62" t="str">
        <f>IFERROR(__xludf.DUMMYFUNCTION("IF(OR(W708="""",X708="""",AE708="""",AD708=""""),"""",
   TEXT(
     (
       (AE708+AD708 + IF(AE708+AD708 &lt; W708+X708,1,0)) - (W708+X708)
     )
     - IF(AND(AB708&lt;&gt;"""",AC708&lt;&gt;""""), 
          SUM(ARRAYFORMULA(SPLIT(AC708,"","") - SPLIT(AB708,"",""))"&amp;"), 
          0
       ),
     ""[hh]:mm""
   )
)
"),"02:17")</f>
        <v>02:17</v>
      </c>
      <c r="AJ708" s="27">
        <f t="shared" si="9"/>
        <v>0</v>
      </c>
      <c r="AK708" s="63" t="str">
        <f t="shared" si="10"/>
        <v>Pass</v>
      </c>
    </row>
    <row r="709">
      <c r="A709" s="45">
        <v>45960.0</v>
      </c>
      <c r="B709" s="49">
        <v>0.5125</v>
      </c>
      <c r="C709" s="45">
        <v>45960.0</v>
      </c>
      <c r="D709" s="49">
        <v>0.5152777777777777</v>
      </c>
      <c r="E709" s="21" t="s">
        <v>5594</v>
      </c>
      <c r="F709" s="21" t="s">
        <v>5383</v>
      </c>
      <c r="G709" s="21" t="s">
        <v>5384</v>
      </c>
      <c r="H709" s="21" t="s">
        <v>244</v>
      </c>
      <c r="I709" s="21" t="s">
        <v>644</v>
      </c>
      <c r="J709" s="21" t="s">
        <v>644</v>
      </c>
      <c r="K709" s="21" t="s">
        <v>143</v>
      </c>
      <c r="L709" s="21" t="s">
        <v>4657</v>
      </c>
      <c r="M709" s="21" t="s">
        <v>5595</v>
      </c>
      <c r="N709" s="21" t="s">
        <v>5596</v>
      </c>
      <c r="O709" s="48" t="s">
        <v>5597</v>
      </c>
      <c r="P709" s="21" t="s">
        <v>48</v>
      </c>
      <c r="Q709" s="24" t="s">
        <v>65</v>
      </c>
      <c r="R709" s="21" t="s">
        <v>5598</v>
      </c>
      <c r="S709" s="21" t="s">
        <v>51</v>
      </c>
      <c r="T709" s="21" t="s">
        <v>52</v>
      </c>
      <c r="U709" s="21" t="s">
        <v>52</v>
      </c>
      <c r="V709" s="21" t="s">
        <v>52</v>
      </c>
      <c r="W709" s="45">
        <v>45960.0</v>
      </c>
      <c r="X709" s="49">
        <v>0.5152777777777777</v>
      </c>
      <c r="Y709" s="45">
        <v>45960.0</v>
      </c>
      <c r="Z709" s="49">
        <v>0.6666666666666666</v>
      </c>
      <c r="AA709" s="49">
        <v>0.7083333333333334</v>
      </c>
      <c r="AB709" s="25">
        <v>0.6666666666666666</v>
      </c>
      <c r="AC709" s="25">
        <v>0.7083333333333334</v>
      </c>
      <c r="AD709" s="25">
        <v>0.8125</v>
      </c>
      <c r="AE709" s="45">
        <v>45960.0</v>
      </c>
      <c r="AF709" s="21" t="s">
        <v>2711</v>
      </c>
      <c r="AG709" s="21" t="s">
        <v>78</v>
      </c>
      <c r="AH709" s="21" t="s">
        <v>5599</v>
      </c>
      <c r="AI709" s="62" t="str">
        <f>IFERROR(__xludf.DUMMYFUNCTION("IF(OR(W709="""",X709="""",AE709="""",AD709=""""),"""",
   TEXT(
     (
       (AE709+AD709 + IF(AE709+AD709 &lt; W709+X709,1,0)) - (W709+X709)
     )
     - IF(AND(AB709&lt;&gt;"""",AC709&lt;&gt;""""), 
          SUM(ARRAYFORMULA(SPLIT(AC709,"","") - SPLIT(AB709,"",""))"&amp;"), 
          0
       ),
     ""[hh]:mm""
   )
)
"),"06:08")</f>
        <v>06:08</v>
      </c>
      <c r="AJ709" s="27">
        <f t="shared" si="9"/>
        <v>0</v>
      </c>
      <c r="AK709" s="63" t="str">
        <f t="shared" si="10"/>
        <v>Pass</v>
      </c>
    </row>
    <row r="710">
      <c r="A710" s="18">
        <v>45958.0</v>
      </c>
      <c r="B710" s="20">
        <v>0.6881944444444444</v>
      </c>
      <c r="C710" s="18">
        <v>45958.0</v>
      </c>
      <c r="D710" s="20">
        <v>0.7201388888888889</v>
      </c>
      <c r="E710" s="22" t="s">
        <v>5600</v>
      </c>
      <c r="F710" s="22" t="s">
        <v>5601</v>
      </c>
      <c r="G710" s="22" t="s">
        <v>5602</v>
      </c>
      <c r="H710" s="22" t="s">
        <v>5603</v>
      </c>
      <c r="I710" s="22" t="s">
        <v>95</v>
      </c>
      <c r="J710" s="22" t="s">
        <v>95</v>
      </c>
      <c r="K710" s="22" t="s">
        <v>386</v>
      </c>
      <c r="L710" s="22" t="s">
        <v>3663</v>
      </c>
      <c r="M710" s="22" t="s">
        <v>5604</v>
      </c>
      <c r="N710" s="22" t="s">
        <v>5605</v>
      </c>
      <c r="O710" s="23" t="s">
        <v>5606</v>
      </c>
      <c r="P710" s="22" t="s">
        <v>48</v>
      </c>
      <c r="Q710" s="50" t="s">
        <v>49</v>
      </c>
      <c r="R710" s="22" t="s">
        <v>5607</v>
      </c>
      <c r="S710" s="22" t="s">
        <v>51</v>
      </c>
      <c r="T710" s="22" t="s">
        <v>52</v>
      </c>
      <c r="U710" s="22" t="s">
        <v>52</v>
      </c>
      <c r="V710" s="22" t="s">
        <v>52</v>
      </c>
      <c r="W710" s="18">
        <v>45960.0</v>
      </c>
      <c r="X710" s="20">
        <v>0.7180555555555556</v>
      </c>
      <c r="Y710" s="18">
        <v>45960.0</v>
      </c>
      <c r="Z710" s="20">
        <v>0.9861111111111112</v>
      </c>
      <c r="AA710" s="20">
        <v>0.0625</v>
      </c>
      <c r="AB710" s="50" t="s">
        <v>5608</v>
      </c>
      <c r="AC710" s="50" t="s">
        <v>5609</v>
      </c>
      <c r="AD710" s="51">
        <v>0.11458333333333333</v>
      </c>
      <c r="AE710" s="18">
        <v>45961.0</v>
      </c>
      <c r="AF710" s="31"/>
      <c r="AG710" s="22" t="s">
        <v>5610</v>
      </c>
      <c r="AH710" s="22" t="s">
        <v>5611</v>
      </c>
      <c r="AI710" s="26" t="str">
        <f>IFERROR(__xludf.DUMMYFUNCTION("IF(OR(W710="""",X710="""",AE710="""",AD710=""""),"""",
   TEXT(
     (
       (AE710+AD710 + IF(AE710+AD710 &lt; W710+X710,1,0)) - (W710+X710)
     )
     - IF(AND(AB710&lt;&gt;"""",AC710&lt;&gt;""""), 
          SUM(ARRAYFORMULA(SPLIT(AC710,"","") - SPLIT(AB710,"",""))"&amp;"), 
          0
       ),
     ""[hh]:mm""
   )
)
"),"07:42")</f>
        <v>07:42</v>
      </c>
      <c r="AJ710" s="55">
        <f t="shared" si="9"/>
        <v>0.1541666667</v>
      </c>
      <c r="AK710" s="28" t="str">
        <f t="shared" si="10"/>
        <v>Fail</v>
      </c>
    </row>
    <row r="711">
      <c r="A711" s="18">
        <v>45960.0</v>
      </c>
      <c r="B711" s="20">
        <v>0.6263888888888889</v>
      </c>
      <c r="C711" s="18">
        <v>45960.0</v>
      </c>
      <c r="D711" s="20">
        <v>0.6340277777777777</v>
      </c>
      <c r="E711" s="22" t="s">
        <v>5612</v>
      </c>
      <c r="F711" s="22" t="s">
        <v>1260</v>
      </c>
      <c r="G711" s="22" t="s">
        <v>1261</v>
      </c>
      <c r="H711" s="22" t="s">
        <v>142</v>
      </c>
      <c r="I711" s="22" t="s">
        <v>95</v>
      </c>
      <c r="J711" s="22" t="s">
        <v>95</v>
      </c>
      <c r="K711" s="22" t="s">
        <v>333</v>
      </c>
      <c r="L711" s="22" t="s">
        <v>4236</v>
      </c>
      <c r="M711" s="22" t="s">
        <v>5613</v>
      </c>
      <c r="N711" s="22" t="s">
        <v>5614</v>
      </c>
      <c r="O711" s="23" t="s">
        <v>5615</v>
      </c>
      <c r="P711" s="22" t="s">
        <v>48</v>
      </c>
      <c r="Q711" s="50" t="s">
        <v>49</v>
      </c>
      <c r="R711" s="22" t="s">
        <v>188</v>
      </c>
      <c r="S711" s="22" t="s">
        <v>51</v>
      </c>
      <c r="T711" s="22" t="s">
        <v>52</v>
      </c>
      <c r="U711" s="22" t="s">
        <v>52</v>
      </c>
      <c r="V711" s="22" t="s">
        <v>52</v>
      </c>
      <c r="W711" s="18">
        <v>45961.0</v>
      </c>
      <c r="X711" s="20">
        <v>0.3645833333333333</v>
      </c>
      <c r="Y711" s="18">
        <v>45961.0</v>
      </c>
      <c r="Z711" s="20">
        <v>0.4270833333333333</v>
      </c>
      <c r="AA711" s="20">
        <v>0.4375</v>
      </c>
      <c r="AB711" s="51">
        <v>0.46875</v>
      </c>
      <c r="AC711" s="51">
        <v>0.4895833333333333</v>
      </c>
      <c r="AD711" s="51">
        <v>0.4895833333333333</v>
      </c>
      <c r="AE711" s="18">
        <v>45961.0</v>
      </c>
      <c r="AF711" s="22" t="s">
        <v>3218</v>
      </c>
      <c r="AG711" s="22" t="s">
        <v>78</v>
      </c>
      <c r="AH711" s="22" t="s">
        <v>5616</v>
      </c>
      <c r="AI711" s="62" t="str">
        <f>IFERROR(__xludf.DUMMYFUNCTION("IF(OR(W711="""",X711="""",AE711="""",AD711=""""),"""",
   TEXT(
     (
       (AE711+AD711 + IF(AE711+AD711 &lt; W711+X711,1,0)) - (W711+X711)
     )
     - IF(AND(AB711&lt;&gt;"""",AC711&lt;&gt;""""), 
          SUM(ARRAYFORMULA(SPLIT(AC711,"","") - SPLIT(AB711,"",""))"&amp;"), 
          0
       ),
     ""[hh]:mm""
   )
)
"),"02:30")</f>
        <v>02:30</v>
      </c>
      <c r="AJ711" s="27">
        <f t="shared" si="9"/>
        <v>0</v>
      </c>
      <c r="AK711" s="63" t="str">
        <f t="shared" si="10"/>
        <v>Pass</v>
      </c>
    </row>
    <row r="712">
      <c r="A712" s="18">
        <v>45961.0</v>
      </c>
      <c r="B712" s="20">
        <v>0.3159722222222222</v>
      </c>
      <c r="C712" s="18">
        <v>45961.0</v>
      </c>
      <c r="D712" s="20">
        <v>0.3659722222222222</v>
      </c>
      <c r="E712" s="22" t="s">
        <v>5617</v>
      </c>
      <c r="F712" s="22" t="s">
        <v>1448</v>
      </c>
      <c r="G712" s="22" t="s">
        <v>3682</v>
      </c>
      <c r="H712" s="22" t="s">
        <v>1610</v>
      </c>
      <c r="I712" s="22" t="s">
        <v>1612</v>
      </c>
      <c r="J712" s="22" t="s">
        <v>1612</v>
      </c>
      <c r="K712" s="22" t="s">
        <v>143</v>
      </c>
      <c r="L712" s="22" t="s">
        <v>5618</v>
      </c>
      <c r="M712" s="22" t="s">
        <v>5619</v>
      </c>
      <c r="N712" s="22" t="s">
        <v>5620</v>
      </c>
      <c r="O712" s="23" t="s">
        <v>5621</v>
      </c>
      <c r="P712" s="22" t="s">
        <v>187</v>
      </c>
      <c r="Q712" s="50" t="s">
        <v>65</v>
      </c>
      <c r="R712" s="22" t="s">
        <v>5622</v>
      </c>
      <c r="S712" s="22" t="s">
        <v>51</v>
      </c>
      <c r="T712" s="22" t="s">
        <v>52</v>
      </c>
      <c r="U712" s="22" t="s">
        <v>52</v>
      </c>
      <c r="V712" s="22" t="s">
        <v>52</v>
      </c>
      <c r="W712" s="18">
        <v>45961.0</v>
      </c>
      <c r="X712" s="20">
        <v>0.3659722222222222</v>
      </c>
      <c r="Y712" s="18">
        <v>45961.0</v>
      </c>
      <c r="Z712" s="20">
        <v>0.4270833333333333</v>
      </c>
      <c r="AA712" s="20">
        <v>0.4305555555555556</v>
      </c>
      <c r="AB712" s="54"/>
      <c r="AC712" s="54"/>
      <c r="AD712" s="51">
        <v>0.4791666666666667</v>
      </c>
      <c r="AE712" s="18">
        <v>45961.0</v>
      </c>
      <c r="AF712" s="22" t="s">
        <v>2744</v>
      </c>
      <c r="AG712" s="22" t="s">
        <v>54</v>
      </c>
      <c r="AH712" s="22" t="s">
        <v>1455</v>
      </c>
      <c r="AI712" s="62" t="str">
        <f>IFERROR(__xludf.DUMMYFUNCTION("IF(OR(W712="""",X712="""",AE712="""",AD712=""""),"""",
   TEXT(
     (
       (AE712+AD712 + IF(AE712+AD712 &lt; W712+X712,1,0)) - (W712+X712)
     )
     - IF(AND(AB712&lt;&gt;"""",AC712&lt;&gt;""""), 
          SUM(ARRAYFORMULA(SPLIT(AC712,"","") - SPLIT(AB712,"",""))"&amp;"), 
          0
       ),
     ""[hh]:mm""
   )
)
"),"02:43")</f>
        <v>02:43</v>
      </c>
      <c r="AJ712" s="27">
        <f t="shared" si="9"/>
        <v>0</v>
      </c>
      <c r="AK712" s="63" t="str">
        <f t="shared" si="10"/>
        <v>Pass</v>
      </c>
    </row>
    <row r="713">
      <c r="A713" s="18">
        <v>45961.0</v>
      </c>
      <c r="B713" s="20">
        <v>0.65</v>
      </c>
      <c r="C713" s="18">
        <v>45961.0</v>
      </c>
      <c r="D713" s="20">
        <v>0.6520833333333333</v>
      </c>
      <c r="E713" s="22" t="s">
        <v>5623</v>
      </c>
      <c r="F713" s="22" t="s">
        <v>3707</v>
      </c>
      <c r="G713" s="22" t="s">
        <v>3708</v>
      </c>
      <c r="H713" s="22" t="s">
        <v>566</v>
      </c>
      <c r="I713" s="22" t="s">
        <v>234</v>
      </c>
      <c r="J713" s="22" t="s">
        <v>3813</v>
      </c>
      <c r="K713" s="22" t="s">
        <v>61</v>
      </c>
      <c r="L713" s="22" t="s">
        <v>183</v>
      </c>
      <c r="M713" s="22" t="s">
        <v>4569</v>
      </c>
      <c r="N713" s="22" t="s">
        <v>5624</v>
      </c>
      <c r="O713" s="23" t="s">
        <v>5625</v>
      </c>
      <c r="P713" s="22" t="s">
        <v>48</v>
      </c>
      <c r="Q713" s="50" t="s">
        <v>65</v>
      </c>
      <c r="R713" s="22" t="s">
        <v>5626</v>
      </c>
      <c r="S713" s="22" t="s">
        <v>51</v>
      </c>
      <c r="T713" s="22" t="s">
        <v>52</v>
      </c>
      <c r="U713" s="22" t="s">
        <v>52</v>
      </c>
      <c r="V713" s="22" t="s">
        <v>52</v>
      </c>
      <c r="W713" s="18">
        <v>45961.0</v>
      </c>
      <c r="X713" s="75">
        <v>0.6520833333333333</v>
      </c>
      <c r="Y713" s="18">
        <v>45961.0</v>
      </c>
      <c r="Z713" s="20">
        <v>0.6868055555555556</v>
      </c>
      <c r="AA713" s="20">
        <v>0.6909722222222222</v>
      </c>
      <c r="AB713" s="54"/>
      <c r="AC713" s="54"/>
      <c r="AD713" s="51">
        <v>0.7638888888888888</v>
      </c>
      <c r="AE713" s="18">
        <v>45961.0</v>
      </c>
      <c r="AF713" s="22" t="s">
        <v>2744</v>
      </c>
      <c r="AG713" s="22" t="s">
        <v>239</v>
      </c>
      <c r="AH713" s="22" t="s">
        <v>5627</v>
      </c>
      <c r="AI713" s="26" t="str">
        <f>IFERROR(__xludf.DUMMYFUNCTION("IF(OR(W713="""",X713="""",AE713="""",AD713=""""),"""",
   TEXT(
     (
       (AE713+AD713 + IF(AE713+AD713 &lt; W713+X713,1,0)) - (W713+X713)
     )
     - IF(AND(AB713&lt;&gt;"""",AC713&lt;&gt;""""), 
          SUM(ARRAYFORMULA(SPLIT(AC713,"","") - SPLIT(AB713,"",""))"&amp;"), 
          0
       ),
     ""[hh]:mm""
   )
)
"),"02:41")</f>
        <v>02:41</v>
      </c>
      <c r="AJ713" s="55">
        <f t="shared" si="9"/>
        <v>0</v>
      </c>
      <c r="AK713" s="28" t="str">
        <f t="shared" si="10"/>
        <v>Pass</v>
      </c>
    </row>
    <row r="714">
      <c r="A714" s="45">
        <v>45961.0</v>
      </c>
      <c r="B714" s="49">
        <v>0.475</v>
      </c>
      <c r="C714" s="45">
        <v>45961.0</v>
      </c>
      <c r="D714" s="49">
        <v>0.5097222222222222</v>
      </c>
      <c r="E714" s="21" t="s">
        <v>5628</v>
      </c>
      <c r="F714" s="21" t="s">
        <v>463</v>
      </c>
      <c r="G714" s="21" t="s">
        <v>464</v>
      </c>
      <c r="H714" s="21" t="s">
        <v>377</v>
      </c>
      <c r="I714" s="21" t="s">
        <v>131</v>
      </c>
      <c r="J714" s="21" t="s">
        <v>2253</v>
      </c>
      <c r="K714" s="21" t="s">
        <v>43</v>
      </c>
      <c r="L714" s="21" t="s">
        <v>805</v>
      </c>
      <c r="M714" s="21" t="s">
        <v>5629</v>
      </c>
      <c r="N714" s="21" t="s">
        <v>5630</v>
      </c>
      <c r="O714" s="48" t="s">
        <v>5631</v>
      </c>
      <c r="P714" s="21" t="s">
        <v>75</v>
      </c>
      <c r="Q714" s="24" t="s">
        <v>65</v>
      </c>
      <c r="R714" s="21" t="s">
        <v>5632</v>
      </c>
      <c r="S714" s="21" t="s">
        <v>51</v>
      </c>
      <c r="T714" s="21" t="s">
        <v>52</v>
      </c>
      <c r="U714" s="21" t="s">
        <v>52</v>
      </c>
      <c r="V714" s="21" t="s">
        <v>52</v>
      </c>
      <c r="W714" s="45">
        <v>45961.0</v>
      </c>
      <c r="X714" s="49">
        <v>0.5097222222222222</v>
      </c>
      <c r="Y714" s="45">
        <v>45961.0</v>
      </c>
      <c r="Z714" s="49">
        <v>0.6652777777777777</v>
      </c>
      <c r="AA714" s="49">
        <v>0.6666666666666666</v>
      </c>
      <c r="AB714" s="25">
        <v>0.7083333333333334</v>
      </c>
      <c r="AC714" s="25">
        <v>0.7347222222222223</v>
      </c>
      <c r="AD714" s="25">
        <v>0.7347222222222223</v>
      </c>
      <c r="AE714" s="45">
        <v>45961.0</v>
      </c>
      <c r="AF714" s="21" t="s">
        <v>2719</v>
      </c>
      <c r="AG714" s="21" t="s">
        <v>1482</v>
      </c>
      <c r="AH714" s="21" t="s">
        <v>471</v>
      </c>
      <c r="AI714" s="62" t="str">
        <f>IFERROR(__xludf.DUMMYFUNCTION("IF(OR(W714="""",X714="""",AE714="""",AD714=""""),"""",
   TEXT(
     (
       (AE714+AD714 + IF(AE714+AD714 &lt; W714+X714,1,0)) - (W714+X714)
     )
     - IF(AND(AB714&lt;&gt;"""",AC714&lt;&gt;""""), 
          SUM(ARRAYFORMULA(SPLIT(AC714,"","") - SPLIT(AB714,"",""))"&amp;"), 
          0
       ),
     ""[hh]:mm""
   )
)
"),"04:46")</f>
        <v>04:46</v>
      </c>
      <c r="AJ714" s="27">
        <f t="shared" si="9"/>
        <v>0</v>
      </c>
      <c r="AK714" s="63" t="str">
        <f t="shared" si="10"/>
        <v>Pass</v>
      </c>
    </row>
    <row r="715">
      <c r="A715" s="45">
        <v>45961.0</v>
      </c>
      <c r="B715" s="49">
        <v>0.5548611111111111</v>
      </c>
      <c r="C715" s="45">
        <v>45961.0</v>
      </c>
      <c r="D715" s="49">
        <v>0.5659722222222222</v>
      </c>
      <c r="E715" s="21" t="s">
        <v>5633</v>
      </c>
      <c r="F715" s="21" t="s">
        <v>5634</v>
      </c>
      <c r="G715" s="21" t="s">
        <v>5635</v>
      </c>
      <c r="H715" s="21" t="s">
        <v>1610</v>
      </c>
      <c r="I715" s="21" t="s">
        <v>1612</v>
      </c>
      <c r="J715" s="21" t="s">
        <v>1612</v>
      </c>
      <c r="K715" s="21" t="s">
        <v>143</v>
      </c>
      <c r="L715" s="21" t="s">
        <v>1613</v>
      </c>
      <c r="M715" s="21" t="s">
        <v>5636</v>
      </c>
      <c r="N715" s="21" t="s">
        <v>5637</v>
      </c>
      <c r="O715" s="48" t="s">
        <v>5638</v>
      </c>
      <c r="P715" s="21" t="s">
        <v>187</v>
      </c>
      <c r="Q715" s="24" t="s">
        <v>65</v>
      </c>
      <c r="R715" s="21" t="s">
        <v>5639</v>
      </c>
      <c r="S715" s="21" t="s">
        <v>51</v>
      </c>
      <c r="T715" s="21" t="s">
        <v>52</v>
      </c>
      <c r="U715" s="21" t="s">
        <v>52</v>
      </c>
      <c r="V715" s="21" t="s">
        <v>52</v>
      </c>
      <c r="W715" s="45">
        <v>45961.0</v>
      </c>
      <c r="X715" s="49">
        <v>0.5659722222222222</v>
      </c>
      <c r="Y715" s="45">
        <v>45961.0</v>
      </c>
      <c r="Z715" s="49">
        <v>0.6513888888888889</v>
      </c>
      <c r="AA715" s="49">
        <v>0.6527777777777778</v>
      </c>
      <c r="AB715" s="25">
        <v>0.74375</v>
      </c>
      <c r="AC715" s="25">
        <v>0.7986111111111112</v>
      </c>
      <c r="AD715" s="25">
        <v>0.7986111111111112</v>
      </c>
      <c r="AE715" s="45">
        <v>45961.0</v>
      </c>
      <c r="AF715" s="21" t="s">
        <v>2711</v>
      </c>
      <c r="AG715" s="21" t="s">
        <v>3197</v>
      </c>
      <c r="AH715" s="21" t="s">
        <v>5640</v>
      </c>
      <c r="AI715" s="62" t="str">
        <f>IFERROR(__xludf.DUMMYFUNCTION("IF(OR(W715="""",X715="""",AE715="""",AD715=""""),"""",
   TEXT(
     (
       (AE715+AD715 + IF(AE715+AD715 &lt; W715+X715,1,0)) - (W715+X715)
     )
     - IF(AND(AB715&lt;&gt;"""",AC715&lt;&gt;""""), 
          SUM(ARRAYFORMULA(SPLIT(AC715,"","") - SPLIT(AB715,"",""))"&amp;"), 
          0
       ),
     ""[hh]:mm""
   )
)
"),"04:16")</f>
        <v>04:16</v>
      </c>
      <c r="AJ715" s="27">
        <f t="shared" si="9"/>
        <v>0</v>
      </c>
      <c r="AK715" s="63" t="str">
        <f t="shared" si="10"/>
        <v>Pass</v>
      </c>
    </row>
    <row r="716">
      <c r="A716" s="45">
        <v>45961.0</v>
      </c>
      <c r="B716" s="49">
        <v>0.7090277777777778</v>
      </c>
      <c r="C716" s="45">
        <v>45961.0</v>
      </c>
      <c r="D716" s="49">
        <v>0.7104166666666667</v>
      </c>
      <c r="E716" s="21" t="s">
        <v>5641</v>
      </c>
      <c r="F716" s="21" t="s">
        <v>3057</v>
      </c>
      <c r="G716" s="21" t="s">
        <v>3058</v>
      </c>
      <c r="H716" s="21" t="s">
        <v>244</v>
      </c>
      <c r="I716" s="21" t="s">
        <v>951</v>
      </c>
      <c r="J716" s="21" t="s">
        <v>3806</v>
      </c>
      <c r="K716" s="47"/>
      <c r="L716" s="47"/>
      <c r="M716" s="47"/>
      <c r="N716" s="21" t="s">
        <v>5642</v>
      </c>
      <c r="O716" s="48" t="s">
        <v>5643</v>
      </c>
      <c r="P716" s="21" t="s">
        <v>48</v>
      </c>
      <c r="Q716" s="24" t="s">
        <v>49</v>
      </c>
      <c r="R716" s="21" t="s">
        <v>5644</v>
      </c>
      <c r="S716" s="21" t="s">
        <v>51</v>
      </c>
      <c r="T716" s="21" t="s">
        <v>52</v>
      </c>
      <c r="U716" s="21" t="s">
        <v>52</v>
      </c>
      <c r="V716" s="21" t="s">
        <v>52</v>
      </c>
      <c r="W716" s="45">
        <v>45961.0</v>
      </c>
      <c r="X716" s="49">
        <v>0.7104166666666667</v>
      </c>
      <c r="Y716" s="45">
        <v>45961.0</v>
      </c>
      <c r="Z716" s="49">
        <v>0.7395833333333334</v>
      </c>
      <c r="AA716" s="49">
        <v>0.75</v>
      </c>
      <c r="AB716" s="29"/>
      <c r="AC716" s="29"/>
      <c r="AD716" s="25">
        <v>0.875</v>
      </c>
      <c r="AE716" s="45">
        <v>45961.0</v>
      </c>
      <c r="AF716" s="21" t="s">
        <v>4914</v>
      </c>
      <c r="AG716" s="21" t="s">
        <v>5645</v>
      </c>
      <c r="AH716" s="21" t="s">
        <v>5548</v>
      </c>
      <c r="AI716" s="62" t="str">
        <f>IFERROR(__xludf.DUMMYFUNCTION("IF(OR(W716="""",X716="""",AE716="""",AD716=""""),"""",
   TEXT(
     (
       (AE716+AD716 + IF(AE716+AD716 &lt; W716+X716,1,0)) - (W716+X716)
     )
     - IF(AND(AB716&lt;&gt;"""",AC716&lt;&gt;""""), 
          SUM(ARRAYFORMULA(SPLIT(AC716,"","") - SPLIT(AB716,"",""))"&amp;"), 
          0
       ),
     ""[hh]:mm""
   )
)
"),"03:57")</f>
        <v>03:57</v>
      </c>
      <c r="AJ716" s="27">
        <f t="shared" si="9"/>
        <v>0</v>
      </c>
      <c r="AK716" s="63" t="str">
        <f t="shared" si="10"/>
        <v>Pass</v>
      </c>
    </row>
    <row r="717">
      <c r="A717" s="18">
        <v>45961.0</v>
      </c>
      <c r="B717" s="20">
        <v>0.8284722222222223</v>
      </c>
      <c r="C717" s="18">
        <v>45961.0</v>
      </c>
      <c r="D717" s="20">
        <v>0.8319444444444445</v>
      </c>
      <c r="E717" s="22" t="s">
        <v>5646</v>
      </c>
      <c r="F717" s="22" t="s">
        <v>1922</v>
      </c>
      <c r="G717" s="22" t="s">
        <v>1923</v>
      </c>
      <c r="H717" s="22" t="s">
        <v>1610</v>
      </c>
      <c r="I717" s="22" t="s">
        <v>1612</v>
      </c>
      <c r="J717" s="22" t="s">
        <v>1612</v>
      </c>
      <c r="K717" s="22" t="s">
        <v>143</v>
      </c>
      <c r="L717" s="22" t="s">
        <v>5254</v>
      </c>
      <c r="M717" s="22" t="s">
        <v>5647</v>
      </c>
      <c r="N717" s="22" t="s">
        <v>5648</v>
      </c>
      <c r="O717" s="23" t="s">
        <v>5649</v>
      </c>
      <c r="P717" s="22" t="s">
        <v>187</v>
      </c>
      <c r="Q717" s="50" t="s">
        <v>65</v>
      </c>
      <c r="R717" s="22" t="s">
        <v>5650</v>
      </c>
      <c r="S717" s="22" t="s">
        <v>51</v>
      </c>
      <c r="T717" s="22" t="s">
        <v>52</v>
      </c>
      <c r="U717" s="22" t="s">
        <v>52</v>
      </c>
      <c r="V717" s="22" t="s">
        <v>52</v>
      </c>
      <c r="W717" s="18">
        <v>45961.0</v>
      </c>
      <c r="X717" s="20">
        <v>0.8319444444444445</v>
      </c>
      <c r="Y717" s="18">
        <v>45961.0</v>
      </c>
      <c r="Z717" s="20">
        <v>0.8840277777777777</v>
      </c>
      <c r="AA717" s="20">
        <v>0.8840277777777777</v>
      </c>
      <c r="AB717" s="54"/>
      <c r="AC717" s="54"/>
      <c r="AD717" s="51">
        <v>0.9375</v>
      </c>
      <c r="AE717" s="18">
        <v>45961.0</v>
      </c>
      <c r="AF717" s="22" t="s">
        <v>3218</v>
      </c>
      <c r="AG717" s="22" t="s">
        <v>2086</v>
      </c>
      <c r="AH717" s="22" t="s">
        <v>5651</v>
      </c>
      <c r="AI717" s="26" t="str">
        <f>IFERROR(__xludf.DUMMYFUNCTION("IF(OR(W717="""",X717="""",AE717="""",AD717=""""),"""",
   TEXT(
     (
       (AE717+AD717 + IF(AE717+AD717 &lt; W717+X717,1,0)) - (W717+X717)
     )
     - IF(AND(AB717&lt;&gt;"""",AC717&lt;&gt;""""), 
          SUM(ARRAYFORMULA(SPLIT(AC717,"","") - SPLIT(AB717,"",""))"&amp;"), 
          0
       ),
     ""[hh]:mm""
   )
)
"),"02:32")</f>
        <v>02:32</v>
      </c>
      <c r="AJ717" s="55">
        <f t="shared" si="9"/>
        <v>0</v>
      </c>
      <c r="AK717" s="28" t="str">
        <f t="shared" si="10"/>
        <v>Pass</v>
      </c>
    </row>
    <row r="718">
      <c r="A718" s="45">
        <v>45960.0</v>
      </c>
      <c r="B718" s="49">
        <v>0.3798611111111111</v>
      </c>
      <c r="C718" s="45">
        <v>45960.0</v>
      </c>
      <c r="D718" s="49">
        <v>0.38680555555555557</v>
      </c>
      <c r="E718" s="21" t="s">
        <v>5652</v>
      </c>
      <c r="F718" s="21" t="s">
        <v>5434</v>
      </c>
      <c r="G718" s="21" t="s">
        <v>5435</v>
      </c>
      <c r="H718" s="21" t="s">
        <v>5653</v>
      </c>
      <c r="I718" s="21" t="s">
        <v>60</v>
      </c>
      <c r="J718" s="21" t="s">
        <v>3806</v>
      </c>
      <c r="K718" s="21" t="s">
        <v>3967</v>
      </c>
      <c r="L718" s="21" t="s">
        <v>4114</v>
      </c>
      <c r="M718" s="21" t="s">
        <v>5436</v>
      </c>
      <c r="N718" s="21" t="s">
        <v>5654</v>
      </c>
      <c r="O718" s="48" t="s">
        <v>5655</v>
      </c>
      <c r="P718" s="21" t="s">
        <v>75</v>
      </c>
      <c r="Q718" s="24" t="s">
        <v>65</v>
      </c>
      <c r="R718" s="21" t="s">
        <v>5656</v>
      </c>
      <c r="S718" s="21" t="s">
        <v>51</v>
      </c>
      <c r="T718" s="21" t="s">
        <v>5657</v>
      </c>
      <c r="U718" s="21" t="s">
        <v>5436</v>
      </c>
      <c r="V718" s="21" t="s">
        <v>5658</v>
      </c>
      <c r="W718" s="45">
        <v>45963.0</v>
      </c>
      <c r="X718" s="49">
        <v>0.0</v>
      </c>
      <c r="Y718" s="45">
        <v>45962.0</v>
      </c>
      <c r="Z718" s="49">
        <v>0.9791666666666666</v>
      </c>
      <c r="AA718" s="49">
        <v>0.0</v>
      </c>
      <c r="AB718" s="29"/>
      <c r="AC718" s="29"/>
      <c r="AD718" s="25">
        <v>0.125</v>
      </c>
      <c r="AE718" s="45">
        <v>45963.0</v>
      </c>
      <c r="AF718" s="21" t="s">
        <v>2711</v>
      </c>
      <c r="AG718" s="21" t="s">
        <v>5659</v>
      </c>
      <c r="AH718" s="21" t="s">
        <v>5660</v>
      </c>
      <c r="AI718" s="62" t="str">
        <f>IFERROR(__xludf.DUMMYFUNCTION("IF(OR(W718="""",X718="""",AE718="""",AD718=""""),"""",
   TEXT(
     (
       (AE718+AD718 + IF(AE718+AD718 &lt; W718+X718,1,0)) - (W718+X718)
     )
     - IF(AND(AB718&lt;&gt;"""",AC718&lt;&gt;""""), 
          SUM(ARRAYFORMULA(SPLIT(AC718,"","") - SPLIT(AB718,"",""))"&amp;"), 
          0
       ),
     ""[hh]:mm""
   )
)
"),"03:00")</f>
        <v>03:00</v>
      </c>
      <c r="AJ718" s="27">
        <f t="shared" si="9"/>
        <v>0</v>
      </c>
      <c r="AK718" s="63" t="str">
        <f t="shared" si="10"/>
        <v>Pass</v>
      </c>
    </row>
    <row r="719">
      <c r="A719" s="45">
        <v>45961.0</v>
      </c>
      <c r="B719" s="49">
        <v>0.7944444444444444</v>
      </c>
      <c r="C719" s="45">
        <v>45961.0</v>
      </c>
      <c r="D719" s="49">
        <v>0.7972222222222223</v>
      </c>
      <c r="E719" s="21" t="s">
        <v>5661</v>
      </c>
      <c r="F719" s="21" t="s">
        <v>3344</v>
      </c>
      <c r="G719" s="21" t="s">
        <v>3345</v>
      </c>
      <c r="H719" s="21" t="s">
        <v>756</v>
      </c>
      <c r="I719" s="21" t="s">
        <v>644</v>
      </c>
      <c r="J719" s="21" t="s">
        <v>644</v>
      </c>
      <c r="K719" s="21" t="s">
        <v>143</v>
      </c>
      <c r="L719" s="21" t="s">
        <v>3492</v>
      </c>
      <c r="M719" s="21" t="s">
        <v>5662</v>
      </c>
      <c r="N719" s="21" t="s">
        <v>5663</v>
      </c>
      <c r="O719" s="48" t="s">
        <v>5664</v>
      </c>
      <c r="P719" s="21" t="s">
        <v>187</v>
      </c>
      <c r="Q719" s="24" t="s">
        <v>65</v>
      </c>
      <c r="R719" s="21" t="s">
        <v>5665</v>
      </c>
      <c r="S719" s="21" t="s">
        <v>51</v>
      </c>
      <c r="T719" s="21" t="s">
        <v>52</v>
      </c>
      <c r="U719" s="21" t="s">
        <v>52</v>
      </c>
      <c r="V719" s="21" t="s">
        <v>52</v>
      </c>
      <c r="W719" s="45">
        <v>45962.0</v>
      </c>
      <c r="X719" s="49">
        <v>0.49444444444444446</v>
      </c>
      <c r="Y719" s="45">
        <v>45962.0</v>
      </c>
      <c r="Z719" s="49">
        <v>0.7090277777777778</v>
      </c>
      <c r="AA719" s="49">
        <v>0.71875</v>
      </c>
      <c r="AB719" s="25">
        <v>0.8958333333333334</v>
      </c>
      <c r="AC719" s="25">
        <v>0.9166666666666666</v>
      </c>
      <c r="AD719" s="25">
        <v>0.9166666666666666</v>
      </c>
      <c r="AE719" s="45">
        <v>45962.0</v>
      </c>
      <c r="AF719" s="21" t="s">
        <v>2711</v>
      </c>
      <c r="AG719" s="21" t="s">
        <v>151</v>
      </c>
      <c r="AH719" s="21" t="s">
        <v>5666</v>
      </c>
      <c r="AI719" s="62" t="str">
        <f>IFERROR(__xludf.DUMMYFUNCTION("IF(OR(W719="""",X719="""",AE719="""",AD719=""""),"""",
   TEXT(
     (
       (AE719+AD719 + IF(AE719+AD719 &lt; W719+X719,1,0)) - (W719+X719)
     )
     - IF(AND(AB719&lt;&gt;"""",AC719&lt;&gt;""""), 
          SUM(ARRAYFORMULA(SPLIT(AC719,"","") - SPLIT(AB719,"",""))"&amp;"), 
          0
       ),
     ""[hh]:mm""
   )
)
"),"09:38")</f>
        <v>09:38</v>
      </c>
      <c r="AJ719" s="27">
        <f t="shared" si="9"/>
        <v>0</v>
      </c>
      <c r="AK719" s="63" t="str">
        <f t="shared" si="10"/>
        <v>Pass</v>
      </c>
    </row>
    <row r="720">
      <c r="A720" s="45">
        <v>45961.0</v>
      </c>
      <c r="B720" s="49">
        <v>0.8743055555555556</v>
      </c>
      <c r="C720" s="45">
        <v>45961.0</v>
      </c>
      <c r="D720" s="49">
        <v>0.8770833333333333</v>
      </c>
      <c r="E720" s="21" t="s">
        <v>5667</v>
      </c>
      <c r="F720" s="21" t="s">
        <v>463</v>
      </c>
      <c r="G720" s="21" t="s">
        <v>464</v>
      </c>
      <c r="H720" s="21" t="s">
        <v>156</v>
      </c>
      <c r="I720" s="21" t="s">
        <v>131</v>
      </c>
      <c r="J720" s="21" t="s">
        <v>3806</v>
      </c>
      <c r="K720" s="21" t="s">
        <v>43</v>
      </c>
      <c r="L720" s="21" t="s">
        <v>1251</v>
      </c>
      <c r="M720" s="21" t="s">
        <v>5629</v>
      </c>
      <c r="N720" s="21" t="s">
        <v>5668</v>
      </c>
      <c r="O720" s="48" t="s">
        <v>5669</v>
      </c>
      <c r="P720" s="21" t="s">
        <v>75</v>
      </c>
      <c r="Q720" s="24" t="s">
        <v>65</v>
      </c>
      <c r="R720" s="21" t="s">
        <v>5670</v>
      </c>
      <c r="S720" s="21" t="s">
        <v>51</v>
      </c>
      <c r="T720" s="21" t="s">
        <v>657</v>
      </c>
      <c r="U720" s="21" t="s">
        <v>5671</v>
      </c>
      <c r="V720" s="21" t="s">
        <v>5629</v>
      </c>
      <c r="W720" s="45">
        <v>45962.0</v>
      </c>
      <c r="X720" s="49">
        <v>0.3333333333333333</v>
      </c>
      <c r="Y720" s="45">
        <v>45962.0</v>
      </c>
      <c r="Z720" s="49">
        <v>0.6298611111111111</v>
      </c>
      <c r="AA720" s="49">
        <v>0.63125</v>
      </c>
      <c r="AB720" s="25">
        <v>0.2951388888888889</v>
      </c>
      <c r="AC720" s="25">
        <v>0.525</v>
      </c>
      <c r="AD720" s="25">
        <v>0.6701388888888888</v>
      </c>
      <c r="AE720" s="45">
        <v>45962.0</v>
      </c>
      <c r="AF720" s="21" t="s">
        <v>2971</v>
      </c>
      <c r="AG720" s="21" t="s">
        <v>2004</v>
      </c>
      <c r="AH720" s="21" t="s">
        <v>5672</v>
      </c>
      <c r="AI720" s="62" t="str">
        <f>IFERROR(__xludf.DUMMYFUNCTION("IF(OR(W720="""",X720="""",AE720="""",AD720=""""),"""",
   TEXT(
     (
       (AE720+AD720 + IF(AE720+AD720 &lt; W720+X720,1,0)) - (W720+X720)
     )
     - IF(AND(AB720&lt;&gt;"""",AC720&lt;&gt;""""), 
          SUM(ARRAYFORMULA(SPLIT(AC720,"","") - SPLIT(AB720,"",""))"&amp;"), 
          0
       ),
     ""[hh]:mm""
   )
)
"),"02:34")</f>
        <v>02:34</v>
      </c>
      <c r="AJ720" s="27">
        <f t="shared" si="9"/>
        <v>0</v>
      </c>
      <c r="AK720" s="63" t="str">
        <f t="shared" si="10"/>
        <v>Pass</v>
      </c>
    </row>
    <row r="721">
      <c r="A721" s="45">
        <v>45962.0</v>
      </c>
      <c r="B721" s="49">
        <v>0.3173611111111111</v>
      </c>
      <c r="C721" s="45">
        <v>45962.0</v>
      </c>
      <c r="D721" s="49">
        <v>0.3736111111111111</v>
      </c>
      <c r="E721" s="21" t="s">
        <v>5673</v>
      </c>
      <c r="F721" s="21" t="s">
        <v>3057</v>
      </c>
      <c r="G721" s="21" t="s">
        <v>3058</v>
      </c>
      <c r="H721" s="21" t="s">
        <v>746</v>
      </c>
      <c r="I721" s="21" t="s">
        <v>1162</v>
      </c>
      <c r="J721" s="21" t="s">
        <v>3813</v>
      </c>
      <c r="K721" s="21" t="s">
        <v>61</v>
      </c>
      <c r="L721" s="21" t="s">
        <v>52</v>
      </c>
      <c r="M721" s="21" t="s">
        <v>5674</v>
      </c>
      <c r="N721" s="21" t="s">
        <v>5675</v>
      </c>
      <c r="O721" s="48" t="s">
        <v>5676</v>
      </c>
      <c r="P721" s="21" t="s">
        <v>75</v>
      </c>
      <c r="Q721" s="24" t="s">
        <v>65</v>
      </c>
      <c r="R721" s="21" t="s">
        <v>5677</v>
      </c>
      <c r="S721" s="21" t="s">
        <v>51</v>
      </c>
      <c r="T721" s="21" t="s">
        <v>5678</v>
      </c>
      <c r="U721" s="21" t="s">
        <v>5674</v>
      </c>
      <c r="V721" s="21" t="s">
        <v>52</v>
      </c>
      <c r="W721" s="45">
        <v>45962.0</v>
      </c>
      <c r="X721" s="49">
        <v>0.3736111111111111</v>
      </c>
      <c r="Y721" s="45">
        <v>45962.0</v>
      </c>
      <c r="Z721" s="49">
        <v>0.36319444444444443</v>
      </c>
      <c r="AA721" s="49">
        <v>0.36875</v>
      </c>
      <c r="AB721" s="25">
        <v>0.36875</v>
      </c>
      <c r="AC721" s="25">
        <v>0.4965277777777778</v>
      </c>
      <c r="AD721" s="25">
        <v>0.5034722222222222</v>
      </c>
      <c r="AE721" s="45">
        <v>45962.0</v>
      </c>
      <c r="AF721" s="21" t="s">
        <v>2711</v>
      </c>
      <c r="AG721" s="21" t="s">
        <v>5679</v>
      </c>
      <c r="AH721" s="21" t="s">
        <v>5680</v>
      </c>
      <c r="AI721" s="62" t="str">
        <f>IFERROR(__xludf.DUMMYFUNCTION("IF(OR(W721="""",X721="""",AE721="""",AD721=""""),"""",
   TEXT(
     (
       (AE721+AD721 + IF(AE721+AD721 &lt; W721+X721,1,0)) - (W721+X721)
     )
     - IF(AND(AB721&lt;&gt;"""",AC721&lt;&gt;""""), 
          SUM(ARRAYFORMULA(SPLIT(AC721,"","") - SPLIT(AB721,"",""))"&amp;"), 
          0
       ),
     ""[hh]:mm""
   )
)
"),"00:03")</f>
        <v>00:03</v>
      </c>
      <c r="AJ721" s="27">
        <f t="shared" si="9"/>
        <v>0</v>
      </c>
      <c r="AK721" s="63" t="str">
        <f t="shared" si="10"/>
        <v>Pass</v>
      </c>
    </row>
    <row r="722">
      <c r="A722" s="45">
        <v>45962.0</v>
      </c>
      <c r="B722" s="49">
        <v>0.37569444444444444</v>
      </c>
      <c r="C722" s="45">
        <v>45962.0</v>
      </c>
      <c r="D722" s="49">
        <v>0.3888888888888889</v>
      </c>
      <c r="E722" s="21" t="s">
        <v>5681</v>
      </c>
      <c r="F722" s="21" t="s">
        <v>1176</v>
      </c>
      <c r="G722" s="21" t="s">
        <v>1177</v>
      </c>
      <c r="H722" s="21" t="s">
        <v>756</v>
      </c>
      <c r="I722" s="21" t="s">
        <v>41</v>
      </c>
      <c r="J722" s="21" t="s">
        <v>3813</v>
      </c>
      <c r="K722" s="21" t="s">
        <v>5682</v>
      </c>
      <c r="L722" s="21" t="s">
        <v>5683</v>
      </c>
      <c r="M722" s="21" t="s">
        <v>5684</v>
      </c>
      <c r="N722" s="21" t="s">
        <v>5685</v>
      </c>
      <c r="O722" s="48" t="s">
        <v>5686</v>
      </c>
      <c r="P722" s="21" t="s">
        <v>48</v>
      </c>
      <c r="Q722" s="24" t="s">
        <v>49</v>
      </c>
      <c r="R722" s="21" t="s">
        <v>5687</v>
      </c>
      <c r="S722" s="21" t="s">
        <v>51</v>
      </c>
      <c r="T722" s="21" t="s">
        <v>52</v>
      </c>
      <c r="U722" s="21" t="s">
        <v>52</v>
      </c>
      <c r="V722" s="21" t="s">
        <v>52</v>
      </c>
      <c r="W722" s="45">
        <v>45962.0</v>
      </c>
      <c r="X722" s="49">
        <v>0.3888888888888889</v>
      </c>
      <c r="Y722" s="45">
        <v>45962.0</v>
      </c>
      <c r="Z722" s="49">
        <v>0.45208333333333334</v>
      </c>
      <c r="AA722" s="49">
        <v>0.4583333333333333</v>
      </c>
      <c r="AB722" s="25">
        <v>0.5333333333333333</v>
      </c>
      <c r="AC722" s="25">
        <v>0.5520833333333334</v>
      </c>
      <c r="AD722" s="25">
        <v>0.5625</v>
      </c>
      <c r="AE722" s="45">
        <v>45962.0</v>
      </c>
      <c r="AF722" s="21" t="s">
        <v>2711</v>
      </c>
      <c r="AG722" s="21" t="s">
        <v>5541</v>
      </c>
      <c r="AH722" s="21" t="s">
        <v>1184</v>
      </c>
      <c r="AI722" s="62" t="str">
        <f>IFERROR(__xludf.DUMMYFUNCTION("IF(OR(W722="""",X722="""",AE722="""",AD722=""""),"""",
   TEXT(
     (
       (AE722+AD722 + IF(AE722+AD722 &lt; W722+X722,1,0)) - (W722+X722)
     )
     - IF(AND(AB722&lt;&gt;"""",AC722&lt;&gt;""""), 
          SUM(ARRAYFORMULA(SPLIT(AC722,"","") - SPLIT(AB722,"",""))"&amp;"), 
          0
       ),
     ""[hh]:mm""
   )
)
"),"03:43")</f>
        <v>03:43</v>
      </c>
      <c r="AJ722" s="27">
        <f t="shared" si="9"/>
        <v>0</v>
      </c>
      <c r="AK722" s="63" t="str">
        <f t="shared" si="10"/>
        <v>Pass</v>
      </c>
    </row>
    <row r="723">
      <c r="A723" s="45">
        <v>45962.0</v>
      </c>
      <c r="B723" s="49">
        <v>0.5354166666666667</v>
      </c>
      <c r="C723" s="45">
        <v>45962.0</v>
      </c>
      <c r="D723" s="49">
        <v>0.54375</v>
      </c>
      <c r="E723" s="21" t="s">
        <v>5688</v>
      </c>
      <c r="F723" s="21" t="s">
        <v>4171</v>
      </c>
      <c r="G723" s="21" t="s">
        <v>4172</v>
      </c>
      <c r="H723" s="21" t="s">
        <v>244</v>
      </c>
      <c r="I723" s="21" t="s">
        <v>1055</v>
      </c>
      <c r="J723" s="21" t="s">
        <v>1056</v>
      </c>
      <c r="K723" s="21" t="s">
        <v>635</v>
      </c>
      <c r="L723" s="21" t="s">
        <v>1585</v>
      </c>
      <c r="M723" s="21" t="s">
        <v>5689</v>
      </c>
      <c r="N723" s="21" t="s">
        <v>5690</v>
      </c>
      <c r="O723" s="48" t="s">
        <v>5691</v>
      </c>
      <c r="P723" s="21" t="s">
        <v>48</v>
      </c>
      <c r="Q723" s="24" t="s">
        <v>65</v>
      </c>
      <c r="R723" s="21" t="s">
        <v>5692</v>
      </c>
      <c r="S723" s="21" t="s">
        <v>51</v>
      </c>
      <c r="T723" s="21" t="s">
        <v>52</v>
      </c>
      <c r="U723" s="21" t="s">
        <v>52</v>
      </c>
      <c r="V723" s="21" t="s">
        <v>52</v>
      </c>
      <c r="W723" s="45">
        <v>45962.0</v>
      </c>
      <c r="X723" s="49">
        <v>0.54375</v>
      </c>
      <c r="Y723" s="45">
        <v>45962.0</v>
      </c>
      <c r="Z723" s="49">
        <v>0.6083333333333333</v>
      </c>
      <c r="AA723" s="49">
        <v>0.6111111111111112</v>
      </c>
      <c r="AB723" s="29"/>
      <c r="AC723" s="29"/>
      <c r="AD723" s="25">
        <v>0.6597222222222222</v>
      </c>
      <c r="AE723" s="45">
        <v>45962.0</v>
      </c>
      <c r="AF723" s="21" t="s">
        <v>2711</v>
      </c>
      <c r="AG723" s="21" t="s">
        <v>102</v>
      </c>
      <c r="AH723" s="21" t="s">
        <v>5693</v>
      </c>
      <c r="AI723" s="62" t="str">
        <f>IFERROR(__xludf.DUMMYFUNCTION("IF(OR(W723="""",X723="""",AE723="""",AD723=""""),"""",
   TEXT(
     (
       (AE723+AD723 + IF(AE723+AD723 &lt; W723+X723,1,0)) - (W723+X723)
     )
     - IF(AND(AB723&lt;&gt;"""",AC723&lt;&gt;""""), 
          SUM(ARRAYFORMULA(SPLIT(AC723,"","") - SPLIT(AB723,"",""))"&amp;"), 
          0
       ),
     ""[hh]:mm""
   )
)
"),"02:47")</f>
        <v>02:47</v>
      </c>
      <c r="AJ723" s="27">
        <f t="shared" si="9"/>
        <v>0</v>
      </c>
      <c r="AK723" s="63" t="str">
        <f t="shared" si="10"/>
        <v>Pass</v>
      </c>
    </row>
    <row r="724">
      <c r="A724" s="45">
        <v>45962.0</v>
      </c>
      <c r="B724" s="49">
        <v>0.8916666666666667</v>
      </c>
      <c r="C724" s="45">
        <v>45962.0</v>
      </c>
      <c r="D724" s="49">
        <v>0.8944444444444445</v>
      </c>
      <c r="E724" s="21" t="s">
        <v>5694</v>
      </c>
      <c r="F724" s="21" t="s">
        <v>5113</v>
      </c>
      <c r="G724" s="21" t="s">
        <v>5695</v>
      </c>
      <c r="H724" s="21" t="s">
        <v>5696</v>
      </c>
      <c r="I724" s="21" t="s">
        <v>95</v>
      </c>
      <c r="J724" s="21" t="s">
        <v>95</v>
      </c>
      <c r="K724" s="21" t="s">
        <v>386</v>
      </c>
      <c r="L724" s="21" t="s">
        <v>5697</v>
      </c>
      <c r="M724" s="21" t="s">
        <v>5698</v>
      </c>
      <c r="N724" s="21" t="s">
        <v>5699</v>
      </c>
      <c r="O724" s="48" t="s">
        <v>5700</v>
      </c>
      <c r="P724" s="21" t="s">
        <v>187</v>
      </c>
      <c r="Q724" s="24" t="s">
        <v>49</v>
      </c>
      <c r="R724" s="21" t="s">
        <v>5701</v>
      </c>
      <c r="S724" s="21" t="s">
        <v>51</v>
      </c>
      <c r="T724" s="21" t="s">
        <v>52</v>
      </c>
      <c r="U724" s="21" t="s">
        <v>52</v>
      </c>
      <c r="V724" s="21" t="s">
        <v>52</v>
      </c>
      <c r="W724" s="45">
        <v>45962.0</v>
      </c>
      <c r="X724" s="49">
        <v>0.8944444444444445</v>
      </c>
      <c r="Y724" s="45">
        <v>45962.0</v>
      </c>
      <c r="Z724" s="49">
        <v>0.9770833333333333</v>
      </c>
      <c r="AA724" s="49">
        <v>0.9784722222222222</v>
      </c>
      <c r="AB724" s="25">
        <v>0.9784722222222222</v>
      </c>
      <c r="AC724" s="25">
        <v>0.9909722222222223</v>
      </c>
      <c r="AD724" s="25">
        <v>0.020833333333333332</v>
      </c>
      <c r="AE724" s="45">
        <v>45963.0</v>
      </c>
      <c r="AF724" s="21" t="s">
        <v>2839</v>
      </c>
      <c r="AG724" s="21" t="s">
        <v>2004</v>
      </c>
      <c r="AH724" s="21" t="s">
        <v>5702</v>
      </c>
      <c r="AI724" s="62" t="str">
        <f>IFERROR(__xludf.DUMMYFUNCTION("IF(OR(W724="""",X724="""",AE724="""",AD724=""""),"""",
   TEXT(
     (
       (AE724+AD724 + IF(AE724+AD724 &lt; W724+X724,1,0)) - (W724+X724)
     )
     - IF(AND(AB724&lt;&gt;"""",AC724&lt;&gt;""""), 
          SUM(ARRAYFORMULA(SPLIT(AC724,"","") - SPLIT(AB724,"",""))"&amp;"), 
          0
       ),
     ""[hh]:mm""
   )
)
"),"02:44")</f>
        <v>02:44</v>
      </c>
      <c r="AJ724" s="27">
        <f t="shared" si="9"/>
        <v>0</v>
      </c>
      <c r="AK724" s="63" t="str">
        <f t="shared" si="10"/>
        <v>Pass</v>
      </c>
    </row>
    <row r="725">
      <c r="A725" s="45">
        <v>45959.0</v>
      </c>
      <c r="B725" s="49">
        <v>0.5013888888888889</v>
      </c>
      <c r="C725" s="45">
        <v>45959.0</v>
      </c>
      <c r="D725" s="49">
        <v>0.5555555555555556</v>
      </c>
      <c r="E725" s="21" t="s">
        <v>5703</v>
      </c>
      <c r="F725" s="21" t="s">
        <v>4581</v>
      </c>
      <c r="G725" s="21" t="s">
        <v>4582</v>
      </c>
      <c r="H725" s="21" t="s">
        <v>156</v>
      </c>
      <c r="I725" s="21" t="s">
        <v>131</v>
      </c>
      <c r="J725" s="21" t="s">
        <v>3806</v>
      </c>
      <c r="K725" s="21" t="s">
        <v>43</v>
      </c>
      <c r="L725" s="21" t="s">
        <v>617</v>
      </c>
      <c r="M725" s="94" t="s">
        <v>5704</v>
      </c>
      <c r="N725" s="21" t="s">
        <v>3354</v>
      </c>
      <c r="O725" s="48" t="s">
        <v>5705</v>
      </c>
      <c r="P725" s="21" t="s">
        <v>75</v>
      </c>
      <c r="Q725" s="24" t="s">
        <v>65</v>
      </c>
      <c r="R725" s="21" t="s">
        <v>5706</v>
      </c>
      <c r="S725" s="21" t="s">
        <v>51</v>
      </c>
      <c r="T725" s="21" t="s">
        <v>657</v>
      </c>
      <c r="U725" s="21" t="s">
        <v>5707</v>
      </c>
      <c r="V725" s="21" t="s">
        <v>5708</v>
      </c>
      <c r="W725" s="45">
        <v>45963.0</v>
      </c>
      <c r="X725" s="49">
        <v>0.33402777777777776</v>
      </c>
      <c r="Y725" s="45">
        <v>45963.0</v>
      </c>
      <c r="Z725" s="49">
        <v>0.4375</v>
      </c>
      <c r="AA725" s="49">
        <v>0.4409722222222222</v>
      </c>
      <c r="AB725" s="25">
        <v>0.4513888888888889</v>
      </c>
      <c r="AC725" s="25">
        <v>0.4861111111111111</v>
      </c>
      <c r="AD725" s="25">
        <v>0.5</v>
      </c>
      <c r="AE725" s="45">
        <v>45963.0</v>
      </c>
      <c r="AF725" s="21" t="s">
        <v>2839</v>
      </c>
      <c r="AG725" s="21" t="s">
        <v>54</v>
      </c>
      <c r="AH725" s="21" t="s">
        <v>5709</v>
      </c>
      <c r="AI725" s="62" t="str">
        <f>IFERROR(__xludf.DUMMYFUNCTION("IF(OR(W725="""",X725="""",AE725="""",AD725=""""),"""",
   TEXT(
     (
       (AE725+AD725 + IF(AE725+AD725 &lt; W725+X725,1,0)) - (W725+X725)
     )
     - IF(AND(AB725&lt;&gt;"""",AC725&lt;&gt;""""), 
          SUM(ARRAYFORMULA(SPLIT(AC725,"","") - SPLIT(AB725,"",""))"&amp;"), 
          0
       ),
     ""[hh]:mm""
   )
)
"),"03:09")</f>
        <v>03:09</v>
      </c>
      <c r="AJ725" s="27">
        <f t="shared" si="9"/>
        <v>0</v>
      </c>
      <c r="AK725" s="63" t="str">
        <f t="shared" si="10"/>
        <v>Pass</v>
      </c>
    </row>
    <row r="726">
      <c r="A726" s="45">
        <v>45963.0</v>
      </c>
      <c r="B726" s="49">
        <v>0.052083333333333336</v>
      </c>
      <c r="C726" s="45">
        <v>45963.0</v>
      </c>
      <c r="D726" s="49">
        <v>0.3347222222222222</v>
      </c>
      <c r="E726" s="21" t="s">
        <v>5710</v>
      </c>
      <c r="F726" s="21" t="s">
        <v>710</v>
      </c>
      <c r="G726" s="21" t="s">
        <v>711</v>
      </c>
      <c r="H726" s="21" t="s">
        <v>156</v>
      </c>
      <c r="I726" s="21" t="s">
        <v>131</v>
      </c>
      <c r="J726" s="21" t="s">
        <v>3806</v>
      </c>
      <c r="K726" s="21" t="s">
        <v>43</v>
      </c>
      <c r="L726" s="21" t="s">
        <v>5711</v>
      </c>
      <c r="M726" s="21" t="s">
        <v>5712</v>
      </c>
      <c r="N726" s="21" t="s">
        <v>5713</v>
      </c>
      <c r="O726" s="48" t="s">
        <v>5714</v>
      </c>
      <c r="P726" s="21" t="s">
        <v>75</v>
      </c>
      <c r="Q726" s="24" t="s">
        <v>65</v>
      </c>
      <c r="R726" s="21" t="s">
        <v>5715</v>
      </c>
      <c r="S726" s="21" t="s">
        <v>51</v>
      </c>
      <c r="T726" s="21" t="s">
        <v>657</v>
      </c>
      <c r="U726" s="21" t="s">
        <v>5716</v>
      </c>
      <c r="V726" s="21" t="s">
        <v>5712</v>
      </c>
      <c r="W726" s="45">
        <v>45963.0</v>
      </c>
      <c r="X726" s="49">
        <v>0.3347222222222222</v>
      </c>
      <c r="Y726" s="45">
        <v>45963.0</v>
      </c>
      <c r="Z726" s="49">
        <v>0.5770833333333333</v>
      </c>
      <c r="AA726" s="49">
        <v>0.5888888888888889</v>
      </c>
      <c r="AB726" s="25">
        <v>0.5965277777777778</v>
      </c>
      <c r="AC726" s="25">
        <v>0.6333333333333333</v>
      </c>
      <c r="AD726" s="25">
        <v>0.6423611111111112</v>
      </c>
      <c r="AE726" s="45">
        <v>45963.0</v>
      </c>
      <c r="AF726" s="21" t="s">
        <v>5717</v>
      </c>
      <c r="AG726" s="21" t="s">
        <v>162</v>
      </c>
      <c r="AH726" s="21" t="s">
        <v>5718</v>
      </c>
      <c r="AI726" s="62" t="str">
        <f>IFERROR(__xludf.DUMMYFUNCTION("IF(OR(W726="""",X726="""",AE726="""",AD726=""""),"""",
   TEXT(
     (
       (AE726+AD726 + IF(AE726+AD726 &lt; W726+X726,1,0)) - (W726+X726)
     )
     - IF(AND(AB726&lt;&gt;"""",AC726&lt;&gt;""""), 
          SUM(ARRAYFORMULA(SPLIT(AC726,"","") - SPLIT(AB726,"",""))"&amp;"), 
          0
       ),
     ""[hh]:mm""
   )
)
"),"06:30")</f>
        <v>06:30</v>
      </c>
      <c r="AJ726" s="27">
        <f t="shared" si="9"/>
        <v>0</v>
      </c>
      <c r="AK726" s="63" t="str">
        <f t="shared" si="10"/>
        <v>Pass</v>
      </c>
    </row>
    <row r="727">
      <c r="A727" s="45">
        <v>45963.0</v>
      </c>
      <c r="B727" s="49">
        <v>0.4215277777777778</v>
      </c>
      <c r="C727" s="45">
        <v>45963.0</v>
      </c>
      <c r="D727" s="49">
        <v>0.4263888888888889</v>
      </c>
      <c r="E727" s="21" t="s">
        <v>5719</v>
      </c>
      <c r="F727" s="21" t="s">
        <v>1734</v>
      </c>
      <c r="G727" s="21" t="s">
        <v>5720</v>
      </c>
      <c r="H727" s="21" t="s">
        <v>142</v>
      </c>
      <c r="I727" s="21" t="s">
        <v>60</v>
      </c>
      <c r="J727" s="21" t="s">
        <v>3813</v>
      </c>
      <c r="K727" s="21" t="s">
        <v>61</v>
      </c>
      <c r="L727" s="21" t="s">
        <v>183</v>
      </c>
      <c r="M727" s="21" t="s">
        <v>5721</v>
      </c>
      <c r="N727" s="21" t="s">
        <v>5720</v>
      </c>
      <c r="O727" s="48" t="s">
        <v>5722</v>
      </c>
      <c r="P727" s="21" t="s">
        <v>48</v>
      </c>
      <c r="Q727" s="24" t="s">
        <v>65</v>
      </c>
      <c r="R727" s="21" t="s">
        <v>5723</v>
      </c>
      <c r="S727" s="21" t="s">
        <v>51</v>
      </c>
      <c r="T727" s="21" t="s">
        <v>52</v>
      </c>
      <c r="U727" s="21" t="s">
        <v>52</v>
      </c>
      <c r="V727" s="21" t="s">
        <v>52</v>
      </c>
      <c r="W727" s="45">
        <v>45963.0</v>
      </c>
      <c r="X727" s="49">
        <v>0.4263888888888889</v>
      </c>
      <c r="Y727" s="45">
        <v>45963.0</v>
      </c>
      <c r="Z727" s="49">
        <v>0.6916666666666667</v>
      </c>
      <c r="AA727" s="49">
        <v>0.7048611111111112</v>
      </c>
      <c r="AB727" s="24" t="s">
        <v>5724</v>
      </c>
      <c r="AC727" s="24" t="s">
        <v>5725</v>
      </c>
      <c r="AD727" s="25">
        <v>0.7513888888888889</v>
      </c>
      <c r="AE727" s="45">
        <v>45963.0</v>
      </c>
      <c r="AF727" s="21" t="s">
        <v>2788</v>
      </c>
      <c r="AG727" s="21" t="s">
        <v>162</v>
      </c>
      <c r="AH727" s="21" t="s">
        <v>5726</v>
      </c>
      <c r="AI727" s="62" t="str">
        <f>IFERROR(__xludf.DUMMYFUNCTION("IF(OR(W727="""",X727="""",AE727="""",AD727=""""),"""",
   TEXT(
     (
       (AE727+AD727 + IF(AE727+AD727 &lt; W727+X727,1,0)) - (W727+X727)
     )
     - IF(AND(AB727&lt;&gt;"""",AC727&lt;&gt;""""), 
          SUM(ARRAYFORMULA(SPLIT(AC727,"","") - SPLIT(AB727,"",""))"&amp;"), 
          0
       ),
     ""[hh]:mm""
   )
)
"),"07:09")</f>
        <v>07:09</v>
      </c>
      <c r="AJ727" s="27">
        <f t="shared" si="9"/>
        <v>0</v>
      </c>
      <c r="AK727" s="63" t="str">
        <f t="shared" si="10"/>
        <v>Pass</v>
      </c>
    </row>
    <row r="728">
      <c r="A728" s="18">
        <v>45963.0</v>
      </c>
      <c r="B728" s="20">
        <v>0.8611111111111112</v>
      </c>
      <c r="C728" s="18">
        <v>45963.0</v>
      </c>
      <c r="D728" s="20">
        <v>0.8659722222222223</v>
      </c>
      <c r="E728" s="22" t="s">
        <v>5727</v>
      </c>
      <c r="F728" s="22" t="s">
        <v>5728</v>
      </c>
      <c r="G728" s="22" t="s">
        <v>5729</v>
      </c>
      <c r="H728" s="22" t="s">
        <v>1468</v>
      </c>
      <c r="I728" s="22" t="s">
        <v>856</v>
      </c>
      <c r="J728" s="22" t="s">
        <v>1084</v>
      </c>
      <c r="K728" s="22" t="s">
        <v>1998</v>
      </c>
      <c r="L728" s="22" t="s">
        <v>1999</v>
      </c>
      <c r="M728" s="22" t="s">
        <v>5730</v>
      </c>
      <c r="N728" s="22" t="s">
        <v>5731</v>
      </c>
      <c r="O728" s="23" t="s">
        <v>5732</v>
      </c>
      <c r="P728" s="22" t="s">
        <v>48</v>
      </c>
      <c r="Q728" s="50" t="s">
        <v>49</v>
      </c>
      <c r="R728" s="22" t="s">
        <v>5733</v>
      </c>
      <c r="S728" s="22" t="s">
        <v>51</v>
      </c>
      <c r="T728" s="22" t="s">
        <v>816</v>
      </c>
      <c r="U728" s="22" t="s">
        <v>5730</v>
      </c>
      <c r="V728" s="22" t="s">
        <v>52</v>
      </c>
      <c r="W728" s="18">
        <v>45963.0</v>
      </c>
      <c r="X728" s="75">
        <v>0.8659722222222223</v>
      </c>
      <c r="Y728" s="18">
        <v>45963.0</v>
      </c>
      <c r="Z728" s="75">
        <v>0.7770833333333333</v>
      </c>
      <c r="AA728" s="20">
        <v>0.78125</v>
      </c>
      <c r="AB728" s="77">
        <v>0.7916666666666666</v>
      </c>
      <c r="AC728" s="51">
        <v>0.8055555555555556</v>
      </c>
      <c r="AD728" s="51">
        <v>0.9513888888888888</v>
      </c>
      <c r="AE728" s="18">
        <v>45963.0</v>
      </c>
      <c r="AF728" s="22" t="s">
        <v>4914</v>
      </c>
      <c r="AG728" s="22" t="s">
        <v>583</v>
      </c>
      <c r="AH728" s="22" t="s">
        <v>5734</v>
      </c>
      <c r="AI728" s="62" t="str">
        <f>IFERROR(__xludf.DUMMYFUNCTION("IF(OR(W728="""",X728="""",AE728="""",AD728=""""),"""",
   TEXT(
     (
       (AE728+AD728 + IF(AE728+AD728 &lt; W728+X728,1,0)) - (W728+X728)
     )
     - IF(AND(AB728&lt;&gt;"""",AC728&lt;&gt;""""), 
          SUM(ARRAYFORMULA(SPLIT(AC728,"","") - SPLIT(AB728,"",""))"&amp;"), 
          0
       ),
     ""[hh]:mm""
   )
)
"),"01:43")</f>
        <v>01:43</v>
      </c>
      <c r="AJ728" s="27">
        <f t="shared" si="9"/>
        <v>0</v>
      </c>
      <c r="AK728" s="63" t="str">
        <f t="shared" si="10"/>
        <v>Pass</v>
      </c>
    </row>
    <row r="729">
      <c r="A729" s="45">
        <v>45963.0</v>
      </c>
      <c r="B729" s="49">
        <v>0.4513888888888889</v>
      </c>
      <c r="C729" s="45">
        <v>45963.0</v>
      </c>
      <c r="D729" s="49">
        <v>0.4576388888888889</v>
      </c>
      <c r="E729" s="21" t="s">
        <v>5735</v>
      </c>
      <c r="F729" s="21" t="s">
        <v>586</v>
      </c>
      <c r="G729" s="21" t="s">
        <v>5736</v>
      </c>
      <c r="H729" s="21" t="s">
        <v>566</v>
      </c>
      <c r="I729" s="21" t="s">
        <v>95</v>
      </c>
      <c r="J729" s="21" t="s">
        <v>95</v>
      </c>
      <c r="K729" s="21" t="s">
        <v>143</v>
      </c>
      <c r="L729" s="21" t="s">
        <v>5737</v>
      </c>
      <c r="M729" s="21" t="s">
        <v>5738</v>
      </c>
      <c r="N729" s="21" t="s">
        <v>5739</v>
      </c>
      <c r="O729" s="48" t="s">
        <v>5740</v>
      </c>
      <c r="P729" s="21" t="s">
        <v>48</v>
      </c>
      <c r="Q729" s="24" t="s">
        <v>65</v>
      </c>
      <c r="R729" s="21" t="s">
        <v>5741</v>
      </c>
      <c r="S729" s="21" t="s">
        <v>51</v>
      </c>
      <c r="T729" s="21" t="s">
        <v>52</v>
      </c>
      <c r="U729" s="21" t="s">
        <v>52</v>
      </c>
      <c r="V729" s="21" t="s">
        <v>52</v>
      </c>
      <c r="W729" s="45">
        <v>45963.0</v>
      </c>
      <c r="X729" s="49">
        <v>0.4576388888888889</v>
      </c>
      <c r="Y729" s="45">
        <v>45963.0</v>
      </c>
      <c r="Z729" s="49">
        <v>0.7409722222222223</v>
      </c>
      <c r="AA729" s="49">
        <v>0.7430555555555556</v>
      </c>
      <c r="AB729" s="29"/>
      <c r="AC729" s="29"/>
      <c r="AD729" s="25">
        <v>0.7708333333333334</v>
      </c>
      <c r="AE729" s="45">
        <v>45963.0</v>
      </c>
      <c r="AF729" s="21" t="s">
        <v>2738</v>
      </c>
      <c r="AG729" s="21" t="s">
        <v>593</v>
      </c>
      <c r="AH729" s="21" t="s">
        <v>5742</v>
      </c>
      <c r="AI729" s="62" t="str">
        <f>IFERROR(__xludf.DUMMYFUNCTION("IF(OR(W729="""",X729="""",AE729="""",AD729=""""),"""",
   TEXT(
     (
       (AE729+AD729 + IF(AE729+AD729 &lt; W729+X729,1,0)) - (W729+X729)
     )
     - IF(AND(AB729&lt;&gt;"""",AC729&lt;&gt;""""), 
          SUM(ARRAYFORMULA(SPLIT(AC729,"","") - SPLIT(AB729,"",""))"&amp;"), 
          0
       ),
     ""[hh]:mm""
   )
)
"),"07:31")</f>
        <v>07:31</v>
      </c>
      <c r="AJ729" s="27">
        <f t="shared" si="9"/>
        <v>0</v>
      </c>
      <c r="AK729" s="63" t="str">
        <f t="shared" si="10"/>
        <v>Pass</v>
      </c>
    </row>
    <row r="730">
      <c r="A730" s="45">
        <v>45962.0</v>
      </c>
      <c r="B730" s="49">
        <v>0.18958333333333333</v>
      </c>
      <c r="C730" s="45">
        <v>45962.0</v>
      </c>
      <c r="D730" s="49">
        <v>0.3763888888888889</v>
      </c>
      <c r="E730" s="21" t="s">
        <v>5743</v>
      </c>
      <c r="F730" s="21" t="s">
        <v>5744</v>
      </c>
      <c r="G730" s="21" t="s">
        <v>5745</v>
      </c>
      <c r="H730" s="21" t="s">
        <v>1287</v>
      </c>
      <c r="I730" s="21" t="s">
        <v>616</v>
      </c>
      <c r="J730" s="21" t="s">
        <v>3806</v>
      </c>
      <c r="K730" s="21" t="s">
        <v>43</v>
      </c>
      <c r="L730" s="21">
        <v>7600.0</v>
      </c>
      <c r="M730" s="21" t="s">
        <v>5746</v>
      </c>
      <c r="N730" s="21" t="s">
        <v>5747</v>
      </c>
      <c r="O730" s="48" t="s">
        <v>5748</v>
      </c>
      <c r="P730" s="21" t="s">
        <v>75</v>
      </c>
      <c r="Q730" s="24" t="s">
        <v>65</v>
      </c>
      <c r="R730" s="21" t="s">
        <v>5749</v>
      </c>
      <c r="S730" s="21" t="s">
        <v>51</v>
      </c>
      <c r="T730" s="21" t="s">
        <v>657</v>
      </c>
      <c r="U730" s="21" t="s">
        <v>5750</v>
      </c>
      <c r="V730" s="21" t="s">
        <v>5746</v>
      </c>
      <c r="W730" s="45">
        <v>45964.0</v>
      </c>
      <c r="X730" s="49">
        <v>0.36944444444444446</v>
      </c>
      <c r="Y730" s="45">
        <v>45964.0</v>
      </c>
      <c r="Z730" s="49">
        <v>0.47708333333333336</v>
      </c>
      <c r="AA730" s="49">
        <v>0.4847222222222222</v>
      </c>
      <c r="AB730" s="29"/>
      <c r="AC730" s="29"/>
      <c r="AD730" s="25">
        <v>0.5166666666666667</v>
      </c>
      <c r="AE730" s="45">
        <v>45964.0</v>
      </c>
      <c r="AF730" s="21" t="s">
        <v>2828</v>
      </c>
      <c r="AG730" s="21" t="s">
        <v>5751</v>
      </c>
      <c r="AH730" s="21" t="s">
        <v>5752</v>
      </c>
      <c r="AI730" s="62" t="str">
        <f>IFERROR(__xludf.DUMMYFUNCTION("IF(OR(W730="""",X730="""",AE730="""",AD730=""""),"""",
   TEXT(
     (
       (AE730+AD730 + IF(AE730+AD730 &lt; W730+X730,1,0)) - (W730+X730)
     )
     - IF(AND(AB730&lt;&gt;"""",AC730&lt;&gt;""""), 
          SUM(ARRAYFORMULA(SPLIT(AC730,"","") - SPLIT(AB730,"",""))"&amp;"), 
          0
       ),
     ""[hh]:mm""
   )
)
"),"03:32")</f>
        <v>03:32</v>
      </c>
      <c r="AJ730" s="27">
        <f t="shared" si="9"/>
        <v>0</v>
      </c>
      <c r="AK730" s="63" t="str">
        <f t="shared" si="10"/>
        <v>Pass</v>
      </c>
    </row>
    <row r="731">
      <c r="A731" s="45">
        <v>45963.0</v>
      </c>
      <c r="B731" s="49">
        <v>0.8847222222222222</v>
      </c>
      <c r="C731" s="45">
        <v>45963.0</v>
      </c>
      <c r="D731" s="49">
        <v>0.8888888888888888</v>
      </c>
      <c r="E731" s="21" t="s">
        <v>5753</v>
      </c>
      <c r="F731" s="21" t="s">
        <v>5019</v>
      </c>
      <c r="G731" s="21" t="s">
        <v>5020</v>
      </c>
      <c r="H731" s="21" t="s">
        <v>5696</v>
      </c>
      <c r="I731" s="21" t="s">
        <v>1497</v>
      </c>
      <c r="J731" s="21" t="s">
        <v>95</v>
      </c>
      <c r="K731" s="21" t="s">
        <v>143</v>
      </c>
      <c r="L731" s="21" t="s">
        <v>3175</v>
      </c>
      <c r="M731" s="21" t="s">
        <v>4960</v>
      </c>
      <c r="N731" s="21" t="s">
        <v>5754</v>
      </c>
      <c r="O731" s="48" t="s">
        <v>5755</v>
      </c>
      <c r="P731" s="21" t="s">
        <v>48</v>
      </c>
      <c r="Q731" s="24" t="s">
        <v>49</v>
      </c>
      <c r="R731" s="21" t="s">
        <v>5756</v>
      </c>
      <c r="S731" s="21" t="s">
        <v>51</v>
      </c>
      <c r="T731" s="21" t="s">
        <v>52</v>
      </c>
      <c r="U731" s="21" t="s">
        <v>52</v>
      </c>
      <c r="V731" s="21" t="s">
        <v>52</v>
      </c>
      <c r="W731" s="45">
        <v>45964.0</v>
      </c>
      <c r="X731" s="49">
        <v>0.3784722222222222</v>
      </c>
      <c r="Y731" s="45">
        <v>45964.0</v>
      </c>
      <c r="Z731" s="49">
        <v>0.5</v>
      </c>
      <c r="AA731" s="49">
        <v>0.5208333333333334</v>
      </c>
      <c r="AB731" s="25">
        <v>0.5243055555555556</v>
      </c>
      <c r="AC731" s="25">
        <v>0.5451388888888888</v>
      </c>
      <c r="AD731" s="25">
        <v>0.5625</v>
      </c>
      <c r="AE731" s="45">
        <v>45964.0</v>
      </c>
      <c r="AF731" s="21" t="s">
        <v>2931</v>
      </c>
      <c r="AG731" s="21" t="s">
        <v>78</v>
      </c>
      <c r="AH731" s="21" t="s">
        <v>5757</v>
      </c>
      <c r="AI731" s="62" t="str">
        <f>IFERROR(__xludf.DUMMYFUNCTION("IF(OR(W731="""",X731="""",AE731="""",AD731=""""),"""",
   TEXT(
     (
       (AE731+AD731 + IF(AE731+AD731 &lt; W731+X731,1,0)) - (W731+X731)
     )
     - IF(AND(AB731&lt;&gt;"""",AC731&lt;&gt;""""), 
          SUM(ARRAYFORMULA(SPLIT(AC731,"","") - SPLIT(AB731,"",""))"&amp;"), 
          0
       ),
     ""[hh]:mm""
   )
)
"),"03:55")</f>
        <v>03:55</v>
      </c>
      <c r="AJ731" s="27">
        <f t="shared" si="9"/>
        <v>0</v>
      </c>
      <c r="AK731" s="63" t="str">
        <f t="shared" si="10"/>
        <v>Pass</v>
      </c>
    </row>
    <row r="732">
      <c r="A732" s="45">
        <v>45963.0</v>
      </c>
      <c r="B732" s="49">
        <v>0.6736111111111112</v>
      </c>
      <c r="C732" s="45">
        <v>45963.0</v>
      </c>
      <c r="D732" s="49">
        <v>0.6770833333333334</v>
      </c>
      <c r="E732" s="21" t="s">
        <v>5758</v>
      </c>
      <c r="F732" s="21" t="s">
        <v>5759</v>
      </c>
      <c r="G732" s="21" t="s">
        <v>5760</v>
      </c>
      <c r="H732" s="21" t="s">
        <v>377</v>
      </c>
      <c r="I732" s="21" t="s">
        <v>60</v>
      </c>
      <c r="J732" s="21" t="s">
        <v>3806</v>
      </c>
      <c r="K732" s="21" t="s">
        <v>43</v>
      </c>
      <c r="L732" s="21">
        <v>7600.0</v>
      </c>
      <c r="M732" s="21" t="s">
        <v>5761</v>
      </c>
      <c r="N732" s="21" t="s">
        <v>5762</v>
      </c>
      <c r="O732" s="48" t="s">
        <v>5763</v>
      </c>
      <c r="P732" s="21" t="s">
        <v>75</v>
      </c>
      <c r="Q732" s="24" t="s">
        <v>65</v>
      </c>
      <c r="R732" s="21" t="s">
        <v>5764</v>
      </c>
      <c r="S732" s="21" t="s">
        <v>51</v>
      </c>
      <c r="T732" s="21" t="s">
        <v>52</v>
      </c>
      <c r="U732" s="21" t="s">
        <v>52</v>
      </c>
      <c r="V732" s="21" t="s">
        <v>52</v>
      </c>
      <c r="W732" s="45">
        <v>45964.0</v>
      </c>
      <c r="X732" s="49">
        <v>0.34444444444444444</v>
      </c>
      <c r="Y732" s="45">
        <v>45964.0</v>
      </c>
      <c r="Z732" s="49">
        <v>0.4479166666666667</v>
      </c>
      <c r="AA732" s="49">
        <v>0.4486111111111111</v>
      </c>
      <c r="AB732" s="29"/>
      <c r="AC732" s="29"/>
      <c r="AD732" s="25">
        <v>0.5423611111111111</v>
      </c>
      <c r="AE732" s="45">
        <v>45964.0</v>
      </c>
      <c r="AF732" s="21" t="s">
        <v>2719</v>
      </c>
      <c r="AG732" s="21" t="s">
        <v>5765</v>
      </c>
      <c r="AH732" s="21" t="s">
        <v>5766</v>
      </c>
      <c r="AI732" s="62" t="str">
        <f>IFERROR(__xludf.DUMMYFUNCTION("IF(OR(W732="""",X732="""",AE732="""",AD732=""""),"""",
   TEXT(
     (
       (AE732+AD732 + IF(AE732+AD732 &lt; W732+X732,1,0)) - (W732+X732)
     )
     - IF(AND(AB732&lt;&gt;"""",AC732&lt;&gt;""""), 
          SUM(ARRAYFORMULA(SPLIT(AC732,"","") - SPLIT(AB732,"",""))"&amp;"), 
          0
       ),
     ""[hh]:mm""
   )
)
"),"04:45")</f>
        <v>04:45</v>
      </c>
      <c r="AJ732" s="27">
        <f t="shared" si="9"/>
        <v>0</v>
      </c>
      <c r="AK732" s="63" t="str">
        <f t="shared" si="10"/>
        <v>Pass</v>
      </c>
    </row>
    <row r="733">
      <c r="A733" s="45">
        <v>45963.0</v>
      </c>
      <c r="B733" s="49">
        <v>0.3576388888888889</v>
      </c>
      <c r="C733" s="45">
        <v>45964.0</v>
      </c>
      <c r="D733" s="80">
        <v>0.39861111111111114</v>
      </c>
      <c r="E733" s="21" t="s">
        <v>5767</v>
      </c>
      <c r="F733" s="21" t="s">
        <v>5601</v>
      </c>
      <c r="G733" s="21" t="s">
        <v>5602</v>
      </c>
      <c r="H733" s="21" t="s">
        <v>566</v>
      </c>
      <c r="I733" s="21" t="s">
        <v>815</v>
      </c>
      <c r="J733" s="21" t="s">
        <v>1084</v>
      </c>
      <c r="K733" s="21" t="s">
        <v>1998</v>
      </c>
      <c r="L733" s="21" t="s">
        <v>1999</v>
      </c>
      <c r="M733" s="21" t="s">
        <v>5768</v>
      </c>
      <c r="N733" s="21" t="s">
        <v>5769</v>
      </c>
      <c r="O733" s="48" t="s">
        <v>5770</v>
      </c>
      <c r="P733" s="21" t="s">
        <v>48</v>
      </c>
      <c r="Q733" s="24" t="s">
        <v>198</v>
      </c>
      <c r="R733" s="21" t="s">
        <v>5771</v>
      </c>
      <c r="S733" s="21" t="s">
        <v>51</v>
      </c>
      <c r="T733" s="21" t="s">
        <v>52</v>
      </c>
      <c r="U733" s="21" t="s">
        <v>52</v>
      </c>
      <c r="V733" s="21" t="s">
        <v>52</v>
      </c>
      <c r="W733" s="45">
        <v>45964.0</v>
      </c>
      <c r="X733" s="49">
        <v>0.39861111111111114</v>
      </c>
      <c r="Y733" s="45">
        <v>45964.0</v>
      </c>
      <c r="Z733" s="49">
        <v>0.6666666666666666</v>
      </c>
      <c r="AA733" s="49">
        <v>0.6736111111111112</v>
      </c>
      <c r="AB733" s="29"/>
      <c r="AC733" s="29"/>
      <c r="AD733" s="25">
        <v>0.75</v>
      </c>
      <c r="AE733" s="45">
        <v>45964.0</v>
      </c>
      <c r="AF733" s="21" t="s">
        <v>4914</v>
      </c>
      <c r="AG733" s="21" t="s">
        <v>5772</v>
      </c>
      <c r="AH733" s="21" t="s">
        <v>5773</v>
      </c>
      <c r="AI733" s="62" t="str">
        <f>IFERROR(__xludf.DUMMYFUNCTION("IF(OR(W733="""",X733="""",AE733="""",AD733=""""),"""",
   TEXT(
     (
       (AE733+AD733 + IF(AE733+AD733 &lt; W733+X733,1,0)) - (W733+X733)
     )
     - IF(AND(AB733&lt;&gt;"""",AC733&lt;&gt;""""), 
          SUM(ARRAYFORMULA(SPLIT(AC733,"","") - SPLIT(AB733,"",""))"&amp;"), 
          0
       ),
     ""[hh]:mm""
   )
)
"),"08:26")</f>
        <v>08:26</v>
      </c>
      <c r="AJ733" s="27">
        <f t="shared" si="9"/>
        <v>0</v>
      </c>
      <c r="AK733" s="63" t="str">
        <f t="shared" si="10"/>
        <v>Pass</v>
      </c>
    </row>
    <row r="734">
      <c r="A734" s="45">
        <v>45964.0</v>
      </c>
      <c r="B734" s="49">
        <v>0.4666666666666667</v>
      </c>
      <c r="C734" s="45">
        <v>45964.0</v>
      </c>
      <c r="D734" s="49">
        <v>0.4756944444444444</v>
      </c>
      <c r="E734" s="21" t="s">
        <v>5774</v>
      </c>
      <c r="F734" s="21" t="s">
        <v>1420</v>
      </c>
      <c r="G734" s="21" t="s">
        <v>1421</v>
      </c>
      <c r="H734" s="21" t="s">
        <v>142</v>
      </c>
      <c r="I734" s="21" t="s">
        <v>5775</v>
      </c>
      <c r="J734" s="21" t="s">
        <v>3813</v>
      </c>
      <c r="K734" s="21" t="s">
        <v>61</v>
      </c>
      <c r="L734" s="21" t="s">
        <v>5776</v>
      </c>
      <c r="M734" s="21" t="s">
        <v>5777</v>
      </c>
      <c r="N734" s="21" t="s">
        <v>5778</v>
      </c>
      <c r="O734" s="48" t="s">
        <v>5779</v>
      </c>
      <c r="P734" s="21" t="s">
        <v>48</v>
      </c>
      <c r="Q734" s="24" t="s">
        <v>49</v>
      </c>
      <c r="R734" s="21" t="s">
        <v>5780</v>
      </c>
      <c r="S734" s="21" t="s">
        <v>51</v>
      </c>
      <c r="T734" s="21" t="s">
        <v>52</v>
      </c>
      <c r="U734" s="21" t="s">
        <v>52</v>
      </c>
      <c r="V734" s="21" t="s">
        <v>52</v>
      </c>
      <c r="W734" s="45">
        <v>45964.0</v>
      </c>
      <c r="X734" s="49">
        <v>0.55625</v>
      </c>
      <c r="Y734" s="45">
        <v>45964.0</v>
      </c>
      <c r="Z734" s="49">
        <v>0.6444444444444445</v>
      </c>
      <c r="AA734" s="49">
        <v>0.6444444444444445</v>
      </c>
      <c r="AB734" s="25">
        <v>0.7118055555555556</v>
      </c>
      <c r="AC734" s="25">
        <v>0.7534722222222222</v>
      </c>
      <c r="AD734" s="25">
        <v>0.7534722222222222</v>
      </c>
      <c r="AE734" s="45">
        <v>45964.0</v>
      </c>
      <c r="AF734" s="21" t="s">
        <v>2819</v>
      </c>
      <c r="AG734" s="21" t="s">
        <v>239</v>
      </c>
      <c r="AH734" s="21" t="s">
        <v>5781</v>
      </c>
      <c r="AI734" s="62" t="str">
        <f>IFERROR(__xludf.DUMMYFUNCTION("IF(OR(W734="""",X734="""",AE734="""",AD734=""""),"""",
   TEXT(
     (
       (AE734+AD734 + IF(AE734+AD734 &lt; W734+X734,1,0)) - (W734+X734)
     )
     - IF(AND(AB734&lt;&gt;"""",AC734&lt;&gt;""""), 
          SUM(ARRAYFORMULA(SPLIT(AC734,"","") - SPLIT(AB734,"",""))"&amp;"), 
          0
       ),
     ""[hh]:mm""
   )
)
"),"03:44")</f>
        <v>03:44</v>
      </c>
      <c r="AJ734" s="27">
        <f t="shared" si="9"/>
        <v>0</v>
      </c>
      <c r="AK734" s="63" t="str">
        <f t="shared" si="10"/>
        <v>Pass</v>
      </c>
    </row>
    <row r="735">
      <c r="A735" s="45">
        <v>45964.0</v>
      </c>
      <c r="B735" s="49">
        <v>0.4840277777777778</v>
      </c>
      <c r="C735" s="45">
        <v>45964.0</v>
      </c>
      <c r="D735" s="49">
        <v>0.4951388888888889</v>
      </c>
      <c r="E735" s="21" t="s">
        <v>5782</v>
      </c>
      <c r="F735" s="21" t="s">
        <v>1295</v>
      </c>
      <c r="G735" s="21" t="s">
        <v>1296</v>
      </c>
      <c r="H735" s="21" t="s">
        <v>5783</v>
      </c>
      <c r="I735" s="21" t="s">
        <v>41</v>
      </c>
      <c r="J735" s="21" t="s">
        <v>3813</v>
      </c>
      <c r="K735" s="21" t="s">
        <v>61</v>
      </c>
      <c r="L735" s="21" t="s">
        <v>5683</v>
      </c>
      <c r="M735" s="21" t="s">
        <v>5784</v>
      </c>
      <c r="N735" s="21" t="s">
        <v>5785</v>
      </c>
      <c r="O735" s="48" t="s">
        <v>5786</v>
      </c>
      <c r="P735" s="21" t="s">
        <v>48</v>
      </c>
      <c r="Q735" s="24" t="s">
        <v>65</v>
      </c>
      <c r="R735" s="21" t="s">
        <v>5787</v>
      </c>
      <c r="S735" s="21" t="s">
        <v>51</v>
      </c>
      <c r="T735" s="21" t="s">
        <v>52</v>
      </c>
      <c r="U735" s="21" t="s">
        <v>52</v>
      </c>
      <c r="V735" s="21" t="s">
        <v>52</v>
      </c>
      <c r="W735" s="45">
        <v>45964.0</v>
      </c>
      <c r="X735" s="49">
        <v>0.4951388888888889</v>
      </c>
      <c r="Y735" s="45">
        <v>45964.0</v>
      </c>
      <c r="Z735" s="49">
        <v>0.5881944444444445</v>
      </c>
      <c r="AA735" s="49">
        <v>0.5881944444444445</v>
      </c>
      <c r="AB735" s="24" t="s">
        <v>5788</v>
      </c>
      <c r="AC735" s="24" t="s">
        <v>5789</v>
      </c>
      <c r="AD735" s="25">
        <v>0.8125</v>
      </c>
      <c r="AE735" s="45">
        <v>45964.0</v>
      </c>
      <c r="AF735" s="21" t="s">
        <v>2819</v>
      </c>
      <c r="AG735" s="21" t="s">
        <v>3701</v>
      </c>
      <c r="AH735" s="21" t="s">
        <v>5790</v>
      </c>
      <c r="AI735" s="62" t="str">
        <f>IFERROR(__xludf.DUMMYFUNCTION("IF(OR(W735="""",X735="""",AE735="""",AD735=""""),"""",
   TEXT(
     (
       (AE735+AD735 + IF(AE735+AD735 &lt; W735+X735,1,0)) - (W735+X735)
     )
     - IF(AND(AB735&lt;&gt;"""",AC735&lt;&gt;""""), 
          SUM(ARRAYFORMULA(SPLIT(AC735,"","") - SPLIT(AB735,"",""))"&amp;"), 
          0
       ),
     ""[hh]:mm""
   )
)
"),"05:36")</f>
        <v>05:36</v>
      </c>
      <c r="AJ735" s="27">
        <f t="shared" si="9"/>
        <v>0</v>
      </c>
      <c r="AK735" s="63" t="str">
        <f t="shared" si="10"/>
        <v>Pass</v>
      </c>
    </row>
    <row r="736">
      <c r="A736" s="18">
        <v>45961.0</v>
      </c>
      <c r="B736" s="20">
        <v>0.5694444444444444</v>
      </c>
      <c r="C736" s="18">
        <v>45961.0</v>
      </c>
      <c r="D736" s="20">
        <v>0.79375</v>
      </c>
      <c r="E736" s="22" t="s">
        <v>5791</v>
      </c>
      <c r="F736" s="22" t="s">
        <v>5792</v>
      </c>
      <c r="G736" s="22" t="s">
        <v>5793</v>
      </c>
      <c r="H736" s="22" t="s">
        <v>3573</v>
      </c>
      <c r="I736" s="22" t="s">
        <v>234</v>
      </c>
      <c r="J736" s="22" t="s">
        <v>3806</v>
      </c>
      <c r="K736" s="22" t="s">
        <v>43</v>
      </c>
      <c r="L736" s="22" t="s">
        <v>4114</v>
      </c>
      <c r="M736" s="22" t="s">
        <v>5794</v>
      </c>
      <c r="N736" s="22" t="s">
        <v>5795</v>
      </c>
      <c r="O736" s="23" t="s">
        <v>5796</v>
      </c>
      <c r="P736" s="22" t="s">
        <v>75</v>
      </c>
      <c r="Q736" s="50" t="s">
        <v>49</v>
      </c>
      <c r="R736" s="22" t="s">
        <v>5797</v>
      </c>
      <c r="S736" s="22" t="s">
        <v>51</v>
      </c>
      <c r="T736" s="22" t="s">
        <v>5798</v>
      </c>
      <c r="U736" s="22">
        <v>4.6930606311E10</v>
      </c>
      <c r="V736" s="22" t="s">
        <v>5794</v>
      </c>
      <c r="W736" s="18">
        <v>45965.0</v>
      </c>
      <c r="X736" s="20">
        <v>0.5833333333333334</v>
      </c>
      <c r="Y736" s="18">
        <v>45965.0</v>
      </c>
      <c r="Z736" s="20">
        <v>0.5569444444444445</v>
      </c>
      <c r="AA736" s="20">
        <v>0.5590277777777778</v>
      </c>
      <c r="AB736" s="51">
        <v>0.5833333333333334</v>
      </c>
      <c r="AC736" s="51">
        <v>0.6458333333333334</v>
      </c>
      <c r="AD736" s="51">
        <v>0.6666666666666666</v>
      </c>
      <c r="AE736" s="18">
        <v>45965.0</v>
      </c>
      <c r="AF736" s="22" t="s">
        <v>5799</v>
      </c>
      <c r="AG736" s="22" t="s">
        <v>879</v>
      </c>
      <c r="AH736" s="22" t="s">
        <v>5800</v>
      </c>
      <c r="AI736" s="26" t="str">
        <f>IFERROR(__xludf.DUMMYFUNCTION("IF(OR(W736="""",X736="""",AE736="""",AD736=""""),"""",
   TEXT(
     (
       (AE736+AD736 + IF(AE736+AD736 &lt; W736+X736,1,0)) - (W736+X736)
     )
     - IF(AND(AB736&lt;&gt;"""",AC736&lt;&gt;""""), 
          SUM(ARRAYFORMULA(SPLIT(AC736,"","") - SPLIT(AB736,"",""))"&amp;"), 
          0
       ),
     ""[hh]:mm""
   )
)
"),"00:30")</f>
        <v>00:30</v>
      </c>
      <c r="AJ736" s="55">
        <f t="shared" si="9"/>
        <v>0</v>
      </c>
      <c r="AK736" s="28" t="str">
        <f t="shared" si="10"/>
        <v>Pass</v>
      </c>
    </row>
    <row r="737">
      <c r="A737" s="18">
        <v>45965.0</v>
      </c>
      <c r="B737" s="20">
        <v>0.5173611111111112</v>
      </c>
      <c r="C737" s="18">
        <v>45965.0</v>
      </c>
      <c r="D737" s="20">
        <v>0.5291666666666667</v>
      </c>
      <c r="E737" s="22" t="s">
        <v>5801</v>
      </c>
      <c r="F737" s="22" t="s">
        <v>5487</v>
      </c>
      <c r="G737" s="22" t="s">
        <v>5488</v>
      </c>
      <c r="H737" s="22" t="s">
        <v>4256</v>
      </c>
      <c r="I737" s="22" t="s">
        <v>131</v>
      </c>
      <c r="J737" s="22" t="s">
        <v>2253</v>
      </c>
      <c r="K737" s="22" t="s">
        <v>43</v>
      </c>
      <c r="L737" s="22" t="s">
        <v>805</v>
      </c>
      <c r="M737" s="22" t="s">
        <v>5802</v>
      </c>
      <c r="N737" s="22" t="s">
        <v>5803</v>
      </c>
      <c r="O737" s="23" t="s">
        <v>5804</v>
      </c>
      <c r="P737" s="22" t="s">
        <v>75</v>
      </c>
      <c r="Q737" s="50" t="s">
        <v>65</v>
      </c>
      <c r="R737" s="22" t="s">
        <v>5805</v>
      </c>
      <c r="S737" s="22" t="s">
        <v>51</v>
      </c>
      <c r="T737" s="22" t="s">
        <v>2253</v>
      </c>
      <c r="U737" s="22" t="s">
        <v>5806</v>
      </c>
      <c r="V737" s="22" t="s">
        <v>5802</v>
      </c>
      <c r="W737" s="18">
        <v>45965.0</v>
      </c>
      <c r="X737" s="20">
        <v>0.5291666666666667</v>
      </c>
      <c r="Y737" s="18">
        <v>45965.0</v>
      </c>
      <c r="Z737" s="20">
        <v>0.6041666666666666</v>
      </c>
      <c r="AA737" s="20">
        <v>0.6048611111111111</v>
      </c>
      <c r="AB737" s="50" t="s">
        <v>5807</v>
      </c>
      <c r="AC737" s="50" t="s">
        <v>5808</v>
      </c>
      <c r="AD737" s="51">
        <v>0.7083333333333334</v>
      </c>
      <c r="AE737" s="18">
        <v>45965.0</v>
      </c>
      <c r="AF737" s="22" t="s">
        <v>3358</v>
      </c>
      <c r="AG737" s="22" t="s">
        <v>1117</v>
      </c>
      <c r="AH737" s="22" t="s">
        <v>5809</v>
      </c>
      <c r="AI737" s="26" t="str">
        <f>IFERROR(__xludf.DUMMYFUNCTION("IF(OR(W737="""",X737="""",AE737="""",AD737=""""),"""",
   TEXT(
     (
       (AE737+AD737 + IF(AE737+AD737 &lt; W737+X737,1,0)) - (W737+X737)
     )
     - IF(AND(AB737&lt;&gt;"""",AC737&lt;&gt;""""), 
          SUM(ARRAYFORMULA(SPLIT(AC737,"","") - SPLIT(AB737,"",""))"&amp;"), 
          0
       ),
     ""[hh]:mm""
   )
)
"),"02:45")</f>
        <v>02:45</v>
      </c>
      <c r="AJ737" s="55">
        <f t="shared" si="9"/>
        <v>0</v>
      </c>
      <c r="AK737" s="28" t="str">
        <f t="shared" si="10"/>
        <v>Pass</v>
      </c>
    </row>
    <row r="738">
      <c r="A738" s="45">
        <v>45964.0</v>
      </c>
      <c r="B738" s="49">
        <v>0.46111111111111114</v>
      </c>
      <c r="C738" s="45">
        <v>45964.0</v>
      </c>
      <c r="D738" s="49">
        <v>0.46944444444444444</v>
      </c>
      <c r="E738" s="21" t="s">
        <v>5810</v>
      </c>
      <c r="F738" s="21" t="s">
        <v>1192</v>
      </c>
      <c r="G738" s="21" t="s">
        <v>1193</v>
      </c>
      <c r="H738" s="21" t="s">
        <v>156</v>
      </c>
      <c r="I738" s="21" t="s">
        <v>131</v>
      </c>
      <c r="J738" s="21" t="s">
        <v>2253</v>
      </c>
      <c r="K738" s="21" t="s">
        <v>43</v>
      </c>
      <c r="L738" s="21" t="s">
        <v>805</v>
      </c>
      <c r="M738" s="21" t="s">
        <v>5811</v>
      </c>
      <c r="N738" s="21" t="s">
        <v>1298</v>
      </c>
      <c r="O738" s="48" t="s">
        <v>5812</v>
      </c>
      <c r="P738" s="21" t="s">
        <v>75</v>
      </c>
      <c r="Q738" s="24" t="s">
        <v>65</v>
      </c>
      <c r="R738" s="21" t="s">
        <v>5813</v>
      </c>
      <c r="S738" s="21" t="s">
        <v>51</v>
      </c>
      <c r="T738" s="21" t="s">
        <v>52</v>
      </c>
      <c r="U738" s="21" t="s">
        <v>52</v>
      </c>
      <c r="V738" s="21" t="s">
        <v>52</v>
      </c>
      <c r="W738" s="45">
        <v>45965.0</v>
      </c>
      <c r="X738" s="49">
        <v>0.46944444444444444</v>
      </c>
      <c r="Y738" s="45">
        <v>45965.0</v>
      </c>
      <c r="Z738" s="49">
        <v>0.7451388888888889</v>
      </c>
      <c r="AA738" s="49">
        <v>0.75</v>
      </c>
      <c r="AB738" s="29"/>
      <c r="AC738" s="29"/>
      <c r="AD738" s="25">
        <v>0.8541666666666666</v>
      </c>
      <c r="AE738" s="45">
        <v>45965.0</v>
      </c>
      <c r="AF738" s="21" t="s">
        <v>2819</v>
      </c>
      <c r="AG738" s="21" t="s">
        <v>5814</v>
      </c>
      <c r="AH738" s="21" t="s">
        <v>5815</v>
      </c>
      <c r="AI738" s="62" t="str">
        <f>IFERROR(__xludf.DUMMYFUNCTION("IF(OR(W738="""",X738="""",AE738="""",AD738=""""),"""",
   TEXT(
     (
       (AE738+AD738 + IF(AE738+AD738 &lt; W738+X738,1,0)) - (W738+X738)
     )
     - IF(AND(AB738&lt;&gt;"""",AC738&lt;&gt;""""), 
          SUM(ARRAYFORMULA(SPLIT(AC738,"","") - SPLIT(AB738,"",""))"&amp;"), 
          0
       ),
     ""[hh]:mm""
   )
)
"),"09:14")</f>
        <v>09:14</v>
      </c>
      <c r="AJ738" s="27">
        <f t="shared" si="9"/>
        <v>0</v>
      </c>
      <c r="AK738" s="63" t="str">
        <f t="shared" si="10"/>
        <v>Pass</v>
      </c>
    </row>
    <row r="739">
      <c r="A739" s="45">
        <v>45965.0</v>
      </c>
      <c r="B739" s="49">
        <v>0.7888888888888889</v>
      </c>
      <c r="C739" s="45">
        <v>45965.0</v>
      </c>
      <c r="D739" s="49">
        <v>0.79375</v>
      </c>
      <c r="E739" s="21" t="s">
        <v>5816</v>
      </c>
      <c r="F739" s="21" t="s">
        <v>5817</v>
      </c>
      <c r="G739" s="21" t="s">
        <v>5818</v>
      </c>
      <c r="H739" s="21" t="s">
        <v>1610</v>
      </c>
      <c r="I739" s="21" t="s">
        <v>1612</v>
      </c>
      <c r="J739" s="21" t="s">
        <v>1612</v>
      </c>
      <c r="K739" s="21" t="s">
        <v>143</v>
      </c>
      <c r="L739" s="21" t="s">
        <v>4755</v>
      </c>
      <c r="M739" s="21" t="s">
        <v>5819</v>
      </c>
      <c r="N739" s="21" t="s">
        <v>5820</v>
      </c>
      <c r="O739" s="48" t="s">
        <v>5821</v>
      </c>
      <c r="P739" s="21" t="s">
        <v>187</v>
      </c>
      <c r="Q739" s="24" t="s">
        <v>65</v>
      </c>
      <c r="R739" s="21" t="s">
        <v>5822</v>
      </c>
      <c r="S739" s="21" t="s">
        <v>51</v>
      </c>
      <c r="T739" s="21" t="s">
        <v>52</v>
      </c>
      <c r="U739" s="21" t="s">
        <v>52</v>
      </c>
      <c r="V739" s="21" t="s">
        <v>52</v>
      </c>
      <c r="W739" s="45">
        <v>45966.0</v>
      </c>
      <c r="X739" s="49">
        <v>0.2916666666666667</v>
      </c>
      <c r="Y739" s="45">
        <v>45966.0</v>
      </c>
      <c r="Z739" s="49">
        <v>0.31527777777777777</v>
      </c>
      <c r="AA739" s="49">
        <v>0.3263888888888889</v>
      </c>
      <c r="AB739" s="29"/>
      <c r="AC739" s="29"/>
      <c r="AD739" s="25">
        <v>0.5173611111111112</v>
      </c>
      <c r="AE739" s="45">
        <v>45966.0</v>
      </c>
      <c r="AF739" s="21" t="s">
        <v>3218</v>
      </c>
      <c r="AG739" s="21" t="s">
        <v>583</v>
      </c>
      <c r="AH739" s="21" t="s">
        <v>5823</v>
      </c>
      <c r="AI739" s="62" t="str">
        <f>IFERROR(__xludf.DUMMYFUNCTION("IF(OR(W739="""",X739="""",AE739="""",AD739=""""),"""",
   TEXT(
     (
       (AE739+AD739 + IF(AE739+AD739 &lt; W739+X739,1,0)) - (W739+X739)
     )
     - IF(AND(AB739&lt;&gt;"""",AC739&lt;&gt;""""), 
          SUM(ARRAYFORMULA(SPLIT(AC739,"","") - SPLIT(AB739,"",""))"&amp;"), 
          0
       ),
     ""[hh]:mm""
   )
)
"),"05:25")</f>
        <v>05:25</v>
      </c>
      <c r="AJ739" s="27">
        <f t="shared" si="9"/>
        <v>0</v>
      </c>
      <c r="AK739" s="63" t="str">
        <f t="shared" si="10"/>
        <v>Pass</v>
      </c>
    </row>
    <row r="740">
      <c r="A740" s="18">
        <v>45966.0</v>
      </c>
      <c r="B740" s="20">
        <v>0.14097222222222222</v>
      </c>
      <c r="C740" s="18">
        <v>45966.0</v>
      </c>
      <c r="D740" s="20">
        <v>0.3034722222222222</v>
      </c>
      <c r="E740" s="22" t="s">
        <v>5824</v>
      </c>
      <c r="F740" s="22" t="s">
        <v>5046</v>
      </c>
      <c r="G740" s="22" t="s">
        <v>5825</v>
      </c>
      <c r="H740" s="22" t="s">
        <v>1610</v>
      </c>
      <c r="I740" s="22" t="s">
        <v>1612</v>
      </c>
      <c r="J740" s="22" t="s">
        <v>1612</v>
      </c>
      <c r="K740" s="22" t="s">
        <v>143</v>
      </c>
      <c r="L740" s="22" t="s">
        <v>4755</v>
      </c>
      <c r="M740" s="22" t="s">
        <v>5826</v>
      </c>
      <c r="N740" s="22" t="s">
        <v>5827</v>
      </c>
      <c r="O740" s="23" t="s">
        <v>5828</v>
      </c>
      <c r="P740" s="22" t="s">
        <v>187</v>
      </c>
      <c r="Q740" s="50" t="s">
        <v>65</v>
      </c>
      <c r="R740" s="22" t="s">
        <v>5829</v>
      </c>
      <c r="S740" s="22" t="s">
        <v>51</v>
      </c>
      <c r="T740" s="22" t="s">
        <v>52</v>
      </c>
      <c r="U740" s="22" t="s">
        <v>52</v>
      </c>
      <c r="V740" s="22" t="s">
        <v>52</v>
      </c>
      <c r="W740" s="18">
        <v>45966.0</v>
      </c>
      <c r="X740" s="20">
        <v>0.3034722222222222</v>
      </c>
      <c r="Y740" s="18">
        <v>45966.0</v>
      </c>
      <c r="Z740" s="20">
        <v>0.9375</v>
      </c>
      <c r="AA740" s="20">
        <v>0.5416666666666666</v>
      </c>
      <c r="AB740" s="51">
        <v>0.4375</v>
      </c>
      <c r="AC740" s="51">
        <v>0.5416666666666666</v>
      </c>
      <c r="AD740" s="51">
        <v>0.625</v>
      </c>
      <c r="AE740" s="18">
        <v>45966.0</v>
      </c>
      <c r="AF740" s="22" t="s">
        <v>2828</v>
      </c>
      <c r="AG740" s="22" t="s">
        <v>54</v>
      </c>
      <c r="AH740" s="22" t="s">
        <v>5830</v>
      </c>
      <c r="AI740" s="26" t="str">
        <f>IFERROR(__xludf.DUMMYFUNCTION("IF(OR(W740="""",X740="""",AE740="""",AD740=""""),"""",
   TEXT(
     (
       (AE740+AD740 + IF(AE740+AD740 &lt; W740+X740,1,0)) - (W740+X740)
     )
     - IF(AND(AB740&lt;&gt;"""",AC740&lt;&gt;""""), 
          SUM(ARRAYFORMULA(SPLIT(AC740,"","") - SPLIT(AB740,"",""))"&amp;"), 
          0
       ),
     ""[hh]:mm""
   )
)
"),"05:13")</f>
        <v>05:13</v>
      </c>
      <c r="AJ740" s="55">
        <f t="shared" si="9"/>
        <v>0</v>
      </c>
      <c r="AK740" s="28" t="str">
        <f t="shared" si="10"/>
        <v>Pass</v>
      </c>
    </row>
    <row r="741">
      <c r="A741" s="18">
        <v>45966.0</v>
      </c>
      <c r="B741" s="20">
        <v>0.7986111111111112</v>
      </c>
      <c r="C741" s="18">
        <v>45966.0</v>
      </c>
      <c r="D741" s="79">
        <v>0.3729166666666667</v>
      </c>
      <c r="E741" s="22" t="s">
        <v>5831</v>
      </c>
      <c r="F741" s="22" t="s">
        <v>1608</v>
      </c>
      <c r="G741" s="22" t="s">
        <v>1609</v>
      </c>
      <c r="H741" s="22" t="s">
        <v>1610</v>
      </c>
      <c r="I741" s="22" t="s">
        <v>1612</v>
      </c>
      <c r="J741" s="22" t="s">
        <v>1612</v>
      </c>
      <c r="K741" s="22" t="s">
        <v>143</v>
      </c>
      <c r="L741" s="22" t="s">
        <v>4755</v>
      </c>
      <c r="M741" s="22" t="s">
        <v>5832</v>
      </c>
      <c r="N741" s="22" t="s">
        <v>5833</v>
      </c>
      <c r="O741" s="23" t="s">
        <v>5834</v>
      </c>
      <c r="P741" s="22" t="s">
        <v>187</v>
      </c>
      <c r="Q741" s="50" t="s">
        <v>65</v>
      </c>
      <c r="R741" s="22" t="s">
        <v>5835</v>
      </c>
      <c r="S741" s="22" t="s">
        <v>51</v>
      </c>
      <c r="T741" s="22" t="s">
        <v>52</v>
      </c>
      <c r="U741" s="22" t="s">
        <v>52</v>
      </c>
      <c r="V741" s="22" t="s">
        <v>52</v>
      </c>
      <c r="W741" s="18">
        <v>45966.0</v>
      </c>
      <c r="X741" s="20">
        <v>0.3729166666666667</v>
      </c>
      <c r="Y741" s="18">
        <v>45966.0</v>
      </c>
      <c r="Z741" s="20">
        <v>0.6180555555555556</v>
      </c>
      <c r="AA741" s="20">
        <v>0.6208333333333333</v>
      </c>
      <c r="AB741" s="54"/>
      <c r="AC741" s="54"/>
      <c r="AD741" s="51">
        <v>0.6805555555555556</v>
      </c>
      <c r="AE741" s="18">
        <v>45966.0</v>
      </c>
      <c r="AF741" s="22" t="s">
        <v>2931</v>
      </c>
      <c r="AG741" s="22" t="s">
        <v>5836</v>
      </c>
      <c r="AH741" s="22" t="s">
        <v>1618</v>
      </c>
      <c r="AI741" s="26" t="str">
        <f>IFERROR(__xludf.DUMMYFUNCTION("IF(OR(W741="""",X741="""",AE741="""",AD741=""""),"""",
   TEXT(
     (
       (AE741+AD741 + IF(AE741+AD741 &lt; W741+X741,1,0)) - (W741+X741)
     )
     - IF(AND(AB741&lt;&gt;"""",AC741&lt;&gt;""""), 
          SUM(ARRAYFORMULA(SPLIT(AC741,"","") - SPLIT(AB741,"",""))"&amp;"), 
          0
       ),
     ""[hh]:mm""
   )
)
"),"07:23")</f>
        <v>07:23</v>
      </c>
      <c r="AJ741" s="55">
        <f t="shared" si="9"/>
        <v>0</v>
      </c>
      <c r="AK741" s="28" t="str">
        <f t="shared" si="10"/>
        <v>Pass</v>
      </c>
    </row>
    <row r="742">
      <c r="A742" s="18">
        <v>45966.0</v>
      </c>
      <c r="B742" s="20">
        <v>0.37430555555555556</v>
      </c>
      <c r="C742" s="18">
        <v>45966.0</v>
      </c>
      <c r="D742" s="20">
        <v>0.37916666666666665</v>
      </c>
      <c r="E742" s="22" t="s">
        <v>5837</v>
      </c>
      <c r="F742" s="22" t="s">
        <v>2702</v>
      </c>
      <c r="G742" s="22" t="s">
        <v>2703</v>
      </c>
      <c r="H742" s="22" t="s">
        <v>2593</v>
      </c>
      <c r="I742" s="22" t="s">
        <v>234</v>
      </c>
      <c r="J742" s="22" t="s">
        <v>3813</v>
      </c>
      <c r="K742" s="22" t="s">
        <v>61</v>
      </c>
      <c r="L742" s="22" t="s">
        <v>183</v>
      </c>
      <c r="M742" s="22" t="s">
        <v>5838</v>
      </c>
      <c r="N742" s="22" t="s">
        <v>5839</v>
      </c>
      <c r="O742" s="23" t="s">
        <v>5840</v>
      </c>
      <c r="P742" s="22" t="s">
        <v>187</v>
      </c>
      <c r="Q742" s="50" t="s">
        <v>65</v>
      </c>
      <c r="R742" s="22" t="s">
        <v>5841</v>
      </c>
      <c r="S742" s="22" t="s">
        <v>51</v>
      </c>
      <c r="T742" s="22" t="s">
        <v>52</v>
      </c>
      <c r="U742" s="22" t="s">
        <v>52</v>
      </c>
      <c r="V742" s="22" t="s">
        <v>52</v>
      </c>
      <c r="W742" s="18">
        <v>45966.0</v>
      </c>
      <c r="X742" s="20">
        <v>0.37916666666666665</v>
      </c>
      <c r="Y742" s="18">
        <v>45966.0</v>
      </c>
      <c r="Z742" s="20">
        <v>0.625</v>
      </c>
      <c r="AA742" s="75">
        <v>0.6319444444444444</v>
      </c>
      <c r="AB742" s="50" t="s">
        <v>5842</v>
      </c>
      <c r="AC742" s="50" t="s">
        <v>5843</v>
      </c>
      <c r="AD742" s="51">
        <v>0.8194444444444444</v>
      </c>
      <c r="AE742" s="18">
        <v>45966.0</v>
      </c>
      <c r="AF742" s="22" t="s">
        <v>3358</v>
      </c>
      <c r="AG742" s="22" t="s">
        <v>293</v>
      </c>
      <c r="AH742" s="22" t="s">
        <v>5844</v>
      </c>
      <c r="AI742" s="26" t="str">
        <f>IFERROR(__xludf.DUMMYFUNCTION("IF(OR(W742="""",X742="""",AE742="""",AD742=""""),"""",
   TEXT(
     (
       (AE742+AD742 + IF(AE742+AD742 &lt; W742+X742,1,0)) - (W742+X742)
     )
     - IF(AND(AB742&lt;&gt;"""",AC742&lt;&gt;""""), 
          SUM(ARRAYFORMULA(SPLIT(AC742,"","") - SPLIT(AB742,"",""))"&amp;"), 
          0
       ),
     ""[hh]:mm""
   )
)
"),"08:34")</f>
        <v>08:34</v>
      </c>
      <c r="AJ742" s="55">
        <f t="shared" si="9"/>
        <v>0</v>
      </c>
      <c r="AK742" s="28" t="str">
        <f t="shared" si="10"/>
        <v>Pass</v>
      </c>
    </row>
    <row r="743">
      <c r="A743" s="18">
        <v>45966.0</v>
      </c>
      <c r="B743" s="20">
        <v>0.40694444444444444</v>
      </c>
      <c r="C743" s="18">
        <v>45966.0</v>
      </c>
      <c r="D743" s="20">
        <v>0.41875</v>
      </c>
      <c r="E743" s="22" t="s">
        <v>5845</v>
      </c>
      <c r="F743" s="22" t="s">
        <v>5846</v>
      </c>
      <c r="G743" s="22" t="s">
        <v>5847</v>
      </c>
      <c r="H743" s="22" t="s">
        <v>1468</v>
      </c>
      <c r="I743" s="22" t="s">
        <v>856</v>
      </c>
      <c r="J743" s="22" t="s">
        <v>1084</v>
      </c>
      <c r="K743" s="22" t="s">
        <v>2912</v>
      </c>
      <c r="L743" s="22" t="s">
        <v>1999</v>
      </c>
      <c r="M743" s="22">
        <v>8.61585041577113E14</v>
      </c>
      <c r="N743" s="22" t="s">
        <v>5848</v>
      </c>
      <c r="O743" s="23" t="s">
        <v>5849</v>
      </c>
      <c r="P743" s="22" t="s">
        <v>48</v>
      </c>
      <c r="Q743" s="50" t="s">
        <v>449</v>
      </c>
      <c r="R743" s="22" t="s">
        <v>2937</v>
      </c>
      <c r="S743" s="22" t="s">
        <v>51</v>
      </c>
      <c r="T743" s="22" t="s">
        <v>52</v>
      </c>
      <c r="U743" s="22" t="s">
        <v>52</v>
      </c>
      <c r="V743" s="22" t="s">
        <v>52</v>
      </c>
      <c r="W743" s="18">
        <v>45966.0</v>
      </c>
      <c r="X743" s="20">
        <v>0.41875</v>
      </c>
      <c r="Y743" s="18">
        <v>45966.0</v>
      </c>
      <c r="Z743" s="20">
        <v>0.375</v>
      </c>
      <c r="AA743" s="20">
        <v>0.5833333333333334</v>
      </c>
      <c r="AB743" s="54"/>
      <c r="AC743" s="54"/>
      <c r="AD743" s="51">
        <v>0.6388888888888888</v>
      </c>
      <c r="AE743" s="18">
        <v>45966.0</v>
      </c>
      <c r="AF743" s="22" t="s">
        <v>2918</v>
      </c>
      <c r="AG743" s="22" t="s">
        <v>5850</v>
      </c>
      <c r="AH743" s="22" t="s">
        <v>5851</v>
      </c>
      <c r="AI743" s="26" t="str">
        <f>IFERROR(__xludf.DUMMYFUNCTION("IF(OR(W743="""",X743="""",AE743="""",AD743=""""),"""",
   TEXT(
     (
       (AE743+AD743 + IF(AE743+AD743 &lt; W743+X743,1,0)) - (W743+X743)
     )
     - IF(AND(AB743&lt;&gt;"""",AC743&lt;&gt;""""), 
          SUM(ARRAYFORMULA(SPLIT(AC743,"","") - SPLIT(AB743,"",""))"&amp;"), 
          0
       ),
     ""[hh]:mm""
   )
)
"),"05:17")</f>
        <v>05:17</v>
      </c>
      <c r="AJ743" s="55">
        <f t="shared" si="9"/>
        <v>0</v>
      </c>
      <c r="AK743" s="28" t="str">
        <f t="shared" si="10"/>
        <v>Pass</v>
      </c>
    </row>
    <row r="744">
      <c r="A744" s="18">
        <v>45966.0</v>
      </c>
      <c r="B744" s="20">
        <v>0.47291666666666665</v>
      </c>
      <c r="C744" s="18">
        <v>45966.0</v>
      </c>
      <c r="D744" s="20">
        <v>0.47847222222222224</v>
      </c>
      <c r="E744" s="22" t="s">
        <v>5852</v>
      </c>
      <c r="F744" s="22" t="s">
        <v>5853</v>
      </c>
      <c r="G744" s="22" t="s">
        <v>5854</v>
      </c>
      <c r="H744" s="22" t="s">
        <v>244</v>
      </c>
      <c r="I744" s="22" t="s">
        <v>234</v>
      </c>
      <c r="J744" s="22" t="s">
        <v>3813</v>
      </c>
      <c r="K744" s="22" t="s">
        <v>61</v>
      </c>
      <c r="L744" s="22" t="s">
        <v>5855</v>
      </c>
      <c r="M744" s="22" t="s">
        <v>5856</v>
      </c>
      <c r="N744" s="22" t="s">
        <v>5857</v>
      </c>
      <c r="O744" s="23" t="s">
        <v>5858</v>
      </c>
      <c r="P744" s="22" t="s">
        <v>48</v>
      </c>
      <c r="Q744" s="50" t="s">
        <v>65</v>
      </c>
      <c r="R744" s="22" t="s">
        <v>5859</v>
      </c>
      <c r="S744" s="22" t="s">
        <v>51</v>
      </c>
      <c r="T744" s="22" t="s">
        <v>52</v>
      </c>
      <c r="U744" s="22" t="s">
        <v>52</v>
      </c>
      <c r="V744" s="22" t="s">
        <v>52</v>
      </c>
      <c r="W744" s="18">
        <v>45966.0</v>
      </c>
      <c r="X744" s="20">
        <v>0.47847222222222224</v>
      </c>
      <c r="Y744" s="18">
        <v>45966.0</v>
      </c>
      <c r="Z744" s="20">
        <v>0.6493055555555556</v>
      </c>
      <c r="AA744" s="20">
        <v>0.6923611111111111</v>
      </c>
      <c r="AB744" s="54"/>
      <c r="AC744" s="54"/>
      <c r="AD744" s="51">
        <v>0.7430555555555556</v>
      </c>
      <c r="AE744" s="18">
        <v>45966.0</v>
      </c>
      <c r="AF744" s="22" t="s">
        <v>3218</v>
      </c>
      <c r="AG744" s="22" t="s">
        <v>3359</v>
      </c>
      <c r="AH744" s="22" t="s">
        <v>5860</v>
      </c>
      <c r="AI744" s="26" t="str">
        <f>IFERROR(__xludf.DUMMYFUNCTION("IF(OR(W744="""",X744="""",AE744="""",AD744=""""),"""",
   TEXT(
     (
       (AE744+AD744 + IF(AE744+AD744 &lt; W744+X744,1,0)) - (W744+X744)
     )
     - IF(AND(AB744&lt;&gt;"""",AC744&lt;&gt;""""), 
          SUM(ARRAYFORMULA(SPLIT(AC744,"","") - SPLIT(AB744,"",""))"&amp;"), 
          0
       ),
     ""[hh]:mm""
   )
)
"),"06:21")</f>
        <v>06:21</v>
      </c>
      <c r="AJ744" s="55">
        <f t="shared" si="9"/>
        <v>0</v>
      </c>
      <c r="AK744" s="28" t="str">
        <f t="shared" si="10"/>
        <v>Pass</v>
      </c>
    </row>
    <row r="745">
      <c r="A745" s="45">
        <v>45966.0</v>
      </c>
      <c r="B745" s="49">
        <v>0.79375</v>
      </c>
      <c r="C745" s="45">
        <v>45966.0</v>
      </c>
      <c r="D745" s="49">
        <v>0.79375</v>
      </c>
      <c r="E745" s="21" t="s">
        <v>5861</v>
      </c>
      <c r="F745" s="21" t="s">
        <v>5817</v>
      </c>
      <c r="G745" s="21" t="s">
        <v>5818</v>
      </c>
      <c r="H745" s="21" t="s">
        <v>1610</v>
      </c>
      <c r="I745" s="21" t="s">
        <v>1612</v>
      </c>
      <c r="J745" s="21" t="s">
        <v>1612</v>
      </c>
      <c r="K745" s="21" t="s">
        <v>143</v>
      </c>
      <c r="L745" s="21" t="s">
        <v>4755</v>
      </c>
      <c r="M745" s="21" t="s">
        <v>5862</v>
      </c>
      <c r="N745" s="21" t="s">
        <v>5820</v>
      </c>
      <c r="O745" s="48" t="s">
        <v>5863</v>
      </c>
      <c r="P745" s="21" t="s">
        <v>187</v>
      </c>
      <c r="Q745" s="24" t="s">
        <v>65</v>
      </c>
      <c r="R745" s="21" t="s">
        <v>5822</v>
      </c>
      <c r="S745" s="21" t="s">
        <v>51</v>
      </c>
      <c r="T745" s="21" t="s">
        <v>52</v>
      </c>
      <c r="U745" s="21" t="s">
        <v>52</v>
      </c>
      <c r="V745" s="21" t="s">
        <v>52</v>
      </c>
      <c r="W745" s="45">
        <v>45966.0</v>
      </c>
      <c r="X745" s="49">
        <v>0.2916666666666667</v>
      </c>
      <c r="Y745" s="45">
        <v>45966.0</v>
      </c>
      <c r="Z745" s="49">
        <v>0.31527777777777777</v>
      </c>
      <c r="AA745" s="49">
        <v>0.3263888888888889</v>
      </c>
      <c r="AB745" s="29"/>
      <c r="AC745" s="29"/>
      <c r="AD745" s="25">
        <v>0.5173611111111112</v>
      </c>
      <c r="AE745" s="45">
        <v>45966.0</v>
      </c>
      <c r="AF745" s="21" t="s">
        <v>3218</v>
      </c>
      <c r="AG745" s="21" t="s">
        <v>583</v>
      </c>
      <c r="AH745" s="21" t="s">
        <v>5864</v>
      </c>
      <c r="AI745" s="26" t="str">
        <f>IFERROR(__xludf.DUMMYFUNCTION("IF(OR(W745="""",X745="""",AE745="""",AD745=""""),"""",
   TEXT(
     (
       (AE745+AD745 + IF(AE745+AD745 &lt; W745+X745,1,0)) - (W745+X745)
     )
     - IF(AND(AB745&lt;&gt;"""",AC745&lt;&gt;""""), 
          SUM(ARRAYFORMULA(SPLIT(AC745,"","") - SPLIT(AB745,"",""))"&amp;"), 
          0
       ),
     ""[hh]:mm""
   )
)
"),"05:25")</f>
        <v>05:25</v>
      </c>
      <c r="AJ745" s="55">
        <f t="shared" si="9"/>
        <v>0</v>
      </c>
      <c r="AK745" s="28" t="str">
        <f t="shared" si="10"/>
        <v>Pass</v>
      </c>
    </row>
    <row r="746">
      <c r="A746" s="45">
        <v>45932.0</v>
      </c>
      <c r="B746" s="49">
        <v>0.4888888888888889</v>
      </c>
      <c r="C746" s="45">
        <v>45932.0</v>
      </c>
      <c r="D746" s="49">
        <v>0.49722222222222223</v>
      </c>
      <c r="E746" s="21" t="s">
        <v>5865</v>
      </c>
      <c r="F746" s="21" t="s">
        <v>5866</v>
      </c>
      <c r="G746" s="21" t="s">
        <v>5867</v>
      </c>
      <c r="H746" s="21" t="s">
        <v>2352</v>
      </c>
      <c r="I746" s="21" t="s">
        <v>928</v>
      </c>
      <c r="J746" s="21" t="s">
        <v>2352</v>
      </c>
      <c r="K746" s="21" t="s">
        <v>52</v>
      </c>
      <c r="L746" s="21" t="s">
        <v>52</v>
      </c>
      <c r="M746" s="21" t="s">
        <v>52</v>
      </c>
      <c r="N746" s="21" t="s">
        <v>5868</v>
      </c>
      <c r="O746" s="48" t="s">
        <v>5869</v>
      </c>
      <c r="P746" s="21" t="s">
        <v>48</v>
      </c>
      <c r="Q746" s="24" t="s">
        <v>449</v>
      </c>
      <c r="R746" s="21" t="s">
        <v>5870</v>
      </c>
      <c r="S746" s="21" t="s">
        <v>51</v>
      </c>
      <c r="T746" s="21" t="s">
        <v>52</v>
      </c>
      <c r="U746" s="21" t="s">
        <v>52</v>
      </c>
      <c r="V746" s="21" t="s">
        <v>52</v>
      </c>
      <c r="W746" s="45">
        <v>45966.0</v>
      </c>
      <c r="X746" s="49">
        <v>0.9743055555555555</v>
      </c>
      <c r="Y746" s="45">
        <v>45966.0</v>
      </c>
      <c r="Z746" s="49">
        <v>0.9743055555555555</v>
      </c>
      <c r="AA746" s="49">
        <v>0.9895833333333334</v>
      </c>
      <c r="AB746" s="29"/>
      <c r="AC746" s="29"/>
      <c r="AD746" s="25">
        <v>0.08333333333333333</v>
      </c>
      <c r="AE746" s="45">
        <v>45967.0</v>
      </c>
      <c r="AF746" s="21" t="s">
        <v>2819</v>
      </c>
      <c r="AG746" s="21" t="s">
        <v>5871</v>
      </c>
      <c r="AH746" s="21" t="s">
        <v>5872</v>
      </c>
      <c r="AI746" s="62" t="str">
        <f>IFERROR(__xludf.DUMMYFUNCTION("IF(OR(W746="""",X746="""",AE746="""",AD746=""""),"""",
   TEXT(
     (
       (AE746+AD746 + IF(AE746+AD746 &lt; W746+X746,1,0)) - (W746+X746)
     )
     - IF(AND(AB746&lt;&gt;"""",AC746&lt;&gt;""""), 
          SUM(ARRAYFORMULA(SPLIT(AC746,"","") - SPLIT(AB746,"",""))"&amp;"), 
          0
       ),
     ""[hh]:mm""
   )
)
"),"02:37")</f>
        <v>02:37</v>
      </c>
      <c r="AJ746" s="27">
        <f t="shared" si="9"/>
        <v>0</v>
      </c>
      <c r="AK746" s="63" t="str">
        <f t="shared" si="10"/>
        <v>Pass</v>
      </c>
    </row>
    <row r="747">
      <c r="A747" s="45">
        <v>45966.0</v>
      </c>
      <c r="B747" s="49">
        <v>0.5819444444444445</v>
      </c>
      <c r="C747" s="45">
        <v>45966.0</v>
      </c>
      <c r="D747" s="49">
        <v>0.5965277777777778</v>
      </c>
      <c r="E747" s="21" t="s">
        <v>5873</v>
      </c>
      <c r="F747" s="21" t="s">
        <v>1439</v>
      </c>
      <c r="G747" s="21" t="s">
        <v>1440</v>
      </c>
      <c r="H747" s="21" t="s">
        <v>566</v>
      </c>
      <c r="I747" s="21" t="s">
        <v>815</v>
      </c>
      <c r="J747" s="21" t="s">
        <v>1084</v>
      </c>
      <c r="K747" s="21" t="s">
        <v>1776</v>
      </c>
      <c r="L747" s="21" t="s">
        <v>5874</v>
      </c>
      <c r="M747" s="21" t="s">
        <v>5875</v>
      </c>
      <c r="N747" s="21" t="s">
        <v>5876</v>
      </c>
      <c r="O747" s="48" t="s">
        <v>5877</v>
      </c>
      <c r="P747" s="21" t="s">
        <v>48</v>
      </c>
      <c r="Q747" s="24" t="s">
        <v>198</v>
      </c>
      <c r="R747" s="21" t="s">
        <v>5878</v>
      </c>
      <c r="S747" s="21" t="s">
        <v>51</v>
      </c>
      <c r="T747" s="21" t="s">
        <v>52</v>
      </c>
      <c r="U747" s="21" t="s">
        <v>52</v>
      </c>
      <c r="V747" s="21" t="s">
        <v>52</v>
      </c>
      <c r="W747" s="45">
        <v>45967.0</v>
      </c>
      <c r="X747" s="49">
        <v>0.4166666666666667</v>
      </c>
      <c r="Y747" s="45">
        <v>45967.0</v>
      </c>
      <c r="Z747" s="49">
        <v>0.4375</v>
      </c>
      <c r="AA747" s="49">
        <v>0.4583333333333333</v>
      </c>
      <c r="AB747" s="29"/>
      <c r="AC747" s="29"/>
      <c r="AD747" s="25">
        <v>0.5</v>
      </c>
      <c r="AE747" s="45">
        <v>45967.0</v>
      </c>
      <c r="AF747" s="21" t="s">
        <v>2918</v>
      </c>
      <c r="AG747" s="21" t="s">
        <v>78</v>
      </c>
      <c r="AH747" s="21" t="s">
        <v>2129</v>
      </c>
      <c r="AI747" s="62" t="str">
        <f>IFERROR(__xludf.DUMMYFUNCTION("IF(OR(W747="""",X747="""",AE747="""",AD747=""""),"""",
   TEXT(
     (
       (AE747+AD747 + IF(AE747+AD747 &lt; W747+X747,1,0)) - (W747+X747)
     )
     - IF(AND(AB747&lt;&gt;"""",AC747&lt;&gt;""""), 
          SUM(ARRAYFORMULA(SPLIT(AC747,"","") - SPLIT(AB747,"",""))"&amp;"), 
          0
       ),
     ""[hh]:mm""
   )
)
"),"02:00")</f>
        <v>02:00</v>
      </c>
      <c r="AJ747" s="27">
        <f t="shared" si="9"/>
        <v>0</v>
      </c>
      <c r="AK747" s="63" t="str">
        <f t="shared" si="10"/>
        <v>Pass</v>
      </c>
    </row>
    <row r="748">
      <c r="A748" s="45">
        <v>45966.0</v>
      </c>
      <c r="B748" s="49">
        <v>0.5854166666666667</v>
      </c>
      <c r="C748" s="45">
        <v>45966.0</v>
      </c>
      <c r="D748" s="49">
        <v>0.5965277777777778</v>
      </c>
      <c r="E748" s="21" t="s">
        <v>5879</v>
      </c>
      <c r="F748" s="21" t="s">
        <v>3221</v>
      </c>
      <c r="G748" s="21" t="s">
        <v>3222</v>
      </c>
      <c r="H748" s="21" t="s">
        <v>566</v>
      </c>
      <c r="I748" s="21" t="s">
        <v>856</v>
      </c>
      <c r="J748" s="21" t="s">
        <v>1084</v>
      </c>
      <c r="K748" s="21" t="s">
        <v>5880</v>
      </c>
      <c r="L748" s="21" t="s">
        <v>5880</v>
      </c>
      <c r="M748" s="21" t="s">
        <v>5881</v>
      </c>
      <c r="N748" s="21" t="s">
        <v>5882</v>
      </c>
      <c r="O748" s="48" t="s">
        <v>5883</v>
      </c>
      <c r="P748" s="21" t="s">
        <v>48</v>
      </c>
      <c r="Q748" s="24" t="s">
        <v>198</v>
      </c>
      <c r="R748" s="21" t="s">
        <v>5884</v>
      </c>
      <c r="S748" s="21" t="s">
        <v>51</v>
      </c>
      <c r="T748" s="21" t="s">
        <v>52</v>
      </c>
      <c r="U748" s="21" t="s">
        <v>52</v>
      </c>
      <c r="V748" s="21" t="s">
        <v>52</v>
      </c>
      <c r="W748" s="45">
        <v>45967.0</v>
      </c>
      <c r="X748" s="49">
        <v>0.4166666666666667</v>
      </c>
      <c r="Y748" s="45">
        <v>45967.0</v>
      </c>
      <c r="Z748" s="49">
        <v>0.4583333333333333</v>
      </c>
      <c r="AA748" s="49">
        <v>0.4652777777777778</v>
      </c>
      <c r="AB748" s="29"/>
      <c r="AC748" s="29"/>
      <c r="AD748" s="25">
        <v>0.5208333333333334</v>
      </c>
      <c r="AE748" s="45">
        <v>45967.0</v>
      </c>
      <c r="AF748" s="21" t="s">
        <v>2918</v>
      </c>
      <c r="AG748" s="21" t="s">
        <v>54</v>
      </c>
      <c r="AH748" s="21" t="s">
        <v>5885</v>
      </c>
      <c r="AI748" s="62" t="str">
        <f>IFERROR(__xludf.DUMMYFUNCTION("IF(OR(W748="""",X748="""",AE748="""",AD748=""""),"""",
   TEXT(
     (
       (AE748+AD748 + IF(AE748+AD748 &lt; W748+X748,1,0)) - (W748+X748)
     )
     - IF(AND(AB748&lt;&gt;"""",AC748&lt;&gt;""""), 
          SUM(ARRAYFORMULA(SPLIT(AC748,"","") - SPLIT(AB748,"",""))"&amp;"), 
          0
       ),
     ""[hh]:mm""
   )
)
"),"02:30")</f>
        <v>02:30</v>
      </c>
      <c r="AJ748" s="27">
        <f t="shared" si="9"/>
        <v>0</v>
      </c>
      <c r="AK748" s="63" t="str">
        <f t="shared" si="10"/>
        <v>Pass</v>
      </c>
    </row>
    <row r="749">
      <c r="A749" s="45">
        <v>45966.0</v>
      </c>
      <c r="B749" s="49">
        <v>0.6076388888888888</v>
      </c>
      <c r="C749" s="45">
        <v>45966.0</v>
      </c>
      <c r="D749" s="49">
        <v>0.6090277777777777</v>
      </c>
      <c r="E749" s="21" t="s">
        <v>5886</v>
      </c>
      <c r="F749" s="21" t="s">
        <v>5887</v>
      </c>
      <c r="G749" s="21" t="s">
        <v>5888</v>
      </c>
      <c r="H749" s="21" t="s">
        <v>566</v>
      </c>
      <c r="I749" s="21" t="s">
        <v>815</v>
      </c>
      <c r="J749" s="21" t="s">
        <v>1084</v>
      </c>
      <c r="K749" s="21" t="s">
        <v>1085</v>
      </c>
      <c r="L749" s="21" t="s">
        <v>1085</v>
      </c>
      <c r="M749" s="21" t="s">
        <v>5889</v>
      </c>
      <c r="N749" s="21" t="s">
        <v>5890</v>
      </c>
      <c r="O749" s="48" t="s">
        <v>5891</v>
      </c>
      <c r="P749" s="21" t="s">
        <v>48</v>
      </c>
      <c r="Q749" s="24" t="s">
        <v>198</v>
      </c>
      <c r="R749" s="21" t="s">
        <v>5892</v>
      </c>
      <c r="S749" s="21" t="s">
        <v>51</v>
      </c>
      <c r="T749" s="21" t="s">
        <v>52</v>
      </c>
      <c r="U749" s="21" t="s">
        <v>52</v>
      </c>
      <c r="V749" s="21" t="s">
        <v>52</v>
      </c>
      <c r="W749" s="45">
        <v>45967.0</v>
      </c>
      <c r="X749" s="49">
        <v>0.4166666666666667</v>
      </c>
      <c r="Y749" s="45">
        <v>45967.0</v>
      </c>
      <c r="Z749" s="49">
        <v>0.4027777777777778</v>
      </c>
      <c r="AA749" s="49">
        <v>0.40625</v>
      </c>
      <c r="AB749" s="29"/>
      <c r="AC749" s="29"/>
      <c r="AD749" s="25">
        <v>0.4444444444444444</v>
      </c>
      <c r="AE749" s="45">
        <v>45966.0</v>
      </c>
      <c r="AF749" s="21" t="s">
        <v>2918</v>
      </c>
      <c r="AG749" s="21" t="s">
        <v>67</v>
      </c>
      <c r="AH749" s="21" t="s">
        <v>5893</v>
      </c>
      <c r="AI749" s="62" t="str">
        <f>IFERROR(__xludf.DUMMYFUNCTION("IF(OR(W749="""",X749="""",AE749="""",AD749=""""),"""",
   TEXT(
     (
       (AE749+AD749 + IF(AE749+AD749 &lt; W749+X749,1,0)) - (W749+X749)
     )
     - IF(AND(AB749&lt;&gt;"""",AC749&lt;&gt;""""), 
          SUM(ARRAYFORMULA(SPLIT(AC749,"","") - SPLIT(AB749,"",""))"&amp;"), 
          0
       ),
     ""[hh]:mm""
   )
)
"),"00:40")</f>
        <v>00:40</v>
      </c>
      <c r="AJ749" s="27">
        <f t="shared" si="9"/>
        <v>0</v>
      </c>
      <c r="AK749" s="63" t="str">
        <f t="shared" si="10"/>
        <v>Pass</v>
      </c>
    </row>
    <row r="750">
      <c r="A750" s="45">
        <v>45967.0</v>
      </c>
      <c r="B750" s="49">
        <v>0.07013888888888889</v>
      </c>
      <c r="C750" s="45">
        <v>45967.0</v>
      </c>
      <c r="D750" s="49">
        <v>0.30416666666666664</v>
      </c>
      <c r="E750" s="21" t="s">
        <v>5894</v>
      </c>
      <c r="F750" s="21" t="s">
        <v>3864</v>
      </c>
      <c r="G750" s="21" t="s">
        <v>3865</v>
      </c>
      <c r="H750" s="21" t="s">
        <v>1610</v>
      </c>
      <c r="I750" s="21" t="s">
        <v>1612</v>
      </c>
      <c r="J750" s="21" t="s">
        <v>1612</v>
      </c>
      <c r="K750" s="21" t="s">
        <v>143</v>
      </c>
      <c r="L750" s="21" t="s">
        <v>4755</v>
      </c>
      <c r="M750" s="21" t="s">
        <v>5895</v>
      </c>
      <c r="N750" s="21" t="s">
        <v>5896</v>
      </c>
      <c r="O750" s="48" t="s">
        <v>5897</v>
      </c>
      <c r="P750" s="21" t="s">
        <v>187</v>
      </c>
      <c r="Q750" s="24" t="s">
        <v>65</v>
      </c>
      <c r="R750" s="21" t="s">
        <v>5898</v>
      </c>
      <c r="S750" s="21" t="s">
        <v>51</v>
      </c>
      <c r="T750" s="21" t="s">
        <v>52</v>
      </c>
      <c r="U750" s="21" t="s">
        <v>52</v>
      </c>
      <c r="V750" s="21" t="s">
        <v>52</v>
      </c>
      <c r="W750" s="45">
        <v>45967.0</v>
      </c>
      <c r="X750" s="49">
        <v>0.30416666666666664</v>
      </c>
      <c r="Y750" s="45">
        <v>45967.0</v>
      </c>
      <c r="Z750" s="49">
        <v>0.6527777777777778</v>
      </c>
      <c r="AA750" s="49">
        <v>0.6597222222222222</v>
      </c>
      <c r="AB750" s="29"/>
      <c r="AC750" s="29"/>
      <c r="AD750" s="25">
        <v>0.7291666666666666</v>
      </c>
      <c r="AE750" s="45">
        <v>45967.0</v>
      </c>
      <c r="AF750" s="21" t="s">
        <v>2931</v>
      </c>
      <c r="AG750" s="21" t="s">
        <v>78</v>
      </c>
      <c r="AH750" s="21" t="s">
        <v>5899</v>
      </c>
      <c r="AI750" s="62" t="str">
        <f>IFERROR(__xludf.DUMMYFUNCTION("IF(OR(W750="""",X750="""",AE750="""",AD750=""""),"""",
   TEXT(
     (
       (AE750+AD750 + IF(AE750+AD750 &lt; W750+X750,1,0)) - (W750+X750)
     )
     - IF(AND(AB750&lt;&gt;"""",AC750&lt;&gt;""""), 
          SUM(ARRAYFORMULA(SPLIT(AC750,"","") - SPLIT(AB750,"",""))"&amp;"), 
          0
       ),
     ""[hh]:mm""
   )
)
"),"10:12")</f>
        <v>10:12</v>
      </c>
      <c r="AJ750" s="27">
        <f t="shared" si="9"/>
        <v>0</v>
      </c>
      <c r="AK750" s="63" t="str">
        <f t="shared" si="10"/>
        <v>Pass</v>
      </c>
    </row>
    <row r="751">
      <c r="A751" s="45">
        <v>45967.0</v>
      </c>
      <c r="B751" s="49">
        <v>0.12083333333333333</v>
      </c>
      <c r="C751" s="45">
        <v>45967.0</v>
      </c>
      <c r="D751" s="49">
        <v>0.30694444444444446</v>
      </c>
      <c r="E751" s="21" t="s">
        <v>5900</v>
      </c>
      <c r="F751" s="21" t="s">
        <v>463</v>
      </c>
      <c r="G751" s="21" t="s">
        <v>5901</v>
      </c>
      <c r="H751" s="21" t="s">
        <v>1610</v>
      </c>
      <c r="I751" s="21" t="s">
        <v>1612</v>
      </c>
      <c r="J751" s="21" t="s">
        <v>1612</v>
      </c>
      <c r="K751" s="21" t="s">
        <v>143</v>
      </c>
      <c r="L751" s="21" t="s">
        <v>4755</v>
      </c>
      <c r="M751" s="21" t="s">
        <v>5902</v>
      </c>
      <c r="N751" s="21" t="s">
        <v>5903</v>
      </c>
      <c r="O751" s="48" t="s">
        <v>5904</v>
      </c>
      <c r="P751" s="21" t="s">
        <v>187</v>
      </c>
      <c r="Q751" s="24" t="s">
        <v>65</v>
      </c>
      <c r="R751" s="21" t="s">
        <v>5905</v>
      </c>
      <c r="S751" s="21" t="s">
        <v>51</v>
      </c>
      <c r="T751" s="21" t="s">
        <v>52</v>
      </c>
      <c r="U751" s="21" t="s">
        <v>52</v>
      </c>
      <c r="V751" s="21" t="s">
        <v>52</v>
      </c>
      <c r="W751" s="45">
        <v>45967.0</v>
      </c>
      <c r="X751" s="49">
        <v>0.30694444444444446</v>
      </c>
      <c r="Y751" s="45">
        <v>45967.0</v>
      </c>
      <c r="Z751" s="49">
        <v>0.46111111111111114</v>
      </c>
      <c r="AA751" s="49">
        <v>0.46319444444444446</v>
      </c>
      <c r="AB751" s="29"/>
      <c r="AC751" s="29"/>
      <c r="AD751" s="25">
        <v>0.5708333333333333</v>
      </c>
      <c r="AE751" s="45">
        <v>45967.0</v>
      </c>
      <c r="AF751" s="21" t="s">
        <v>2711</v>
      </c>
      <c r="AG751" s="21" t="s">
        <v>3197</v>
      </c>
      <c r="AH751" s="21" t="s">
        <v>5906</v>
      </c>
      <c r="AI751" s="62" t="str">
        <f>IFERROR(__xludf.DUMMYFUNCTION("IF(OR(W751="""",X751="""",AE751="""",AD751=""""),"""",
   TEXT(
     (
       (AE751+AD751 + IF(AE751+AD751 &lt; W751+X751,1,0)) - (W751+X751)
     )
     - IF(AND(AB751&lt;&gt;"""",AC751&lt;&gt;""""), 
          SUM(ARRAYFORMULA(SPLIT(AC751,"","") - SPLIT(AB751,"",""))"&amp;"), 
          0
       ),
     ""[hh]:mm""
   )
)
"),"06:20")</f>
        <v>06:20</v>
      </c>
      <c r="AJ751" s="27">
        <f t="shared" si="9"/>
        <v>0</v>
      </c>
      <c r="AK751" s="63" t="str">
        <f t="shared" si="10"/>
        <v>Pass</v>
      </c>
    </row>
    <row r="752">
      <c r="A752" s="45">
        <v>45967.0</v>
      </c>
      <c r="B752" s="49">
        <v>0.2965277777777778</v>
      </c>
      <c r="C752" s="45">
        <v>45967.0</v>
      </c>
      <c r="D752" s="49">
        <v>0.31527777777777777</v>
      </c>
      <c r="E752" s="21" t="s">
        <v>5907</v>
      </c>
      <c r="F752" s="21" t="s">
        <v>4616</v>
      </c>
      <c r="G752" s="21" t="s">
        <v>4617</v>
      </c>
      <c r="H752" s="21" t="s">
        <v>214</v>
      </c>
      <c r="I752" s="21" t="s">
        <v>60</v>
      </c>
      <c r="J752" s="21" t="s">
        <v>3813</v>
      </c>
      <c r="K752" s="21" t="s">
        <v>61</v>
      </c>
      <c r="L752" s="21" t="s">
        <v>183</v>
      </c>
      <c r="M752" s="21" t="s">
        <v>4618</v>
      </c>
      <c r="N752" s="21" t="s">
        <v>5908</v>
      </c>
      <c r="O752" s="48" t="s">
        <v>5909</v>
      </c>
      <c r="P752" s="21" t="s">
        <v>75</v>
      </c>
      <c r="Q752" s="24" t="s">
        <v>65</v>
      </c>
      <c r="R752" s="21" t="s">
        <v>5910</v>
      </c>
      <c r="S752" s="21" t="s">
        <v>51</v>
      </c>
      <c r="T752" s="21" t="s">
        <v>3063</v>
      </c>
      <c r="U752" s="21" t="s">
        <v>5911</v>
      </c>
      <c r="V752" s="21" t="s">
        <v>5912</v>
      </c>
      <c r="W752" s="45">
        <v>45967.0</v>
      </c>
      <c r="X752" s="49">
        <v>0.31527777777777777</v>
      </c>
      <c r="Y752" s="45">
        <v>45967.0</v>
      </c>
      <c r="Z752" s="49">
        <v>0.4166666666666667</v>
      </c>
      <c r="AA752" s="49">
        <v>0.4861111111111111</v>
      </c>
      <c r="AB752" s="25">
        <v>0.4201388888888889</v>
      </c>
      <c r="AC752" s="25">
        <v>0.4826388888888889</v>
      </c>
      <c r="AD752" s="25">
        <v>0.5</v>
      </c>
      <c r="AE752" s="45">
        <v>45967.0</v>
      </c>
      <c r="AF752" s="21" t="s">
        <v>2931</v>
      </c>
      <c r="AG752" s="21" t="s">
        <v>775</v>
      </c>
      <c r="AH752" s="21" t="s">
        <v>5913</v>
      </c>
      <c r="AI752" s="62" t="str">
        <f>IFERROR(__xludf.DUMMYFUNCTION("IF(OR(W752="""",X752="""",AE752="""",AD752=""""),"""",
   TEXT(
     (
       (AE752+AD752 + IF(AE752+AD752 &lt; W752+X752,1,0)) - (W752+X752)
     )
     - IF(AND(AB752&lt;&gt;"""",AC752&lt;&gt;""""), 
          SUM(ARRAYFORMULA(SPLIT(AC752,"","") - SPLIT(AB752,"",""))"&amp;"), 
          0
       ),
     ""[hh]:mm""
   )
)
"),"02:56")</f>
        <v>02:56</v>
      </c>
      <c r="AJ752" s="27">
        <f t="shared" si="9"/>
        <v>0</v>
      </c>
      <c r="AK752" s="63" t="str">
        <f t="shared" si="10"/>
        <v>Pass</v>
      </c>
    </row>
    <row r="753">
      <c r="A753" s="45">
        <v>45967.0</v>
      </c>
      <c r="B753" s="49">
        <v>0.3701388888888889</v>
      </c>
      <c r="C753" s="45">
        <v>45967.0</v>
      </c>
      <c r="D753" s="49">
        <v>0.3770833333333333</v>
      </c>
      <c r="E753" s="21" t="s">
        <v>5914</v>
      </c>
      <c r="F753" s="21" t="s">
        <v>3241</v>
      </c>
      <c r="G753" s="21" t="s">
        <v>5915</v>
      </c>
      <c r="H753" s="21" t="s">
        <v>244</v>
      </c>
      <c r="I753" s="21" t="s">
        <v>1055</v>
      </c>
      <c r="J753" s="21" t="s">
        <v>1262</v>
      </c>
      <c r="K753" s="21" t="s">
        <v>635</v>
      </c>
      <c r="L753" s="21" t="s">
        <v>5916</v>
      </c>
      <c r="M753" s="21" t="s">
        <v>5917</v>
      </c>
      <c r="N753" s="21" t="s">
        <v>5918</v>
      </c>
      <c r="O753" s="48" t="s">
        <v>5919</v>
      </c>
      <c r="P753" s="21" t="s">
        <v>48</v>
      </c>
      <c r="Q753" s="24" t="s">
        <v>49</v>
      </c>
      <c r="R753" s="21" t="s">
        <v>5920</v>
      </c>
      <c r="S753" s="21" t="s">
        <v>51</v>
      </c>
      <c r="T753" s="21" t="s">
        <v>52</v>
      </c>
      <c r="U753" s="21" t="s">
        <v>52</v>
      </c>
      <c r="V753" s="21" t="s">
        <v>52</v>
      </c>
      <c r="W753" s="45">
        <v>45967.0</v>
      </c>
      <c r="X753" s="49">
        <v>0.3770833333333333</v>
      </c>
      <c r="Y753" s="45">
        <v>45967.0</v>
      </c>
      <c r="Z753" s="49">
        <v>0.4375</v>
      </c>
      <c r="AA753" s="49">
        <v>0.4409722222222222</v>
      </c>
      <c r="AB753" s="25">
        <v>0.5416666666666666</v>
      </c>
      <c r="AC753" s="25">
        <v>0.59375</v>
      </c>
      <c r="AD753" s="25">
        <v>0.5951388888888889</v>
      </c>
      <c r="AE753" s="45">
        <v>45967.0</v>
      </c>
      <c r="AF753" s="21" t="s">
        <v>2828</v>
      </c>
      <c r="AG753" s="21" t="s">
        <v>1117</v>
      </c>
      <c r="AH753" s="21" t="s">
        <v>5921</v>
      </c>
      <c r="AI753" s="62" t="str">
        <f>IFERROR(__xludf.DUMMYFUNCTION("IF(OR(W753="""",X753="""",AE753="""",AD753=""""),"""",
   TEXT(
     (
       (AE753+AD753 + IF(AE753+AD753 &lt; W753+X753,1,0)) - (W753+X753)
     )
     - IF(AND(AB753&lt;&gt;"""",AC753&lt;&gt;""""), 
          SUM(ARRAYFORMULA(SPLIT(AC753,"","") - SPLIT(AB753,"",""))"&amp;"), 
          0
       ),
     ""[hh]:mm""
   )
)
"),"03:59")</f>
        <v>03:59</v>
      </c>
      <c r="AJ753" s="27">
        <f t="shared" si="9"/>
        <v>0</v>
      </c>
      <c r="AK753" s="63" t="str">
        <f t="shared" si="10"/>
        <v>Pass</v>
      </c>
    </row>
    <row r="754">
      <c r="A754" s="45">
        <v>45966.0</v>
      </c>
      <c r="B754" s="49">
        <v>0.44930555555555557</v>
      </c>
      <c r="C754" s="45">
        <v>45967.0</v>
      </c>
      <c r="D754" s="80">
        <v>0.44027777777777777</v>
      </c>
      <c r="E754" s="21" t="s">
        <v>5922</v>
      </c>
      <c r="F754" s="21" t="s">
        <v>5019</v>
      </c>
      <c r="G754" s="21" t="s">
        <v>5020</v>
      </c>
      <c r="H754" s="21" t="s">
        <v>756</v>
      </c>
      <c r="I754" s="21" t="s">
        <v>95</v>
      </c>
      <c r="J754" s="21" t="s">
        <v>95</v>
      </c>
      <c r="K754" s="21" t="s">
        <v>143</v>
      </c>
      <c r="L754" s="21" t="s">
        <v>606</v>
      </c>
      <c r="M754" s="21" t="s">
        <v>4960</v>
      </c>
      <c r="N754" s="21" t="s">
        <v>5923</v>
      </c>
      <c r="O754" s="48" t="s">
        <v>5924</v>
      </c>
      <c r="P754" s="21" t="s">
        <v>48</v>
      </c>
      <c r="Q754" s="24" t="s">
        <v>49</v>
      </c>
      <c r="R754" s="21" t="s">
        <v>5925</v>
      </c>
      <c r="S754" s="21" t="s">
        <v>51</v>
      </c>
      <c r="T754" s="21" t="s">
        <v>52</v>
      </c>
      <c r="U754" s="21" t="s">
        <v>52</v>
      </c>
      <c r="V754" s="21" t="s">
        <v>52</v>
      </c>
      <c r="W754" s="45">
        <v>45967.0</v>
      </c>
      <c r="X754" s="88">
        <v>0.6777777777777778</v>
      </c>
      <c r="Y754" s="45">
        <v>45967.0</v>
      </c>
      <c r="Z754" s="49">
        <v>0.7833333333333333</v>
      </c>
      <c r="AA754" s="49">
        <v>0.7847222222222222</v>
      </c>
      <c r="AB754" s="85">
        <v>0.8229166666666666</v>
      </c>
      <c r="AC754" s="25">
        <v>0.8680555555555556</v>
      </c>
      <c r="AD754" s="25">
        <v>0.8680555555555556</v>
      </c>
      <c r="AE754" s="45">
        <v>45967.0</v>
      </c>
      <c r="AF754" s="21" t="s">
        <v>2828</v>
      </c>
      <c r="AG754" s="21" t="s">
        <v>3191</v>
      </c>
      <c r="AH754" s="21" t="s">
        <v>5926</v>
      </c>
      <c r="AI754" s="62" t="str">
        <f>IFERROR(__xludf.DUMMYFUNCTION("IF(OR(W754="""",X754="""",AE754="""",AD754=""""),"""",
   TEXT(
     (
       (AE754+AD754 + IF(AE754+AD754 &lt; W754+X754,1,0)) - (W754+X754)
     )
     - IF(AND(AB754&lt;&gt;"""",AC754&lt;&gt;""""), 
          SUM(ARRAYFORMULA(SPLIT(AC754,"","") - SPLIT(AB754,"",""))"&amp;"), 
          0
       ),
     ""[hh]:mm""
   )
)
"),"03:29")</f>
        <v>03:29</v>
      </c>
      <c r="AJ754" s="27">
        <f t="shared" si="9"/>
        <v>0</v>
      </c>
      <c r="AK754" s="63" t="str">
        <f t="shared" si="10"/>
        <v>Pass</v>
      </c>
    </row>
    <row r="755">
      <c r="A755" s="45">
        <v>45968.0</v>
      </c>
      <c r="B755" s="49">
        <v>0.3416666666666667</v>
      </c>
      <c r="C755" s="45">
        <v>45967.0</v>
      </c>
      <c r="D755" s="49">
        <v>0.6833333333333333</v>
      </c>
      <c r="E755" s="21" t="s">
        <v>5927</v>
      </c>
      <c r="F755" s="21" t="s">
        <v>3057</v>
      </c>
      <c r="G755" s="21" t="s">
        <v>5928</v>
      </c>
      <c r="H755" s="21" t="s">
        <v>566</v>
      </c>
      <c r="I755" s="21" t="s">
        <v>95</v>
      </c>
      <c r="J755" s="21" t="s">
        <v>95</v>
      </c>
      <c r="K755" s="21" t="s">
        <v>143</v>
      </c>
      <c r="L755" s="21" t="s">
        <v>606</v>
      </c>
      <c r="M755" s="21" t="s">
        <v>5929</v>
      </c>
      <c r="N755" s="21" t="s">
        <v>5930</v>
      </c>
      <c r="O755" s="48" t="s">
        <v>5931</v>
      </c>
      <c r="P755" s="21" t="s">
        <v>48</v>
      </c>
      <c r="Q755" s="24" t="s">
        <v>65</v>
      </c>
      <c r="R755" s="21" t="s">
        <v>5932</v>
      </c>
      <c r="S755" s="21" t="s">
        <v>51</v>
      </c>
      <c r="T755" s="21" t="s">
        <v>5933</v>
      </c>
      <c r="U755" s="21" t="s">
        <v>52</v>
      </c>
      <c r="V755" s="21" t="s">
        <v>52</v>
      </c>
      <c r="W755" s="45">
        <v>45967.0</v>
      </c>
      <c r="X755" s="49">
        <v>0.71875</v>
      </c>
      <c r="Y755" s="45">
        <v>45967.0</v>
      </c>
      <c r="Z755" s="49">
        <v>0.71875</v>
      </c>
      <c r="AA755" s="49">
        <v>0.7291666666666666</v>
      </c>
      <c r="AB755" s="24" t="s">
        <v>5934</v>
      </c>
      <c r="AC755" s="24" t="s">
        <v>5935</v>
      </c>
      <c r="AD755" s="25">
        <v>0.041666666666666664</v>
      </c>
      <c r="AE755" s="45">
        <v>45968.0</v>
      </c>
      <c r="AF755" s="21" t="s">
        <v>4914</v>
      </c>
      <c r="AG755" s="21" t="s">
        <v>5936</v>
      </c>
      <c r="AH755" s="21" t="s">
        <v>5937</v>
      </c>
      <c r="AI755" s="62" t="str">
        <f>IFERROR(__xludf.DUMMYFUNCTION("IF(OR(W755="""",X755="""",AE755="""",AD755=""""),"""",
   TEXT(
     (
       (AE755+AD755 + IF(AE755+AD755 &lt; W755+X755,1,0)) - (W755+X755)
     )
     - IF(AND(AB755&lt;&gt;"""",AC755&lt;&gt;""""), 
          SUM(ARRAYFORMULA(SPLIT(AC755,"","") - SPLIT(AB755,"",""))"&amp;"), 
          0
       ),
     ""[hh]:mm""
   )
)
"),"04:35")</f>
        <v>04:35</v>
      </c>
      <c r="AJ755" s="27">
        <f t="shared" si="9"/>
        <v>0</v>
      </c>
      <c r="AK755" s="63" t="str">
        <f t="shared" si="10"/>
        <v>Pass</v>
      </c>
    </row>
    <row r="756">
      <c r="A756" s="45">
        <v>45967.0</v>
      </c>
      <c r="B756" s="49">
        <v>0.32083333333333336</v>
      </c>
      <c r="C756" s="45">
        <v>45967.0</v>
      </c>
      <c r="D756" s="49">
        <v>0.3298611111111111</v>
      </c>
      <c r="E756" s="21" t="s">
        <v>5938</v>
      </c>
      <c r="F756" s="21" t="s">
        <v>154</v>
      </c>
      <c r="G756" s="21" t="s">
        <v>5939</v>
      </c>
      <c r="H756" s="21" t="s">
        <v>566</v>
      </c>
      <c r="I756" s="21" t="s">
        <v>95</v>
      </c>
      <c r="J756" s="21" t="s">
        <v>95</v>
      </c>
      <c r="K756" s="21" t="s">
        <v>143</v>
      </c>
      <c r="L756" s="21" t="s">
        <v>606</v>
      </c>
      <c r="M756" s="21" t="s">
        <v>5940</v>
      </c>
      <c r="N756" s="21" t="s">
        <v>5941</v>
      </c>
      <c r="O756" s="48" t="s">
        <v>5942</v>
      </c>
      <c r="P756" s="21" t="s">
        <v>48</v>
      </c>
      <c r="Q756" s="24" t="s">
        <v>49</v>
      </c>
      <c r="R756" s="21" t="s">
        <v>5943</v>
      </c>
      <c r="S756" s="21" t="s">
        <v>51</v>
      </c>
      <c r="T756" s="21" t="s">
        <v>52</v>
      </c>
      <c r="U756" s="21" t="s">
        <v>52</v>
      </c>
      <c r="V756" s="21" t="s">
        <v>52</v>
      </c>
      <c r="W756" s="45">
        <v>45967.0</v>
      </c>
      <c r="X756" s="49">
        <v>1.0</v>
      </c>
      <c r="Y756" s="45">
        <v>45968.0</v>
      </c>
      <c r="Z756" s="49">
        <v>0.9583333333333334</v>
      </c>
      <c r="AA756" s="49">
        <v>1.0277777777777777</v>
      </c>
      <c r="AB756" s="29"/>
      <c r="AC756" s="29"/>
      <c r="AD756" s="25">
        <v>0.041666666666666664</v>
      </c>
      <c r="AE756" s="45">
        <v>45968.0</v>
      </c>
      <c r="AF756" s="21" t="s">
        <v>2931</v>
      </c>
      <c r="AG756" s="21" t="s">
        <v>162</v>
      </c>
      <c r="AH756" s="21" t="s">
        <v>5944</v>
      </c>
      <c r="AI756" s="62" t="str">
        <f>IFERROR(__xludf.DUMMYFUNCTION("IF(OR(W756="""",X756="""",AE756="""",AD756=""""),"""",
   TEXT(
     (
       (AE756+AD756 + IF(AE756+AD756 &lt; W756+X756,1,0)) - (W756+X756)
     )
     - IF(AND(AB756&lt;&gt;"""",AC756&lt;&gt;""""), 
          SUM(ARRAYFORMULA(SPLIT(AC756,"","") - SPLIT(AB756,"",""))"&amp;"), 
          0
       ),
     ""[hh]:mm""
   )
)
"),"01:00")</f>
        <v>01:00</v>
      </c>
      <c r="AJ756" s="27">
        <f t="shared" si="9"/>
        <v>0</v>
      </c>
      <c r="AK756" s="63" t="str">
        <f t="shared" si="10"/>
        <v>Pass</v>
      </c>
    </row>
    <row r="757">
      <c r="A757" s="45">
        <v>45967.0</v>
      </c>
      <c r="B757" s="49">
        <v>0.8569444444444444</v>
      </c>
      <c r="C757" s="45">
        <v>45967.0</v>
      </c>
      <c r="D757" s="49">
        <v>0.8652777777777778</v>
      </c>
      <c r="E757" s="21" t="s">
        <v>5945</v>
      </c>
      <c r="F757" s="21" t="s">
        <v>70</v>
      </c>
      <c r="G757" s="21" t="s">
        <v>5946</v>
      </c>
      <c r="H757" s="21" t="s">
        <v>1610</v>
      </c>
      <c r="I757" s="21" t="s">
        <v>1612</v>
      </c>
      <c r="J757" s="21" t="s">
        <v>1612</v>
      </c>
      <c r="K757" s="21" t="s">
        <v>143</v>
      </c>
      <c r="L757" s="21" t="s">
        <v>5947</v>
      </c>
      <c r="M757" s="21" t="s">
        <v>5948</v>
      </c>
      <c r="N757" s="21" t="s">
        <v>5949</v>
      </c>
      <c r="O757" s="48" t="s">
        <v>5950</v>
      </c>
      <c r="P757" s="21" t="s">
        <v>187</v>
      </c>
      <c r="Q757" s="24" t="s">
        <v>65</v>
      </c>
      <c r="R757" s="21" t="s">
        <v>5951</v>
      </c>
      <c r="S757" s="21" t="s">
        <v>51</v>
      </c>
      <c r="T757" s="21" t="s">
        <v>52</v>
      </c>
      <c r="U757" s="21" t="s">
        <v>52</v>
      </c>
      <c r="V757" s="21" t="s">
        <v>52</v>
      </c>
      <c r="W757" s="45">
        <v>45968.0</v>
      </c>
      <c r="X757" s="49">
        <v>0.3902777777777778</v>
      </c>
      <c r="Y757" s="45">
        <v>45968.0</v>
      </c>
      <c r="Z757" s="49">
        <v>0.4791666666666667</v>
      </c>
      <c r="AA757" s="49">
        <v>0.4965277777777778</v>
      </c>
      <c r="AB757" s="25">
        <v>0.5</v>
      </c>
      <c r="AC757" s="25">
        <v>0.53125</v>
      </c>
      <c r="AD757" s="25">
        <v>0.5625</v>
      </c>
      <c r="AE757" s="45">
        <v>45968.0</v>
      </c>
      <c r="AF757" s="21" t="s">
        <v>5952</v>
      </c>
      <c r="AG757" s="21" t="s">
        <v>78</v>
      </c>
      <c r="AH757" s="21" t="s">
        <v>5953</v>
      </c>
      <c r="AI757" s="62" t="str">
        <f>IFERROR(__xludf.DUMMYFUNCTION("IF(OR(W757="""",X757="""",AE757="""",AD757=""""),"""",
   TEXT(
     (
       (AE757+AD757 + IF(AE757+AD757 &lt; W757+X757,1,0)) - (W757+X757)
     )
     - IF(AND(AB757&lt;&gt;"""",AC757&lt;&gt;""""), 
          SUM(ARRAYFORMULA(SPLIT(AC757,"","") - SPLIT(AB757,"",""))"&amp;"), 
          0
       ),
     ""[hh]:mm""
   )
)
"),"03:23")</f>
        <v>03:23</v>
      </c>
      <c r="AJ757" s="27">
        <f t="shared" si="9"/>
        <v>0</v>
      </c>
      <c r="AK757" s="63" t="str">
        <f t="shared" si="10"/>
        <v>Pass</v>
      </c>
    </row>
    <row r="758">
      <c r="A758" s="45">
        <v>45967.0</v>
      </c>
      <c r="B758" s="49">
        <v>0.8611111111111112</v>
      </c>
      <c r="C758" s="45">
        <v>45967.0</v>
      </c>
      <c r="D758" s="49">
        <v>0.86875</v>
      </c>
      <c r="E758" s="21" t="s">
        <v>5954</v>
      </c>
      <c r="F758" s="21" t="s">
        <v>70</v>
      </c>
      <c r="G758" s="21" t="s">
        <v>5946</v>
      </c>
      <c r="H758" s="21" t="s">
        <v>3840</v>
      </c>
      <c r="I758" s="21" t="s">
        <v>60</v>
      </c>
      <c r="J758" s="21" t="s">
        <v>3806</v>
      </c>
      <c r="K758" s="21" t="s">
        <v>43</v>
      </c>
      <c r="L758" s="21" t="s">
        <v>805</v>
      </c>
      <c r="M758" s="21" t="s">
        <v>5955</v>
      </c>
      <c r="N758" s="21" t="s">
        <v>5956</v>
      </c>
      <c r="O758" s="48" t="s">
        <v>5957</v>
      </c>
      <c r="P758" s="21" t="s">
        <v>75</v>
      </c>
      <c r="Q758" s="24" t="s">
        <v>65</v>
      </c>
      <c r="R758" s="21" t="s">
        <v>5958</v>
      </c>
      <c r="S758" s="21" t="s">
        <v>51</v>
      </c>
      <c r="T758" s="21" t="s">
        <v>52</v>
      </c>
      <c r="U758" s="21" t="s">
        <v>52</v>
      </c>
      <c r="V758" s="21" t="s">
        <v>52</v>
      </c>
      <c r="W758" s="45">
        <v>45968.0</v>
      </c>
      <c r="X758" s="49">
        <v>0.3909722222222222</v>
      </c>
      <c r="Y758" s="45">
        <v>45968.0</v>
      </c>
      <c r="Z758" s="49">
        <v>0.4791666666666667</v>
      </c>
      <c r="AA758" s="49">
        <v>0.5694444444444444</v>
      </c>
      <c r="AB758" s="29"/>
      <c r="AC758" s="29"/>
      <c r="AD758" s="25">
        <v>0.5833333333333334</v>
      </c>
      <c r="AE758" s="45">
        <v>45968.0</v>
      </c>
      <c r="AF758" s="21" t="s">
        <v>5952</v>
      </c>
      <c r="AG758" s="21" t="s">
        <v>78</v>
      </c>
      <c r="AH758" s="21" t="s">
        <v>5953</v>
      </c>
      <c r="AI758" s="62" t="str">
        <f>IFERROR(__xludf.DUMMYFUNCTION("IF(OR(W758="""",X758="""",AE758="""",AD758=""""),"""",
   TEXT(
     (
       (AE758+AD758 + IF(AE758+AD758 &lt; W758+X758,1,0)) - (W758+X758)
     )
     - IF(AND(AB758&lt;&gt;"""",AC758&lt;&gt;""""), 
          SUM(ARRAYFORMULA(SPLIT(AC758,"","") - SPLIT(AB758,"",""))"&amp;"), 
          0
       ),
     ""[hh]:mm""
   )
)
"),"04:37")</f>
        <v>04:37</v>
      </c>
      <c r="AJ758" s="27">
        <f t="shared" si="9"/>
        <v>0</v>
      </c>
      <c r="AK758" s="63" t="str">
        <f t="shared" si="10"/>
        <v>Pass</v>
      </c>
    </row>
    <row r="759">
      <c r="A759" s="45">
        <v>45967.0</v>
      </c>
      <c r="B759" s="49">
        <v>0.9291666666666667</v>
      </c>
      <c r="C759" s="45">
        <v>45968.0</v>
      </c>
      <c r="D759" s="80">
        <v>0.29444444444444445</v>
      </c>
      <c r="E759" s="21" t="s">
        <v>5959</v>
      </c>
      <c r="F759" s="21" t="s">
        <v>1891</v>
      </c>
      <c r="G759" s="21" t="s">
        <v>1892</v>
      </c>
      <c r="H759" s="21" t="s">
        <v>1287</v>
      </c>
      <c r="I759" s="21" t="s">
        <v>616</v>
      </c>
      <c r="J759" s="21" t="s">
        <v>4708</v>
      </c>
      <c r="K759" s="21" t="s">
        <v>61</v>
      </c>
      <c r="L759" s="21" t="s">
        <v>1699</v>
      </c>
      <c r="M759" s="21" t="s">
        <v>5960</v>
      </c>
      <c r="N759" s="21" t="s">
        <v>5961</v>
      </c>
      <c r="O759" s="48" t="s">
        <v>5962</v>
      </c>
      <c r="P759" s="21" t="s">
        <v>75</v>
      </c>
      <c r="Q759" s="24" t="s">
        <v>65</v>
      </c>
      <c r="R759" s="21" t="s">
        <v>5963</v>
      </c>
      <c r="S759" s="21" t="s">
        <v>51</v>
      </c>
      <c r="T759" s="21" t="s">
        <v>657</v>
      </c>
      <c r="U759" s="21" t="s">
        <v>5964</v>
      </c>
      <c r="V759" s="21" t="s">
        <v>5960</v>
      </c>
      <c r="W759" s="45">
        <v>45968.0</v>
      </c>
      <c r="X759" s="49">
        <v>0.29444444444444445</v>
      </c>
      <c r="Y759" s="45">
        <v>45968.0</v>
      </c>
      <c r="Z759" s="49">
        <v>0.5326388888888889</v>
      </c>
      <c r="AA759" s="49">
        <v>0.5402777777777777</v>
      </c>
      <c r="AB759" s="25">
        <v>0.5666666666666667</v>
      </c>
      <c r="AC759" s="25">
        <v>0.6618055555555555</v>
      </c>
      <c r="AD759" s="25">
        <v>0.7083333333333334</v>
      </c>
      <c r="AE759" s="45">
        <v>45968.0</v>
      </c>
      <c r="AF759" s="21" t="s">
        <v>2711</v>
      </c>
      <c r="AG759" s="21" t="s">
        <v>1562</v>
      </c>
      <c r="AH759" s="21" t="s">
        <v>5965</v>
      </c>
      <c r="AI759" s="62" t="str">
        <f>IFERROR(__xludf.DUMMYFUNCTION("IF(OR(W759="""",X759="""",AE759="""",AD759=""""),"""",
   TEXT(
     (
       (AE759+AD759 + IF(AE759+AD759 &lt; W759+X759,1,0)) - (W759+X759)
     )
     - IF(AND(AB759&lt;&gt;"""",AC759&lt;&gt;""""), 
          SUM(ARRAYFORMULA(SPLIT(AC759,"","") - SPLIT(AB759,"",""))"&amp;"), 
          0
       ),
     ""[hh]:mm""
   )
)
"),"07:39")</f>
        <v>07:39</v>
      </c>
      <c r="AJ759" s="27">
        <f t="shared" si="9"/>
        <v>0</v>
      </c>
      <c r="AK759" s="63" t="str">
        <f t="shared" si="10"/>
        <v>Pass</v>
      </c>
    </row>
    <row r="760">
      <c r="A760" s="45">
        <v>45967.0</v>
      </c>
      <c r="B760" s="49">
        <v>0.9541666666666667</v>
      </c>
      <c r="C760" s="45">
        <v>45968.0</v>
      </c>
      <c r="D760" s="80">
        <v>0.2965277777777778</v>
      </c>
      <c r="E760" s="21" t="s">
        <v>5966</v>
      </c>
      <c r="F760" s="21" t="s">
        <v>1891</v>
      </c>
      <c r="G760" s="21" t="s">
        <v>1892</v>
      </c>
      <c r="H760" s="21" t="s">
        <v>1287</v>
      </c>
      <c r="I760" s="21" t="s">
        <v>131</v>
      </c>
      <c r="J760" s="21" t="s">
        <v>4708</v>
      </c>
      <c r="K760" s="21" t="s">
        <v>61</v>
      </c>
      <c r="L760" s="21" t="s">
        <v>1699</v>
      </c>
      <c r="M760" s="21" t="s">
        <v>5967</v>
      </c>
      <c r="N760" s="21" t="s">
        <v>5968</v>
      </c>
      <c r="O760" s="48" t="s">
        <v>5969</v>
      </c>
      <c r="P760" s="21" t="s">
        <v>75</v>
      </c>
      <c r="Q760" s="24" t="s">
        <v>65</v>
      </c>
      <c r="R760" s="21" t="s">
        <v>5970</v>
      </c>
      <c r="S760" s="21" t="s">
        <v>51</v>
      </c>
      <c r="T760" s="21" t="s">
        <v>52</v>
      </c>
      <c r="U760" s="21" t="s">
        <v>52</v>
      </c>
      <c r="V760" s="21" t="s">
        <v>52</v>
      </c>
      <c r="W760" s="45">
        <v>45968.0</v>
      </c>
      <c r="X760" s="88">
        <v>0.2965277777777778</v>
      </c>
      <c r="Y760" s="45">
        <v>45968.0</v>
      </c>
      <c r="Z760" s="49">
        <v>0.5326388888888889</v>
      </c>
      <c r="AA760" s="49">
        <v>0.5402777777777777</v>
      </c>
      <c r="AB760" s="29"/>
      <c r="AC760" s="29"/>
      <c r="AD760" s="25">
        <v>0.5416666666666666</v>
      </c>
      <c r="AE760" s="45">
        <v>45968.0</v>
      </c>
      <c r="AF760" s="21" t="s">
        <v>2711</v>
      </c>
      <c r="AG760" s="21" t="s">
        <v>1562</v>
      </c>
      <c r="AH760" s="21" t="s">
        <v>5965</v>
      </c>
      <c r="AI760" s="62" t="str">
        <f>IFERROR(__xludf.DUMMYFUNCTION("IF(OR(W760="""",X760="""",AE760="""",AD760=""""),"""",
   TEXT(
     (
       (AE760+AD760 + IF(AE760+AD760 &lt; W760+X760,1,0)) - (W760+X760)
     )
     - IF(AND(AB760&lt;&gt;"""",AC760&lt;&gt;""""), 
          SUM(ARRAYFORMULA(SPLIT(AC760,"","") - SPLIT(AB760,"",""))"&amp;"), 
          0
       ),
     ""[hh]:mm""
   )
)
"),"05:53")</f>
        <v>05:53</v>
      </c>
      <c r="AJ760" s="27">
        <f t="shared" si="9"/>
        <v>0</v>
      </c>
      <c r="AK760" s="63" t="str">
        <f t="shared" si="10"/>
        <v>Pass</v>
      </c>
    </row>
    <row r="761">
      <c r="A761" s="45">
        <v>45968.0</v>
      </c>
      <c r="B761" s="49">
        <v>0.2465277777777778</v>
      </c>
      <c r="C761" s="45">
        <v>45968.0</v>
      </c>
      <c r="D761" s="49">
        <v>0.3020833333333333</v>
      </c>
      <c r="E761" s="21" t="s">
        <v>5971</v>
      </c>
      <c r="F761" s="21" t="s">
        <v>1064</v>
      </c>
      <c r="G761" s="21" t="s">
        <v>1065</v>
      </c>
      <c r="H761" s="21" t="s">
        <v>59</v>
      </c>
      <c r="I761" s="21" t="s">
        <v>616</v>
      </c>
      <c r="J761" s="21" t="s">
        <v>2253</v>
      </c>
      <c r="K761" s="21" t="s">
        <v>43</v>
      </c>
      <c r="L761" s="21" t="s">
        <v>805</v>
      </c>
      <c r="M761" s="21" t="s">
        <v>5972</v>
      </c>
      <c r="N761" s="21" t="s">
        <v>5973</v>
      </c>
      <c r="O761" s="48" t="s">
        <v>5974</v>
      </c>
      <c r="P761" s="21" t="s">
        <v>75</v>
      </c>
      <c r="Q761" s="24" t="s">
        <v>65</v>
      </c>
      <c r="R761" s="21" t="s">
        <v>5975</v>
      </c>
      <c r="S761" s="21" t="s">
        <v>51</v>
      </c>
      <c r="T761" s="21" t="s">
        <v>657</v>
      </c>
      <c r="U761" s="21" t="s">
        <v>5976</v>
      </c>
      <c r="V761" s="21" t="s">
        <v>5977</v>
      </c>
      <c r="W761" s="45">
        <v>45968.0</v>
      </c>
      <c r="X761" s="49">
        <v>0.3020833333333333</v>
      </c>
      <c r="Y761" s="45">
        <v>45968.0</v>
      </c>
      <c r="Z761" s="49">
        <v>0.4513888888888889</v>
      </c>
      <c r="AA761" s="49">
        <v>0.4548611111111111</v>
      </c>
      <c r="AB761" s="24" t="s">
        <v>5978</v>
      </c>
      <c r="AC761" s="24" t="s">
        <v>5979</v>
      </c>
      <c r="AD761" s="25">
        <v>0.7986111111111112</v>
      </c>
      <c r="AE761" s="45">
        <v>45968.0</v>
      </c>
      <c r="AF761" s="21" t="s">
        <v>2931</v>
      </c>
      <c r="AG761" s="21" t="s">
        <v>293</v>
      </c>
      <c r="AH761" s="21" t="s">
        <v>5980</v>
      </c>
      <c r="AI761" s="62" t="str">
        <f>IFERROR(__xludf.DUMMYFUNCTION("IF(OR(W761="""",X761="""",AE761="""",AD761=""""),"""",
   TEXT(
     (
       (AE761+AD761 + IF(AE761+AD761 &lt; W761+X761,1,0)) - (W761+X761)
     )
     - IF(AND(AB761&lt;&gt;"""",AC761&lt;&gt;""""), 
          SUM(ARRAYFORMULA(SPLIT(AC761,"","") - SPLIT(AB761,"",""))"&amp;"), 
          0
       ),
     ""[hh]:mm""
   )
)
"),"06:45")</f>
        <v>06:45</v>
      </c>
      <c r="AJ761" s="27">
        <f t="shared" si="9"/>
        <v>0</v>
      </c>
      <c r="AK761" s="63" t="str">
        <f t="shared" si="10"/>
        <v>Pass</v>
      </c>
    </row>
    <row r="762">
      <c r="A762" s="45">
        <v>45968.0</v>
      </c>
      <c r="B762" s="49">
        <v>0.4111111111111111</v>
      </c>
      <c r="C762" s="45">
        <v>45968.0</v>
      </c>
      <c r="D762" s="49">
        <v>0.41944444444444445</v>
      </c>
      <c r="E762" s="21" t="s">
        <v>5981</v>
      </c>
      <c r="F762" s="21" t="s">
        <v>92</v>
      </c>
      <c r="G762" s="21" t="s">
        <v>93</v>
      </c>
      <c r="H762" s="21" t="s">
        <v>182</v>
      </c>
      <c r="I762" s="21" t="s">
        <v>60</v>
      </c>
      <c r="J762" s="21" t="s">
        <v>3806</v>
      </c>
      <c r="K762" s="21" t="s">
        <v>43</v>
      </c>
      <c r="L762" s="21" t="s">
        <v>5982</v>
      </c>
      <c r="M762" s="21" t="s">
        <v>44</v>
      </c>
      <c r="N762" s="21" t="s">
        <v>5983</v>
      </c>
      <c r="O762" s="48" t="s">
        <v>5984</v>
      </c>
      <c r="P762" s="21" t="s">
        <v>187</v>
      </c>
      <c r="Q762" s="24" t="s">
        <v>65</v>
      </c>
      <c r="R762" s="21" t="s">
        <v>5985</v>
      </c>
      <c r="S762" s="21" t="s">
        <v>51</v>
      </c>
      <c r="T762" s="21" t="s">
        <v>324</v>
      </c>
      <c r="U762" s="21" t="s">
        <v>5986</v>
      </c>
      <c r="V762" s="21" t="s">
        <v>5987</v>
      </c>
      <c r="W762" s="45">
        <v>45968.0</v>
      </c>
      <c r="X762" s="49">
        <v>0.41944444444444445</v>
      </c>
      <c r="Y762" s="45">
        <v>45968.0</v>
      </c>
      <c r="Z762" s="49">
        <v>0.4840277777777778</v>
      </c>
      <c r="AA762" s="49">
        <v>0.48541666666666666</v>
      </c>
      <c r="AB762" s="85">
        <v>0.5</v>
      </c>
      <c r="AC762" s="85">
        <v>0.7916666666666666</v>
      </c>
      <c r="AD762" s="25">
        <v>0.9166666666666666</v>
      </c>
      <c r="AE762" s="45">
        <v>45968.0</v>
      </c>
      <c r="AF762" s="21" t="s">
        <v>2828</v>
      </c>
      <c r="AG762" s="21" t="s">
        <v>4384</v>
      </c>
      <c r="AH762" s="21" t="s">
        <v>5988</v>
      </c>
      <c r="AI762" s="62" t="str">
        <f>IFERROR(__xludf.DUMMYFUNCTION("IF(OR(W762="""",X762="""",AE762="""",AD762=""""),"""",
   TEXT(
     (
       (AE762+AD762 + IF(AE762+AD762 &lt; W762+X762,1,0)) - (W762+X762)
     )
     - IF(AND(AB762&lt;&gt;"""",AC762&lt;&gt;""""), 
          SUM(ARRAYFORMULA(SPLIT(AC762,"","") - SPLIT(AB762,"",""))"&amp;"), 
          0
       ),
     ""[hh]:mm""
   )
)
"),"04:56")</f>
        <v>04:56</v>
      </c>
      <c r="AJ762" s="27">
        <f t="shared" si="9"/>
        <v>0</v>
      </c>
      <c r="AK762" s="63" t="str">
        <f t="shared" si="10"/>
        <v>Pass</v>
      </c>
    </row>
    <row r="763">
      <c r="A763" s="45">
        <v>45968.0</v>
      </c>
      <c r="B763" s="49">
        <v>0.47638888888888886</v>
      </c>
      <c r="C763" s="45">
        <v>45968.0</v>
      </c>
      <c r="D763" s="49">
        <v>0.4875</v>
      </c>
      <c r="E763" s="21" t="s">
        <v>5989</v>
      </c>
      <c r="F763" s="21" t="s">
        <v>5846</v>
      </c>
      <c r="G763" s="21" t="s">
        <v>5847</v>
      </c>
      <c r="H763" s="21" t="s">
        <v>1744</v>
      </c>
      <c r="I763" s="21" t="s">
        <v>1745</v>
      </c>
      <c r="J763" s="21" t="s">
        <v>1745</v>
      </c>
      <c r="K763" s="21" t="s">
        <v>52</v>
      </c>
      <c r="L763" s="21" t="s">
        <v>52</v>
      </c>
      <c r="M763" s="21" t="s">
        <v>52</v>
      </c>
      <c r="N763" s="21" t="s">
        <v>5990</v>
      </c>
      <c r="O763" s="48" t="s">
        <v>5991</v>
      </c>
      <c r="P763" s="21" t="s">
        <v>75</v>
      </c>
      <c r="Q763" s="24" t="s">
        <v>198</v>
      </c>
      <c r="R763" s="21" t="s">
        <v>5992</v>
      </c>
      <c r="S763" s="21" t="s">
        <v>51</v>
      </c>
      <c r="T763" s="21" t="s">
        <v>52</v>
      </c>
      <c r="U763" s="21" t="s">
        <v>52</v>
      </c>
      <c r="V763" s="21" t="s">
        <v>52</v>
      </c>
      <c r="W763" s="45">
        <v>45968.0</v>
      </c>
      <c r="X763" s="49">
        <v>0.4875</v>
      </c>
      <c r="Y763" s="45">
        <v>45968.0</v>
      </c>
      <c r="Z763" s="49">
        <v>0.4875</v>
      </c>
      <c r="AA763" s="49">
        <v>0.5208333333333334</v>
      </c>
      <c r="AB763" s="29"/>
      <c r="AC763" s="29"/>
      <c r="AD763" s="25">
        <v>0.5833333333333334</v>
      </c>
      <c r="AE763" s="45">
        <v>45968.0</v>
      </c>
      <c r="AF763" s="21" t="s">
        <v>2730</v>
      </c>
      <c r="AG763" s="21" t="s">
        <v>3191</v>
      </c>
      <c r="AH763" s="21" t="s">
        <v>5993</v>
      </c>
      <c r="AI763" s="62" t="str">
        <f>IFERROR(__xludf.DUMMYFUNCTION("IF(OR(W763="""",X763="""",AE763="""",AD763=""""),"""",
   TEXT(
     (
       (AE763+AD763 + IF(AE763+AD763 &lt; W763+X763,1,0)) - (W763+X763)
     )
     - IF(AND(AB763&lt;&gt;"""",AC763&lt;&gt;""""), 
          SUM(ARRAYFORMULA(SPLIT(AC763,"","") - SPLIT(AB763,"",""))"&amp;"), 
          0
       ),
     ""[hh]:mm""
   )
)
"),"02:18")</f>
        <v>02:18</v>
      </c>
      <c r="AJ763" s="27">
        <f t="shared" si="9"/>
        <v>0</v>
      </c>
      <c r="AK763" s="63" t="str">
        <f t="shared" si="10"/>
        <v>Pass</v>
      </c>
    </row>
    <row r="764">
      <c r="A764" s="45">
        <v>45968.0</v>
      </c>
      <c r="B764" s="49">
        <v>0.5472222222222223</v>
      </c>
      <c r="C764" s="45">
        <v>45968.0</v>
      </c>
      <c r="D764" s="49">
        <v>0.5513888888888889</v>
      </c>
      <c r="E764" s="21" t="s">
        <v>5994</v>
      </c>
      <c r="F764" s="21" t="s">
        <v>92</v>
      </c>
      <c r="G764" s="21" t="s">
        <v>93</v>
      </c>
      <c r="H764" s="21" t="s">
        <v>746</v>
      </c>
      <c r="I764" s="21" t="s">
        <v>1162</v>
      </c>
      <c r="J764" s="21" t="s">
        <v>3806</v>
      </c>
      <c r="K764" s="21" t="s">
        <v>43</v>
      </c>
      <c r="L764" s="21" t="s">
        <v>5995</v>
      </c>
      <c r="M764" s="21">
        <v>2.01902250211E11</v>
      </c>
      <c r="N764" s="21" t="s">
        <v>5996</v>
      </c>
      <c r="O764" s="48" t="s">
        <v>5997</v>
      </c>
      <c r="P764" s="21" t="s">
        <v>75</v>
      </c>
      <c r="Q764" s="24" t="s">
        <v>49</v>
      </c>
      <c r="R764" s="21" t="s">
        <v>5998</v>
      </c>
      <c r="S764" s="21" t="s">
        <v>51</v>
      </c>
      <c r="T764" s="21" t="s">
        <v>5678</v>
      </c>
      <c r="U764" s="21">
        <v>2.02406280219E11</v>
      </c>
      <c r="V764" s="21">
        <v>2.01902250211E11</v>
      </c>
      <c r="W764" s="45">
        <v>45968.0</v>
      </c>
      <c r="X764" s="49">
        <v>0.5513888888888889</v>
      </c>
      <c r="Y764" s="45">
        <v>45968.0</v>
      </c>
      <c r="Z764" s="49">
        <v>0.4840277777777778</v>
      </c>
      <c r="AA764" s="49">
        <v>0.48541666666666666</v>
      </c>
      <c r="AB764" s="24" t="s">
        <v>5999</v>
      </c>
      <c r="AC764" s="24" t="s">
        <v>6000</v>
      </c>
      <c r="AD764" s="25">
        <v>0.9166666666666666</v>
      </c>
      <c r="AE764" s="45">
        <v>45968.0</v>
      </c>
      <c r="AF764" s="21" t="s">
        <v>2828</v>
      </c>
      <c r="AG764" s="21" t="s">
        <v>4384</v>
      </c>
      <c r="AH764" s="21" t="s">
        <v>5988</v>
      </c>
      <c r="AI764" s="62" t="str">
        <f>IFERROR(__xludf.DUMMYFUNCTION("IF(OR(W764="""",X764="""",AE764="""",AD764=""""),"""",
   TEXT(
     (
       (AE764+AD764 + IF(AE764+AD764 &lt; W764+X764,1,0)) - (W764+X764)
     )
     - IF(AND(AB764&lt;&gt;"""",AC764&lt;&gt;""""), 
          SUM(ARRAYFORMULA(SPLIT(AC764,"","") - SPLIT(AB764,"",""))"&amp;"), 
          0
       ),
     ""[hh]:mm""
   )
)
"),"03:16")</f>
        <v>03:16</v>
      </c>
      <c r="AJ764" s="27">
        <f t="shared" si="9"/>
        <v>0</v>
      </c>
      <c r="AK764" s="63" t="str">
        <f t="shared" si="10"/>
        <v>Pass</v>
      </c>
    </row>
    <row r="765">
      <c r="A765" s="45">
        <v>45968.0</v>
      </c>
      <c r="B765" s="49">
        <v>0.5472222222222223</v>
      </c>
      <c r="C765" s="45">
        <v>45968.0</v>
      </c>
      <c r="D765" s="80">
        <v>0.4597222222222222</v>
      </c>
      <c r="E765" s="21" t="s">
        <v>6001</v>
      </c>
      <c r="F765" s="21" t="s">
        <v>92</v>
      </c>
      <c r="G765" s="21" t="s">
        <v>93</v>
      </c>
      <c r="H765" s="21" t="s">
        <v>746</v>
      </c>
      <c r="I765" s="21" t="s">
        <v>1632</v>
      </c>
      <c r="J765" s="21" t="s">
        <v>3806</v>
      </c>
      <c r="K765" s="21" t="s">
        <v>43</v>
      </c>
      <c r="L765" s="21" t="s">
        <v>5995</v>
      </c>
      <c r="M765" s="21">
        <v>2.01902250211E11</v>
      </c>
      <c r="N765" s="21" t="s">
        <v>5996</v>
      </c>
      <c r="O765" s="48" t="s">
        <v>6002</v>
      </c>
      <c r="P765" s="21" t="s">
        <v>75</v>
      </c>
      <c r="Q765" s="24" t="s">
        <v>49</v>
      </c>
      <c r="R765" s="21" t="s">
        <v>6003</v>
      </c>
      <c r="S765" s="21" t="s">
        <v>51</v>
      </c>
      <c r="T765" s="21" t="s">
        <v>52</v>
      </c>
      <c r="U765" s="21" t="s">
        <v>52</v>
      </c>
      <c r="V765" s="21" t="s">
        <v>52</v>
      </c>
      <c r="W765" s="45">
        <v>45968.0</v>
      </c>
      <c r="X765" s="49">
        <v>0.5513888888888889</v>
      </c>
      <c r="Y765" s="45">
        <v>45968.0</v>
      </c>
      <c r="Z765" s="49">
        <v>0.4840277777777778</v>
      </c>
      <c r="AA765" s="49">
        <v>0.48541666666666666</v>
      </c>
      <c r="AB765" s="24" t="s">
        <v>5999</v>
      </c>
      <c r="AC765" s="24" t="s">
        <v>6000</v>
      </c>
      <c r="AD765" s="25">
        <v>0.9166666666666666</v>
      </c>
      <c r="AE765" s="45">
        <v>45968.0</v>
      </c>
      <c r="AF765" s="21" t="s">
        <v>2828</v>
      </c>
      <c r="AG765" s="21" t="s">
        <v>4384</v>
      </c>
      <c r="AH765" s="21" t="s">
        <v>5988</v>
      </c>
      <c r="AI765" s="62" t="str">
        <f>IFERROR(__xludf.DUMMYFUNCTION("IF(OR(W765="""",X765="""",AE765="""",AD765=""""),"""",
   TEXT(
     (
       (AE765+AD765 + IF(AE765+AD765 &lt; W765+X765,1,0)) - (W765+X765)
     )
     - IF(AND(AB765&lt;&gt;"""",AC765&lt;&gt;""""), 
          SUM(ARRAYFORMULA(SPLIT(AC765,"","") - SPLIT(AB765,"",""))"&amp;"), 
          0
       ),
     ""[hh]:mm""
   )
)
"),"03:16")</f>
        <v>03:16</v>
      </c>
      <c r="AJ765" s="27">
        <f t="shared" si="9"/>
        <v>0</v>
      </c>
      <c r="AK765" s="63" t="str">
        <f t="shared" si="10"/>
        <v>Pass</v>
      </c>
    </row>
    <row r="766">
      <c r="A766" s="45">
        <v>45968.0</v>
      </c>
      <c r="B766" s="49">
        <v>0.8527777777777777</v>
      </c>
      <c r="C766" s="45">
        <v>45968.0</v>
      </c>
      <c r="D766" s="49">
        <v>0.8555555555555555</v>
      </c>
      <c r="E766" s="21" t="s">
        <v>6004</v>
      </c>
      <c r="F766" s="21" t="s">
        <v>1053</v>
      </c>
      <c r="G766" s="21" t="s">
        <v>1054</v>
      </c>
      <c r="H766" s="21" t="s">
        <v>566</v>
      </c>
      <c r="I766" s="21" t="s">
        <v>991</v>
      </c>
      <c r="J766" s="47"/>
      <c r="K766" s="21" t="s">
        <v>386</v>
      </c>
      <c r="L766" s="21" t="s">
        <v>6005</v>
      </c>
      <c r="M766" s="21" t="s">
        <v>5589</v>
      </c>
      <c r="N766" s="21" t="s">
        <v>6006</v>
      </c>
      <c r="O766" s="48" t="s">
        <v>6007</v>
      </c>
      <c r="P766" s="21" t="s">
        <v>48</v>
      </c>
      <c r="Q766" s="24" t="s">
        <v>49</v>
      </c>
      <c r="R766" s="21" t="s">
        <v>6008</v>
      </c>
      <c r="S766" s="21" t="s">
        <v>51</v>
      </c>
      <c r="T766" s="21" t="s">
        <v>52</v>
      </c>
      <c r="U766" s="21" t="s">
        <v>52</v>
      </c>
      <c r="V766" s="21" t="s">
        <v>52</v>
      </c>
      <c r="W766" s="45">
        <v>45969.0</v>
      </c>
      <c r="X766" s="49">
        <v>0.34305555555555556</v>
      </c>
      <c r="Y766" s="45">
        <v>45969.0</v>
      </c>
      <c r="Z766" s="49">
        <v>0.34305555555555556</v>
      </c>
      <c r="AA766" s="49">
        <v>0.34375</v>
      </c>
      <c r="AB766" s="29"/>
      <c r="AC766" s="29"/>
      <c r="AD766" s="25">
        <v>0.3645833333333333</v>
      </c>
      <c r="AE766" s="45">
        <v>45969.0</v>
      </c>
      <c r="AF766" s="21" t="s">
        <v>2744</v>
      </c>
      <c r="AG766" s="21" t="s">
        <v>113</v>
      </c>
      <c r="AH766" s="21" t="s">
        <v>6009</v>
      </c>
      <c r="AI766" s="62" t="str">
        <f>IFERROR(__xludf.DUMMYFUNCTION("IF(OR(W766="""",X766="""",AE766="""",AD766=""""),"""",
   TEXT(
     (
       (AE766+AD766 + IF(AE766+AD766 &lt; W766+X766,1,0)) - (W766+X766)
     )
     - IF(AND(AB766&lt;&gt;"""",AC766&lt;&gt;""""), 
          SUM(ARRAYFORMULA(SPLIT(AC766,"","") - SPLIT(AB766,"",""))"&amp;"), 
          0
       ),
     ""[hh]:mm""
   )
)
"),"00:31")</f>
        <v>00:31</v>
      </c>
      <c r="AJ766" s="27">
        <f t="shared" si="9"/>
        <v>0</v>
      </c>
      <c r="AK766" s="63" t="str">
        <f t="shared" si="10"/>
        <v>Pass</v>
      </c>
    </row>
    <row r="767">
      <c r="A767" s="45">
        <v>45969.0</v>
      </c>
      <c r="B767" s="49">
        <v>0.7694444444444445</v>
      </c>
      <c r="C767" s="45">
        <v>45969.0</v>
      </c>
      <c r="D767" s="49">
        <v>0.7729166666666667</v>
      </c>
      <c r="E767" s="21" t="s">
        <v>6010</v>
      </c>
      <c r="F767" s="21" t="s">
        <v>1400</v>
      </c>
      <c r="G767" s="21" t="s">
        <v>1401</v>
      </c>
      <c r="H767" s="21" t="s">
        <v>566</v>
      </c>
      <c r="I767" s="21" t="s">
        <v>118</v>
      </c>
      <c r="J767" s="21" t="s">
        <v>4198</v>
      </c>
      <c r="K767" s="21" t="s">
        <v>72</v>
      </c>
      <c r="L767" s="21" t="s">
        <v>1815</v>
      </c>
      <c r="M767" s="21" t="s">
        <v>6011</v>
      </c>
      <c r="N767" s="21" t="s">
        <v>6012</v>
      </c>
      <c r="O767" s="48" t="s">
        <v>6013</v>
      </c>
      <c r="P767" s="21" t="s">
        <v>48</v>
      </c>
      <c r="Q767" s="24" t="s">
        <v>65</v>
      </c>
      <c r="R767" s="21" t="s">
        <v>6014</v>
      </c>
      <c r="S767" s="21" t="s">
        <v>51</v>
      </c>
      <c r="T767" s="21" t="s">
        <v>77</v>
      </c>
      <c r="U767" s="21" t="s">
        <v>6015</v>
      </c>
      <c r="V767" s="21" t="s">
        <v>6011</v>
      </c>
      <c r="W767" s="45">
        <v>45970.0</v>
      </c>
      <c r="X767" s="49">
        <v>0.41458333333333336</v>
      </c>
      <c r="Y767" s="45">
        <v>45970.0</v>
      </c>
      <c r="Z767" s="49">
        <v>0.6111111111111112</v>
      </c>
      <c r="AA767" s="49">
        <v>0.6145833333333334</v>
      </c>
      <c r="AB767" s="24" t="s">
        <v>6016</v>
      </c>
      <c r="AC767" s="24" t="s">
        <v>6017</v>
      </c>
      <c r="AD767" s="25">
        <v>0.6972222222222222</v>
      </c>
      <c r="AE767" s="45">
        <v>45970.0</v>
      </c>
      <c r="AF767" s="21" t="s">
        <v>2744</v>
      </c>
      <c r="AG767" s="21" t="s">
        <v>293</v>
      </c>
      <c r="AH767" s="21" t="s">
        <v>6018</v>
      </c>
      <c r="AI767" s="62" t="str">
        <f>IFERROR(__xludf.DUMMYFUNCTION("IF(OR(W767="""",X767="""",AE767="""",AD767=""""),"""",
   TEXT(
     (
       (AE767+AD767 + IF(AE767+AD767 &lt; W767+X767,1,0)) - (W767+X767)
     )
     - IF(AND(AB767&lt;&gt;"""",AC767&lt;&gt;""""), 
          SUM(ARRAYFORMULA(SPLIT(AC767,"","") - SPLIT(AB767,"",""))"&amp;"), 
          0
       ),
     ""[hh]:mm""
   )
)
"),"01:25")</f>
        <v>01:25</v>
      </c>
      <c r="AJ767" s="27">
        <f t="shared" si="9"/>
        <v>0</v>
      </c>
      <c r="AK767" s="63" t="str">
        <f t="shared" si="10"/>
        <v>Pass</v>
      </c>
    </row>
    <row r="768">
      <c r="A768" s="45">
        <v>45969.0</v>
      </c>
      <c r="B768" s="49">
        <v>0.9125</v>
      </c>
      <c r="C768" s="45">
        <v>45969.0</v>
      </c>
      <c r="D768" s="49">
        <v>0.9173611111111111</v>
      </c>
      <c r="E768" s="21" t="s">
        <v>6019</v>
      </c>
      <c r="F768" s="21" t="s">
        <v>526</v>
      </c>
      <c r="G768" s="21" t="s">
        <v>873</v>
      </c>
      <c r="H768" s="21" t="s">
        <v>130</v>
      </c>
      <c r="I768" s="21" t="s">
        <v>991</v>
      </c>
      <c r="J768" s="47"/>
      <c r="K768" s="21" t="s">
        <v>386</v>
      </c>
      <c r="L768" s="21" t="s">
        <v>6020</v>
      </c>
      <c r="M768" s="21" t="s">
        <v>6021</v>
      </c>
      <c r="N768" s="21" t="s">
        <v>6022</v>
      </c>
      <c r="O768" s="48" t="s">
        <v>6023</v>
      </c>
      <c r="P768" s="21" t="s">
        <v>75</v>
      </c>
      <c r="Q768" s="24" t="s">
        <v>49</v>
      </c>
      <c r="R768" s="21" t="s">
        <v>6024</v>
      </c>
      <c r="S768" s="21" t="s">
        <v>51</v>
      </c>
      <c r="T768" s="21" t="s">
        <v>52</v>
      </c>
      <c r="U768" s="21" t="s">
        <v>52</v>
      </c>
      <c r="V768" s="21" t="s">
        <v>52</v>
      </c>
      <c r="W768" s="45">
        <v>45970.0</v>
      </c>
      <c r="X768" s="49">
        <v>0.4166666666666667</v>
      </c>
      <c r="Y768" s="45">
        <v>45970.0</v>
      </c>
      <c r="Z768" s="49">
        <v>0.4284722222222222</v>
      </c>
      <c r="AA768" s="49">
        <v>0.4305555555555556</v>
      </c>
      <c r="AB768" s="49">
        <v>0.4375</v>
      </c>
      <c r="AC768" s="85">
        <v>0.5555555555555556</v>
      </c>
      <c r="AD768" s="85">
        <v>0.5590277777777778</v>
      </c>
      <c r="AE768" s="45">
        <v>45970.0</v>
      </c>
      <c r="AF768" s="21" t="s">
        <v>6025</v>
      </c>
      <c r="AG768" s="21" t="s">
        <v>879</v>
      </c>
      <c r="AH768" s="21" t="s">
        <v>6026</v>
      </c>
      <c r="AI768" s="62" t="str">
        <f>IFERROR(__xludf.DUMMYFUNCTION("IF(OR(W768="""",X768="""",AE768="""",AD768=""""),"""",
   TEXT(
     (
       (AE768+AD768 + IF(AE768+AD768 &lt; W768+X768,1,0)) - (W768+X768)
     )
     - IF(AND(AB768&lt;&gt;"""",AC768&lt;&gt;""""), 
          SUM(ARRAYFORMULA(SPLIT(AC768,"","") - SPLIT(AB768,"",""))"&amp;"), 
          0
       ),
     ""[hh]:mm""
   )
)
"),"00:35")</f>
        <v>00:35</v>
      </c>
      <c r="AJ768" s="27">
        <f t="shared" si="9"/>
        <v>0</v>
      </c>
      <c r="AK768" s="63" t="str">
        <f t="shared" si="10"/>
        <v>Pass</v>
      </c>
    </row>
    <row r="769">
      <c r="A769" s="45">
        <v>45967.0</v>
      </c>
      <c r="B769" s="49">
        <v>0.5791666666666667</v>
      </c>
      <c r="C769" s="45">
        <v>45967.0</v>
      </c>
      <c r="D769" s="49">
        <v>0.5854166666666667</v>
      </c>
      <c r="E769" s="21" t="s">
        <v>6027</v>
      </c>
      <c r="F769" s="21" t="s">
        <v>613</v>
      </c>
      <c r="G769" s="21" t="s">
        <v>6028</v>
      </c>
      <c r="H769" s="21" t="s">
        <v>156</v>
      </c>
      <c r="I769" s="21" t="s">
        <v>60</v>
      </c>
      <c r="J769" s="21" t="s">
        <v>3806</v>
      </c>
      <c r="K769" s="21" t="s">
        <v>43</v>
      </c>
      <c r="L769" s="21" t="s">
        <v>805</v>
      </c>
      <c r="M769" s="21" t="s">
        <v>618</v>
      </c>
      <c r="N769" s="21" t="s">
        <v>3425</v>
      </c>
      <c r="O769" s="48" t="s">
        <v>6029</v>
      </c>
      <c r="P769" s="21" t="s">
        <v>75</v>
      </c>
      <c r="Q769" s="24" t="s">
        <v>65</v>
      </c>
      <c r="R769" s="21" t="s">
        <v>4952</v>
      </c>
      <c r="S769" s="21" t="s">
        <v>51</v>
      </c>
      <c r="T769" s="21" t="s">
        <v>657</v>
      </c>
      <c r="U769" s="21" t="s">
        <v>6030</v>
      </c>
      <c r="V769" s="21" t="s">
        <v>618</v>
      </c>
      <c r="W769" s="45">
        <v>45970.0</v>
      </c>
      <c r="X769" s="49">
        <v>0.3715277777777778</v>
      </c>
      <c r="Y769" s="45">
        <v>45970.0</v>
      </c>
      <c r="Z769" s="49">
        <v>0.6034722222222222</v>
      </c>
      <c r="AA769" s="49">
        <v>0.6041666666666666</v>
      </c>
      <c r="AB769" s="24" t="s">
        <v>6031</v>
      </c>
      <c r="AC769" s="24" t="s">
        <v>6032</v>
      </c>
      <c r="AD769" s="25">
        <v>0.7291666666666666</v>
      </c>
      <c r="AE769" s="45">
        <v>45970.0</v>
      </c>
      <c r="AF769" s="21" t="s">
        <v>2744</v>
      </c>
      <c r="AG769" s="21" t="s">
        <v>239</v>
      </c>
      <c r="AH769" s="21" t="s">
        <v>624</v>
      </c>
      <c r="AI769" s="62" t="str">
        <f>IFERROR(__xludf.DUMMYFUNCTION("IF(OR(W769="""",X769="""",AE769="""",AD769=""""),"""",
   TEXT(
     (
       (AE769+AD769 + IF(AE769+AD769 &lt; W769+X769,1,0)) - (W769+X769)
     )
     - IF(AND(AB769&lt;&gt;"""",AC769&lt;&gt;""""), 
          SUM(ARRAYFORMULA(SPLIT(AC769,"","") - SPLIT(AB769,"",""))"&amp;"), 
          0
       ),
     ""[hh]:mm""
   )
)
"),"06:26")</f>
        <v>06:26</v>
      </c>
      <c r="AJ769" s="27">
        <f t="shared" si="9"/>
        <v>0</v>
      </c>
      <c r="AK769" s="63" t="str">
        <f t="shared" si="10"/>
        <v>Pass</v>
      </c>
    </row>
    <row r="770">
      <c r="A770" s="45">
        <v>45970.0</v>
      </c>
      <c r="B770" s="49">
        <v>0.30416666666666664</v>
      </c>
      <c r="C770" s="45">
        <v>45970.0</v>
      </c>
      <c r="D770" s="49">
        <v>0.37777777777777777</v>
      </c>
      <c r="E770" s="21" t="s">
        <v>6033</v>
      </c>
      <c r="F770" s="21" t="s">
        <v>526</v>
      </c>
      <c r="G770" s="21" t="s">
        <v>873</v>
      </c>
      <c r="H770" s="21" t="s">
        <v>59</v>
      </c>
      <c r="I770" s="21" t="s">
        <v>644</v>
      </c>
      <c r="J770" s="21" t="s">
        <v>644</v>
      </c>
      <c r="K770" s="21" t="s">
        <v>143</v>
      </c>
      <c r="L770" s="21" t="s">
        <v>6034</v>
      </c>
      <c r="M770" s="21" t="s">
        <v>6035</v>
      </c>
      <c r="N770" s="21" t="s">
        <v>6036</v>
      </c>
      <c r="O770" s="48" t="s">
        <v>6037</v>
      </c>
      <c r="P770" s="21" t="s">
        <v>75</v>
      </c>
      <c r="Q770" s="24" t="s">
        <v>65</v>
      </c>
      <c r="R770" s="21" t="s">
        <v>6038</v>
      </c>
      <c r="S770" s="21" t="s">
        <v>51</v>
      </c>
      <c r="T770" s="21" t="s">
        <v>52</v>
      </c>
      <c r="U770" s="21" t="s">
        <v>52</v>
      </c>
      <c r="V770" s="21" t="s">
        <v>52</v>
      </c>
      <c r="W770" s="45">
        <v>45970.0</v>
      </c>
      <c r="X770" s="49">
        <v>0.37777777777777777</v>
      </c>
      <c r="Y770" s="45">
        <v>45970.0</v>
      </c>
      <c r="Z770" s="49">
        <v>0.4284722222222222</v>
      </c>
      <c r="AA770" s="49">
        <v>0.4305555555555556</v>
      </c>
      <c r="AB770" s="25">
        <v>0.4375</v>
      </c>
      <c r="AC770" s="85">
        <v>0.5555555555555556</v>
      </c>
      <c r="AD770" s="85">
        <v>0.5590277777777778</v>
      </c>
      <c r="AE770" s="45">
        <v>45970.0</v>
      </c>
      <c r="AF770" s="21" t="s">
        <v>2711</v>
      </c>
      <c r="AG770" s="21" t="s">
        <v>879</v>
      </c>
      <c r="AH770" s="21" t="s">
        <v>6026</v>
      </c>
      <c r="AI770" s="62" t="str">
        <f>IFERROR(__xludf.DUMMYFUNCTION("IF(OR(W770="""",X770="""",AE770="""",AD770=""""),"""",
   TEXT(
     (
       (AE770+AD770 + IF(AE770+AD770 &lt; W770+X770,1,0)) - (W770+X770)
     )
     - IF(AND(AB770&lt;&gt;"""",AC770&lt;&gt;""""), 
          SUM(ARRAYFORMULA(SPLIT(AC770,"","") - SPLIT(AB770,"",""))"&amp;"), 
          0
       ),
     ""[hh]:mm""
   )
)
"),"01:31")</f>
        <v>01:31</v>
      </c>
      <c r="AJ770" s="27">
        <f t="shared" si="9"/>
        <v>0</v>
      </c>
      <c r="AK770" s="63" t="str">
        <f t="shared" si="10"/>
        <v>Pass</v>
      </c>
    </row>
    <row r="771">
      <c r="A771" s="45">
        <v>45970.0</v>
      </c>
      <c r="B771" s="49">
        <v>0.7034722222222223</v>
      </c>
      <c r="C771" s="45">
        <v>45970.0</v>
      </c>
      <c r="D771" s="49">
        <v>0.7166666666666667</v>
      </c>
      <c r="E771" s="21" t="s">
        <v>6039</v>
      </c>
      <c r="F771" s="21" t="s">
        <v>3633</v>
      </c>
      <c r="G771" s="21" t="s">
        <v>6040</v>
      </c>
      <c r="H771" s="21" t="s">
        <v>6041</v>
      </c>
      <c r="I771" s="21" t="s">
        <v>107</v>
      </c>
      <c r="J771" s="21" t="s">
        <v>3806</v>
      </c>
      <c r="K771" s="21" t="s">
        <v>43</v>
      </c>
      <c r="L771" s="21" t="s">
        <v>6042</v>
      </c>
      <c r="M771" s="21" t="s">
        <v>6043</v>
      </c>
      <c r="N771" s="21" t="s">
        <v>6044</v>
      </c>
      <c r="O771" s="48" t="s">
        <v>6045</v>
      </c>
      <c r="P771" s="21" t="s">
        <v>75</v>
      </c>
      <c r="Q771" s="24" t="s">
        <v>49</v>
      </c>
      <c r="R771" s="21" t="s">
        <v>6046</v>
      </c>
      <c r="S771" s="21" t="s">
        <v>51</v>
      </c>
      <c r="T771" s="21" t="s">
        <v>52</v>
      </c>
      <c r="U771" s="21" t="s">
        <v>52</v>
      </c>
      <c r="V771" s="21" t="s">
        <v>52</v>
      </c>
      <c r="W771" s="45">
        <v>45971.0</v>
      </c>
      <c r="X771" s="49">
        <v>0.33541666666666664</v>
      </c>
      <c r="Y771" s="45">
        <v>45971.0</v>
      </c>
      <c r="Z771" s="49">
        <v>0.43333333333333335</v>
      </c>
      <c r="AA771" s="49">
        <v>0.4375</v>
      </c>
      <c r="AB771" s="29"/>
      <c r="AC771" s="29"/>
      <c r="AD771" s="25">
        <v>0.46041666666666664</v>
      </c>
      <c r="AE771" s="45">
        <v>45971.0</v>
      </c>
      <c r="AF771" s="21" t="s">
        <v>2711</v>
      </c>
      <c r="AG771" s="21" t="s">
        <v>113</v>
      </c>
      <c r="AH771" s="21" t="s">
        <v>6047</v>
      </c>
      <c r="AI771" s="62" t="str">
        <f>IFERROR(__xludf.DUMMYFUNCTION("IF(OR(W771="""",X771="""",AE771="""",AD771=""""),"""",
   TEXT(
     (
       (AE771+AD771 + IF(AE771+AD771 &lt; W771+X771,1,0)) - (W771+X771)
     )
     - IF(AND(AB771&lt;&gt;"""",AC771&lt;&gt;""""), 
          SUM(ARRAYFORMULA(SPLIT(AC771,"","") - SPLIT(AB771,"",""))"&amp;"), 
          0
       ),
     ""[hh]:mm""
   )
)
"),"03:00")</f>
        <v>03:00</v>
      </c>
      <c r="AJ771" s="27">
        <f t="shared" si="9"/>
        <v>0</v>
      </c>
      <c r="AK771" s="63" t="str">
        <f t="shared" si="10"/>
        <v>Pass</v>
      </c>
    </row>
    <row r="772">
      <c r="A772" s="18">
        <v>45970.0</v>
      </c>
      <c r="B772" s="20">
        <v>0.7201388888888889</v>
      </c>
      <c r="C772" s="18">
        <v>45970.0</v>
      </c>
      <c r="D772" s="20">
        <v>0.7263888888888889</v>
      </c>
      <c r="E772" s="22" t="s">
        <v>6048</v>
      </c>
      <c r="F772" s="22" t="s">
        <v>3791</v>
      </c>
      <c r="G772" s="22" t="s">
        <v>6049</v>
      </c>
      <c r="H772" s="22" t="s">
        <v>2549</v>
      </c>
      <c r="I772" s="22" t="s">
        <v>644</v>
      </c>
      <c r="J772" s="22" t="s">
        <v>644</v>
      </c>
      <c r="K772" s="22" t="s">
        <v>143</v>
      </c>
      <c r="L772" s="22" t="s">
        <v>6050</v>
      </c>
      <c r="M772" s="22" t="s">
        <v>3794</v>
      </c>
      <c r="N772" s="22" t="s">
        <v>6051</v>
      </c>
      <c r="O772" s="23" t="s">
        <v>6052</v>
      </c>
      <c r="P772" s="22" t="s">
        <v>75</v>
      </c>
      <c r="Q772" s="50" t="s">
        <v>65</v>
      </c>
      <c r="R772" s="22" t="s">
        <v>6053</v>
      </c>
      <c r="S772" s="22" t="s">
        <v>51</v>
      </c>
      <c r="T772" s="22" t="s">
        <v>6054</v>
      </c>
      <c r="U772" s="22" t="s">
        <v>6055</v>
      </c>
      <c r="V772" s="22" t="s">
        <v>6056</v>
      </c>
      <c r="W772" s="18">
        <v>45971.0</v>
      </c>
      <c r="X772" s="20">
        <v>0.6888888888888889</v>
      </c>
      <c r="Y772" s="18">
        <v>45971.0</v>
      </c>
      <c r="Z772" s="20">
        <v>0.7291666666666666</v>
      </c>
      <c r="AA772" s="20">
        <v>0.7326388888888888</v>
      </c>
      <c r="AB772" s="54"/>
      <c r="AC772" s="54"/>
      <c r="AD772" s="51">
        <v>0.7847222222222222</v>
      </c>
      <c r="AE772" s="18">
        <v>45971.0</v>
      </c>
      <c r="AF772" s="22" t="s">
        <v>3218</v>
      </c>
      <c r="AG772" s="22" t="s">
        <v>54</v>
      </c>
      <c r="AH772" s="22" t="s">
        <v>3942</v>
      </c>
      <c r="AI772" s="26" t="str">
        <f>IFERROR(__xludf.DUMMYFUNCTION("IF(OR(W772="""",X772="""",AE772="""",AD772=""""),"""",
   TEXT(
     (
       (AE772+AD772 + IF(AE772+AD772 &lt; W772+X772,1,0)) - (W772+X772)
     )
     - IF(AND(AB772&lt;&gt;"""",AC772&lt;&gt;""""), 
          SUM(ARRAYFORMULA(SPLIT(AC772,"","") - SPLIT(AB772,"",""))"&amp;"), 
          0
       ),
     ""[hh]:mm""
   )
)
"),"02:18")</f>
        <v>02:18</v>
      </c>
      <c r="AJ772" s="55">
        <f t="shared" si="9"/>
        <v>0</v>
      </c>
      <c r="AK772" s="28" t="str">
        <f t="shared" si="10"/>
        <v>Pass</v>
      </c>
    </row>
    <row r="773">
      <c r="A773" s="18">
        <v>45970.0</v>
      </c>
      <c r="B773" s="20">
        <v>0.7361111111111112</v>
      </c>
      <c r="C773" s="18">
        <v>45970.0</v>
      </c>
      <c r="D773" s="20">
        <v>0.7472222222222222</v>
      </c>
      <c r="E773" s="22" t="s">
        <v>6057</v>
      </c>
      <c r="F773" s="22" t="s">
        <v>6058</v>
      </c>
      <c r="G773" s="22" t="s">
        <v>6059</v>
      </c>
      <c r="H773" s="22" t="s">
        <v>1287</v>
      </c>
      <c r="I773" s="22" t="s">
        <v>60</v>
      </c>
      <c r="J773" s="22" t="s">
        <v>3806</v>
      </c>
      <c r="K773" s="22" t="s">
        <v>43</v>
      </c>
      <c r="L773" s="22" t="s">
        <v>1010</v>
      </c>
      <c r="M773" s="22" t="s">
        <v>6060</v>
      </c>
      <c r="N773" s="22" t="s">
        <v>6061</v>
      </c>
      <c r="O773" s="23" t="s">
        <v>6062</v>
      </c>
      <c r="P773" s="22" t="s">
        <v>75</v>
      </c>
      <c r="Q773" s="50" t="s">
        <v>65</v>
      </c>
      <c r="R773" s="22" t="s">
        <v>6063</v>
      </c>
      <c r="S773" s="22" t="s">
        <v>51</v>
      </c>
      <c r="T773" s="22" t="s">
        <v>2253</v>
      </c>
      <c r="U773" s="22" t="s">
        <v>6064</v>
      </c>
      <c r="V773" s="22" t="s">
        <v>6060</v>
      </c>
      <c r="W773" s="18">
        <v>45971.0</v>
      </c>
      <c r="X773" s="20">
        <v>0.4513888888888889</v>
      </c>
      <c r="Y773" s="18">
        <v>45971.0</v>
      </c>
      <c r="Z773" s="20">
        <v>0.7361111111111112</v>
      </c>
      <c r="AA773" s="20">
        <v>0.7395833333333334</v>
      </c>
      <c r="AB773" s="54"/>
      <c r="AC773" s="54"/>
      <c r="AD773" s="51">
        <v>0.7472222222222222</v>
      </c>
      <c r="AE773" s="18">
        <v>45971.0</v>
      </c>
      <c r="AF773" s="22" t="s">
        <v>2744</v>
      </c>
      <c r="AG773" s="22" t="s">
        <v>162</v>
      </c>
      <c r="AH773" s="22" t="s">
        <v>6065</v>
      </c>
      <c r="AI773" s="26" t="str">
        <f>IFERROR(__xludf.DUMMYFUNCTION("IF(OR(W773="""",X773="""",AE773="""",AD773=""""),"""",
   TEXT(
     (
       (AE773+AD773 + IF(AE773+AD773 &lt; W773+X773,1,0)) - (W773+X773)
     )
     - IF(AND(AB773&lt;&gt;"""",AC773&lt;&gt;""""), 
          SUM(ARRAYFORMULA(SPLIT(AC773,"","") - SPLIT(AB773,"",""))"&amp;"), 
          0
       ),
     ""[hh]:mm""
   )
)
"),"07:06")</f>
        <v>07:06</v>
      </c>
      <c r="AJ773" s="55">
        <f t="shared" si="9"/>
        <v>0</v>
      </c>
      <c r="AK773" s="28" t="str">
        <f t="shared" si="10"/>
        <v>Pass</v>
      </c>
    </row>
    <row r="774">
      <c r="A774" s="18">
        <v>45970.0</v>
      </c>
      <c r="B774" s="20">
        <v>0.7756944444444445</v>
      </c>
      <c r="C774" s="18">
        <v>45970.0</v>
      </c>
      <c r="D774" s="20">
        <v>0.7826388888888889</v>
      </c>
      <c r="E774" s="22" t="s">
        <v>6066</v>
      </c>
      <c r="F774" s="22" t="s">
        <v>1210</v>
      </c>
      <c r="G774" s="22" t="s">
        <v>1211</v>
      </c>
      <c r="H774" s="22" t="s">
        <v>253</v>
      </c>
      <c r="I774" s="22" t="s">
        <v>234</v>
      </c>
      <c r="J774" s="22" t="s">
        <v>3813</v>
      </c>
      <c r="K774" s="22" t="s">
        <v>61</v>
      </c>
      <c r="L774" s="22" t="s">
        <v>183</v>
      </c>
      <c r="M774" s="22" t="s">
        <v>6067</v>
      </c>
      <c r="N774" s="22" t="s">
        <v>6068</v>
      </c>
      <c r="O774" s="23" t="s">
        <v>6069</v>
      </c>
      <c r="P774" s="22" t="s">
        <v>75</v>
      </c>
      <c r="Q774" s="50" t="s">
        <v>65</v>
      </c>
      <c r="R774" s="22" t="s">
        <v>6070</v>
      </c>
      <c r="S774" s="22" t="s">
        <v>51</v>
      </c>
      <c r="T774" s="22" t="s">
        <v>52</v>
      </c>
      <c r="U774" s="22" t="s">
        <v>52</v>
      </c>
      <c r="V774" s="22" t="s">
        <v>52</v>
      </c>
      <c r="W774" s="18">
        <v>45971.0</v>
      </c>
      <c r="X774" s="20">
        <v>0.5833333333333334</v>
      </c>
      <c r="Y774" s="18">
        <v>45971.0</v>
      </c>
      <c r="Z774" s="20">
        <v>0.5895833333333333</v>
      </c>
      <c r="AA774" s="20">
        <v>0.5909722222222222</v>
      </c>
      <c r="AB774" s="54"/>
      <c r="AC774" s="54"/>
      <c r="AD774" s="51">
        <v>0.6597222222222222</v>
      </c>
      <c r="AE774" s="18">
        <v>45971.0</v>
      </c>
      <c r="AF774" s="22" t="s">
        <v>2957</v>
      </c>
      <c r="AG774" s="22" t="s">
        <v>313</v>
      </c>
      <c r="AH774" s="31"/>
      <c r="AI774" s="26" t="str">
        <f>IFERROR(__xludf.DUMMYFUNCTION("IF(OR(W774="""",X774="""",AE774="""",AD774=""""),"""",
   TEXT(
     (
       (AE774+AD774 + IF(AE774+AD774 &lt; W774+X774,1,0)) - (W774+X774)
     )
     - IF(AND(AB774&lt;&gt;"""",AC774&lt;&gt;""""), 
          SUM(ARRAYFORMULA(SPLIT(AC774,"","") - SPLIT(AB774,"",""))"&amp;"), 
          0
       ),
     ""[hh]:mm""
   )
)
"),"01:50")</f>
        <v>01:50</v>
      </c>
      <c r="AJ774" s="55">
        <f t="shared" si="9"/>
        <v>0</v>
      </c>
      <c r="AK774" s="28" t="str">
        <f t="shared" si="10"/>
        <v>Pass</v>
      </c>
    </row>
    <row r="775">
      <c r="A775" s="45">
        <v>45971.0</v>
      </c>
      <c r="B775" s="49">
        <v>0.41388888888888886</v>
      </c>
      <c r="C775" s="45">
        <v>45971.0</v>
      </c>
      <c r="D775" s="49">
        <v>0.4152777777777778</v>
      </c>
      <c r="E775" s="21" t="s">
        <v>6071</v>
      </c>
      <c r="F775" s="95" t="s">
        <v>6072</v>
      </c>
      <c r="G775" s="21" t="s">
        <v>6073</v>
      </c>
      <c r="H775" s="21" t="s">
        <v>6074</v>
      </c>
      <c r="I775" s="21" t="s">
        <v>644</v>
      </c>
      <c r="J775" s="21" t="s">
        <v>644</v>
      </c>
      <c r="K775" s="21" t="s">
        <v>333</v>
      </c>
      <c r="L775" s="21" t="s">
        <v>6075</v>
      </c>
      <c r="M775" s="21" t="s">
        <v>6076</v>
      </c>
      <c r="N775" s="21" t="s">
        <v>6077</v>
      </c>
      <c r="O775" s="48" t="s">
        <v>6078</v>
      </c>
      <c r="P775" s="21" t="s">
        <v>187</v>
      </c>
      <c r="Q775" s="24" t="s">
        <v>65</v>
      </c>
      <c r="R775" s="96" t="s">
        <v>6079</v>
      </c>
      <c r="S775" s="21" t="s">
        <v>51</v>
      </c>
      <c r="T775" s="21" t="s">
        <v>52</v>
      </c>
      <c r="U775" s="21" t="s">
        <v>52</v>
      </c>
      <c r="V775" s="21" t="s">
        <v>52</v>
      </c>
      <c r="W775" s="45">
        <v>45971.0</v>
      </c>
      <c r="X775" s="49">
        <v>0.6013888888888889</v>
      </c>
      <c r="Y775" s="45">
        <v>45971.0</v>
      </c>
      <c r="Z775" s="49">
        <v>0.7722222222222223</v>
      </c>
      <c r="AA775" s="49">
        <v>0.7729166666666667</v>
      </c>
      <c r="AB775" s="29"/>
      <c r="AC775" s="29"/>
      <c r="AD775" s="25">
        <v>0.8013888888888889</v>
      </c>
      <c r="AE775" s="45">
        <v>45971.0</v>
      </c>
      <c r="AF775" s="21" t="s">
        <v>53</v>
      </c>
      <c r="AG775" s="21" t="s">
        <v>3197</v>
      </c>
      <c r="AH775" s="21" t="s">
        <v>6080</v>
      </c>
      <c r="AI775" s="62" t="str">
        <f>IFERROR(__xludf.DUMMYFUNCTION("IF(OR(W775="""",X775="""",AE775="""",AD775=""""),"""",
   TEXT(
     (
       (AE775+AD775 + IF(AE775+AD775 &lt; W775+X775,1,0)) - (W775+X775)
     )
     - IF(AND(AB775&lt;&gt;"""",AC775&lt;&gt;""""), 
          SUM(ARRAYFORMULA(SPLIT(AC775,"","") - SPLIT(AB775,"",""))"&amp;"), 
          0
       ),
     ""[hh]:mm""
   )
)
"),"04:48")</f>
        <v>04:48</v>
      </c>
      <c r="AJ775" s="27">
        <f t="shared" si="9"/>
        <v>0</v>
      </c>
      <c r="AK775" s="63" t="str">
        <f t="shared" si="10"/>
        <v>Pass</v>
      </c>
    </row>
    <row r="776">
      <c r="A776" s="18">
        <v>45971.0</v>
      </c>
      <c r="B776" s="20">
        <v>0.42986111111111114</v>
      </c>
      <c r="C776" s="18">
        <v>45971.0</v>
      </c>
      <c r="D776" s="20">
        <v>0.43333333333333335</v>
      </c>
      <c r="E776" s="22" t="s">
        <v>6081</v>
      </c>
      <c r="F776" s="22" t="s">
        <v>2921</v>
      </c>
      <c r="G776" s="22" t="s">
        <v>6082</v>
      </c>
      <c r="H776" s="22" t="s">
        <v>1610</v>
      </c>
      <c r="I776" s="22" t="s">
        <v>1612</v>
      </c>
      <c r="J776" s="22" t="s">
        <v>1612</v>
      </c>
      <c r="K776" s="22" t="s">
        <v>143</v>
      </c>
      <c r="L776" s="22" t="s">
        <v>1613</v>
      </c>
      <c r="M776" s="22" t="s">
        <v>6083</v>
      </c>
      <c r="N776" s="22" t="s">
        <v>6084</v>
      </c>
      <c r="O776" s="23" t="s">
        <v>6085</v>
      </c>
      <c r="P776" s="22" t="s">
        <v>187</v>
      </c>
      <c r="Q776" s="50" t="s">
        <v>65</v>
      </c>
      <c r="R776" s="22" t="s">
        <v>6086</v>
      </c>
      <c r="S776" s="22" t="s">
        <v>51</v>
      </c>
      <c r="T776" s="21" t="s">
        <v>52</v>
      </c>
      <c r="U776" s="21" t="s">
        <v>52</v>
      </c>
      <c r="V776" s="21" t="s">
        <v>52</v>
      </c>
      <c r="W776" s="18">
        <v>45971.0</v>
      </c>
      <c r="X776" s="20">
        <v>0.43333333333333335</v>
      </c>
      <c r="Y776" s="18">
        <v>45971.0</v>
      </c>
      <c r="Z776" s="20">
        <v>0.6361111111111111</v>
      </c>
      <c r="AA776" s="20">
        <v>0.6388888888888888</v>
      </c>
      <c r="AB776" s="54"/>
      <c r="AC776" s="54"/>
      <c r="AD776" s="51">
        <v>0.7083333333333334</v>
      </c>
      <c r="AE776" s="45">
        <v>45971.0</v>
      </c>
      <c r="AF776" s="22" t="s">
        <v>2839</v>
      </c>
      <c r="AG776" s="22" t="s">
        <v>2086</v>
      </c>
      <c r="AH776" s="22" t="s">
        <v>6087</v>
      </c>
      <c r="AI776" s="26" t="str">
        <f>IFERROR(__xludf.DUMMYFUNCTION("IF(OR(W776="""",X776="""",AE776="""",AD776=""""),"""",
   TEXT(
     (
       (AE776+AD776 + IF(AE776+AD776 &lt; W776+X776,1,0)) - (W776+X776)
     )
     - IF(AND(AB776&lt;&gt;"""",AC776&lt;&gt;""""), 
          SUM(ARRAYFORMULA(SPLIT(AC776,"","") - SPLIT(AB776,"",""))"&amp;"), 
          0
       ),
     ""[hh]:mm""
   )
)
"),"06:36")</f>
        <v>06:36</v>
      </c>
      <c r="AJ776" s="55">
        <f t="shared" si="9"/>
        <v>0</v>
      </c>
      <c r="AK776" s="28" t="str">
        <f t="shared" si="10"/>
        <v>Pass</v>
      </c>
    </row>
    <row r="777">
      <c r="A777" s="18">
        <v>45968.0</v>
      </c>
      <c r="B777" s="20">
        <v>0.75</v>
      </c>
      <c r="C777" s="18">
        <v>45968.0</v>
      </c>
      <c r="D777" s="20">
        <v>0.7576388888888889</v>
      </c>
      <c r="E777" s="22" t="s">
        <v>6088</v>
      </c>
      <c r="F777" s="22" t="s">
        <v>4491</v>
      </c>
      <c r="G777" s="22" t="s">
        <v>6089</v>
      </c>
      <c r="H777" s="22" t="s">
        <v>1610</v>
      </c>
      <c r="I777" s="22" t="s">
        <v>1612</v>
      </c>
      <c r="J777" s="22" t="s">
        <v>1612</v>
      </c>
      <c r="K777" s="22" t="s">
        <v>143</v>
      </c>
      <c r="L777" s="22" t="s">
        <v>1613</v>
      </c>
      <c r="M777" s="22" t="s">
        <v>6090</v>
      </c>
      <c r="N777" s="22" t="s">
        <v>6091</v>
      </c>
      <c r="O777" s="23" t="s">
        <v>6092</v>
      </c>
      <c r="P777" s="22" t="s">
        <v>187</v>
      </c>
      <c r="Q777" s="50" t="s">
        <v>65</v>
      </c>
      <c r="R777" s="22" t="s">
        <v>6093</v>
      </c>
      <c r="S777" s="22" t="s">
        <v>51</v>
      </c>
      <c r="T777" s="22" t="s">
        <v>52</v>
      </c>
      <c r="U777" s="22" t="s">
        <v>52</v>
      </c>
      <c r="V777" s="22" t="s">
        <v>52</v>
      </c>
      <c r="W777" s="18">
        <v>45971.0</v>
      </c>
      <c r="X777" s="20">
        <v>0.42569444444444443</v>
      </c>
      <c r="Y777" s="18">
        <v>45971.0</v>
      </c>
      <c r="Z777" s="20">
        <v>0.4791666666666667</v>
      </c>
      <c r="AA777" s="20">
        <v>0.6458333333333334</v>
      </c>
      <c r="AB777" s="51">
        <v>0.5208333333333334</v>
      </c>
      <c r="AC777" s="51">
        <v>0.6458333333333334</v>
      </c>
      <c r="AD777" s="51">
        <v>0.6875</v>
      </c>
      <c r="AE777" s="18">
        <v>45971.0</v>
      </c>
      <c r="AF777" s="22" t="s">
        <v>2711</v>
      </c>
      <c r="AG777" s="22" t="s">
        <v>54</v>
      </c>
      <c r="AH777" s="22" t="s">
        <v>6094</v>
      </c>
      <c r="AI777" s="26" t="str">
        <f>IFERROR(__xludf.DUMMYFUNCTION("IF(OR(W777="""",X777="""",AE777="""",AD777=""""),"""",
   TEXT(
     (
       (AE777+AD777 + IF(AE777+AD777 &lt; W777+X777,1,0)) - (W777+X777)
     )
     - IF(AND(AB777&lt;&gt;"""",AC777&lt;&gt;""""), 
          SUM(ARRAYFORMULA(SPLIT(AC777,"","") - SPLIT(AB777,"",""))"&amp;"), 
          0
       ),
     ""[hh]:mm""
   )
)
"),"03:17")</f>
        <v>03:17</v>
      </c>
      <c r="AJ777" s="55">
        <f t="shared" si="9"/>
        <v>0</v>
      </c>
      <c r="AK777" s="28" t="str">
        <f t="shared" si="10"/>
        <v>Pass</v>
      </c>
    </row>
    <row r="778">
      <c r="A778" s="18">
        <v>45971.0</v>
      </c>
      <c r="B778" s="20">
        <v>0.5416666666666666</v>
      </c>
      <c r="C778" s="18">
        <v>45971.0</v>
      </c>
      <c r="D778" s="20">
        <v>0.5493055555555556</v>
      </c>
      <c r="E778" s="22" t="s">
        <v>6095</v>
      </c>
      <c r="F778" s="22" t="s">
        <v>6096</v>
      </c>
      <c r="G778" s="22" t="s">
        <v>6097</v>
      </c>
      <c r="H778" s="22" t="s">
        <v>377</v>
      </c>
      <c r="I778" s="22" t="s">
        <v>60</v>
      </c>
      <c r="J778" s="22" t="s">
        <v>3813</v>
      </c>
      <c r="K778" s="22" t="s">
        <v>61</v>
      </c>
      <c r="L778" s="22" t="s">
        <v>183</v>
      </c>
      <c r="M778" s="22" t="s">
        <v>6098</v>
      </c>
      <c r="N778" s="22" t="s">
        <v>6099</v>
      </c>
      <c r="O778" s="23" t="s">
        <v>6100</v>
      </c>
      <c r="P778" s="22" t="s">
        <v>187</v>
      </c>
      <c r="Q778" s="50" t="s">
        <v>65</v>
      </c>
      <c r="R778" s="22" t="s">
        <v>2102</v>
      </c>
      <c r="S778" s="22" t="s">
        <v>51</v>
      </c>
      <c r="T778" s="22" t="s">
        <v>52</v>
      </c>
      <c r="U778" s="22" t="s">
        <v>52</v>
      </c>
      <c r="V778" s="22" t="s">
        <v>52</v>
      </c>
      <c r="W778" s="18">
        <v>45971.0</v>
      </c>
      <c r="X778" s="20">
        <v>0.5493055555555556</v>
      </c>
      <c r="Y778" s="18">
        <v>45971.0</v>
      </c>
      <c r="Z778" s="20">
        <v>0.6458333333333334</v>
      </c>
      <c r="AA778" s="20">
        <v>0.6736111111111112</v>
      </c>
      <c r="AB778" s="54"/>
      <c r="AC778" s="54"/>
      <c r="AD778" s="51">
        <v>0.7777777777777778</v>
      </c>
      <c r="AE778" s="18">
        <v>45971.0</v>
      </c>
      <c r="AF778" s="22" t="s">
        <v>3358</v>
      </c>
      <c r="AG778" s="22" t="s">
        <v>78</v>
      </c>
      <c r="AH778" s="22" t="s">
        <v>6101</v>
      </c>
      <c r="AI778" s="26" t="str">
        <f>IFERROR(__xludf.DUMMYFUNCTION("IF(OR(W778="""",X778="""",AE778="""",AD778=""""),"""",
   TEXT(
     (
       (AE778+AD778 + IF(AE778+AD778 &lt; W778+X778,1,0)) - (W778+X778)
     )
     - IF(AND(AB778&lt;&gt;"""",AC778&lt;&gt;""""), 
          SUM(ARRAYFORMULA(SPLIT(AC778,"","") - SPLIT(AB778,"",""))"&amp;"), 
          0
       ),
     ""[hh]:mm""
   )
)
"),"05:29")</f>
        <v>05:29</v>
      </c>
      <c r="AJ778" s="55">
        <f t="shared" si="9"/>
        <v>0</v>
      </c>
      <c r="AK778" s="28" t="str">
        <f t="shared" si="10"/>
        <v>Pass</v>
      </c>
    </row>
    <row r="779">
      <c r="A779" s="18">
        <v>45971.0</v>
      </c>
      <c r="B779" s="20">
        <v>0.5652777777777778</v>
      </c>
      <c r="C779" s="18">
        <v>45971.0</v>
      </c>
      <c r="D779" s="20">
        <v>0.5708333333333333</v>
      </c>
      <c r="E779" s="22" t="s">
        <v>6102</v>
      </c>
      <c r="F779" s="22" t="s">
        <v>6103</v>
      </c>
      <c r="G779" s="22" t="s">
        <v>6104</v>
      </c>
      <c r="H779" s="22" t="s">
        <v>1610</v>
      </c>
      <c r="I779" s="22" t="s">
        <v>1612</v>
      </c>
      <c r="J779" s="22" t="s">
        <v>1612</v>
      </c>
      <c r="K779" s="22" t="s">
        <v>143</v>
      </c>
      <c r="L779" s="22" t="s">
        <v>1613</v>
      </c>
      <c r="M779" s="22" t="s">
        <v>6105</v>
      </c>
      <c r="N779" s="22" t="s">
        <v>6106</v>
      </c>
      <c r="O779" s="23" t="s">
        <v>6107</v>
      </c>
      <c r="P779" s="22" t="s">
        <v>187</v>
      </c>
      <c r="Q779" s="50" t="s">
        <v>65</v>
      </c>
      <c r="R779" s="22" t="s">
        <v>6093</v>
      </c>
      <c r="S779" s="22" t="s">
        <v>51</v>
      </c>
      <c r="T779" s="22" t="s">
        <v>52</v>
      </c>
      <c r="U779" s="22" t="s">
        <v>52</v>
      </c>
      <c r="V779" s="22" t="s">
        <v>52</v>
      </c>
      <c r="W779" s="18">
        <v>45971.0</v>
      </c>
      <c r="X779" s="20">
        <v>0.5708333333333333</v>
      </c>
      <c r="Y779" s="18">
        <v>45971.0</v>
      </c>
      <c r="Z779" s="20">
        <v>0.6493055555555556</v>
      </c>
      <c r="AA779" s="20">
        <v>0.6527777777777778</v>
      </c>
      <c r="AB779" s="54"/>
      <c r="AC779" s="54"/>
      <c r="AD779" s="51">
        <v>0.75</v>
      </c>
      <c r="AE779" s="18">
        <v>45971.0</v>
      </c>
      <c r="AF779" s="22" t="s">
        <v>2839</v>
      </c>
      <c r="AG779" s="22" t="s">
        <v>6108</v>
      </c>
      <c r="AH779" s="22" t="s">
        <v>6109</v>
      </c>
      <c r="AI779" s="26" t="str">
        <f>IFERROR(__xludf.DUMMYFUNCTION("IF(OR(W779="""",X779="""",AE779="""",AD779=""""),"""",
   TEXT(
     (
       (AE779+AD779 + IF(AE779+AD779 &lt; W779+X779,1,0)) - (W779+X779)
     )
     - IF(AND(AB779&lt;&gt;"""",AC779&lt;&gt;""""), 
          SUM(ARRAYFORMULA(SPLIT(AC779,"","") - SPLIT(AB779,"",""))"&amp;"), 
          0
       ),
     ""[hh]:mm""
   )
)
"),"04:18")</f>
        <v>04:18</v>
      </c>
      <c r="AJ779" s="55">
        <f t="shared" si="9"/>
        <v>0</v>
      </c>
      <c r="AK779" s="28" t="str">
        <f t="shared" si="10"/>
        <v>Pass</v>
      </c>
    </row>
    <row r="780">
      <c r="A780" s="18">
        <v>45971.0</v>
      </c>
      <c r="B780" s="20">
        <v>0.7361111111111112</v>
      </c>
      <c r="C780" s="18">
        <v>45971.0</v>
      </c>
      <c r="D780" s="20">
        <v>0.7361111111111112</v>
      </c>
      <c r="E780" s="22" t="s">
        <v>6110</v>
      </c>
      <c r="F780" s="22" t="s">
        <v>6058</v>
      </c>
      <c r="G780" s="22" t="s">
        <v>6059</v>
      </c>
      <c r="H780" s="22" t="s">
        <v>566</v>
      </c>
      <c r="I780" s="22" t="s">
        <v>60</v>
      </c>
      <c r="J780" s="22" t="s">
        <v>3813</v>
      </c>
      <c r="K780" s="22" t="s">
        <v>61</v>
      </c>
      <c r="L780" s="22" t="s">
        <v>183</v>
      </c>
      <c r="M780" s="22" t="s">
        <v>6111</v>
      </c>
      <c r="N780" s="22" t="s">
        <v>6112</v>
      </c>
      <c r="O780" s="23" t="s">
        <v>6113</v>
      </c>
      <c r="P780" s="22" t="s">
        <v>48</v>
      </c>
      <c r="Q780" s="50" t="s">
        <v>65</v>
      </c>
      <c r="R780" s="22" t="s">
        <v>6114</v>
      </c>
      <c r="S780" s="22" t="s">
        <v>51</v>
      </c>
      <c r="T780" s="22" t="s">
        <v>52</v>
      </c>
      <c r="U780" s="22" t="s">
        <v>52</v>
      </c>
      <c r="V780" s="22" t="s">
        <v>52</v>
      </c>
      <c r="W780" s="18">
        <v>45971.0</v>
      </c>
      <c r="X780" s="20">
        <v>0.7361111111111112</v>
      </c>
      <c r="Y780" s="18">
        <v>45971.0</v>
      </c>
      <c r="Z780" s="20">
        <v>0.7361111111111112</v>
      </c>
      <c r="AA780" s="20">
        <v>0.7472222222222222</v>
      </c>
      <c r="AB780" s="51">
        <v>0.7361111111111112</v>
      </c>
      <c r="AC780" s="51">
        <v>0.7472222222222222</v>
      </c>
      <c r="AD780" s="51">
        <v>0.7576388888888889</v>
      </c>
      <c r="AE780" s="18">
        <v>45971.0</v>
      </c>
      <c r="AF780" s="22" t="s">
        <v>6115</v>
      </c>
      <c r="AG780" s="22" t="s">
        <v>162</v>
      </c>
      <c r="AH780" s="22" t="s">
        <v>6065</v>
      </c>
      <c r="AI780" s="26" t="str">
        <f>IFERROR(__xludf.DUMMYFUNCTION("IF(OR(W780="""",X780="""",AE780="""",AD780=""""),"""",
   TEXT(
     (
       (AE780+AD780 + IF(AE780+AD780 &lt; W780+X780,1,0)) - (W780+X780)
     )
     - IF(AND(AB780&lt;&gt;"""",AC780&lt;&gt;""""), 
          SUM(ARRAYFORMULA(SPLIT(AC780,"","") - SPLIT(AB780,"",""))"&amp;"), 
          0
       ),
     ""[hh]:mm""
   )
)
"),"00:15")</f>
        <v>00:15</v>
      </c>
      <c r="AJ780" s="55">
        <f t="shared" si="9"/>
        <v>0</v>
      </c>
      <c r="AK780" s="28" t="str">
        <f t="shared" si="10"/>
        <v>Pass</v>
      </c>
    </row>
    <row r="781">
      <c r="A781" s="45">
        <v>45971.0</v>
      </c>
      <c r="B781" s="49">
        <v>0.8652777777777778</v>
      </c>
      <c r="C781" s="45">
        <v>45971.0</v>
      </c>
      <c r="D781" s="49">
        <v>0.8798611111111111</v>
      </c>
      <c r="E781" s="21" t="s">
        <v>6116</v>
      </c>
      <c r="F781" s="21" t="s">
        <v>3314</v>
      </c>
      <c r="G781" s="21" t="s">
        <v>3315</v>
      </c>
      <c r="H781" s="21" t="s">
        <v>214</v>
      </c>
      <c r="I781" s="21" t="s">
        <v>234</v>
      </c>
      <c r="J781" s="21" t="s">
        <v>3813</v>
      </c>
      <c r="K781" s="21" t="s">
        <v>61</v>
      </c>
      <c r="L781" s="21" t="s">
        <v>183</v>
      </c>
      <c r="M781" s="21" t="s">
        <v>6117</v>
      </c>
      <c r="N781" s="21" t="s">
        <v>6118</v>
      </c>
      <c r="O781" s="48" t="s">
        <v>6119</v>
      </c>
      <c r="P781" s="21" t="s">
        <v>75</v>
      </c>
      <c r="Q781" s="24" t="s">
        <v>65</v>
      </c>
      <c r="R781" s="21" t="s">
        <v>6120</v>
      </c>
      <c r="S781" s="21" t="s">
        <v>51</v>
      </c>
      <c r="T781" s="21" t="s">
        <v>52</v>
      </c>
      <c r="U781" s="21" t="s">
        <v>52</v>
      </c>
      <c r="V781" s="21" t="s">
        <v>52</v>
      </c>
      <c r="W781" s="45">
        <v>45972.0</v>
      </c>
      <c r="X781" s="49">
        <v>0.8798611111111111</v>
      </c>
      <c r="Y781" s="45">
        <v>45971.0</v>
      </c>
      <c r="Z781" s="49">
        <v>0.8979166666666667</v>
      </c>
      <c r="AA781" s="49">
        <v>0.8993055555555556</v>
      </c>
      <c r="AB781" s="29"/>
      <c r="AC781" s="29"/>
      <c r="AD781" s="25">
        <v>0.9791666666666666</v>
      </c>
      <c r="AE781" s="45">
        <v>45971.0</v>
      </c>
      <c r="AF781" s="21" t="s">
        <v>2828</v>
      </c>
      <c r="AG781" s="21" t="s">
        <v>6121</v>
      </c>
      <c r="AH781" s="21" t="s">
        <v>6122</v>
      </c>
      <c r="AI781" s="62" t="str">
        <f>IFERROR(__xludf.DUMMYFUNCTION("IF(OR(W781="""",X781="""",AE781="""",AD781=""""),"""",
   TEXT(
     (
       (AE781+AD781 + IF(AE781+AD781 &lt; W781+X781,1,0)) - (W781+X781)
     )
     - IF(AND(AB781&lt;&gt;"""",AC781&lt;&gt;""""), 
          SUM(ARRAYFORMULA(SPLIT(AC781,"","") - SPLIT(AB781,"",""))"&amp;"), 
          0
       ),
     ""[hh]:mm""
   )
)
"),"02:23")</f>
        <v>02:23</v>
      </c>
      <c r="AJ781" s="27">
        <f t="shared" si="9"/>
        <v>0</v>
      </c>
      <c r="AK781" s="63" t="str">
        <f t="shared" si="10"/>
        <v>Pass</v>
      </c>
    </row>
    <row r="782">
      <c r="A782" s="45">
        <v>45971.0</v>
      </c>
      <c r="B782" s="49">
        <v>0.8263888888888888</v>
      </c>
      <c r="C782" s="45">
        <v>45971.0</v>
      </c>
      <c r="D782" s="49">
        <v>0.8381944444444445</v>
      </c>
      <c r="E782" s="21" t="s">
        <v>6123</v>
      </c>
      <c r="F782" s="21" t="s">
        <v>4832</v>
      </c>
      <c r="G782" s="21" t="s">
        <v>4833</v>
      </c>
      <c r="H782" s="21" t="s">
        <v>4040</v>
      </c>
      <c r="I782" s="21" t="s">
        <v>567</v>
      </c>
      <c r="J782" s="21" t="s">
        <v>567</v>
      </c>
      <c r="K782" s="21" t="s">
        <v>568</v>
      </c>
      <c r="L782" s="21" t="s">
        <v>568</v>
      </c>
      <c r="M782" s="21" t="s">
        <v>6124</v>
      </c>
      <c r="N782" s="21" t="s">
        <v>6125</v>
      </c>
      <c r="O782" s="48" t="s">
        <v>6126</v>
      </c>
      <c r="P782" s="21" t="s">
        <v>48</v>
      </c>
      <c r="Q782" s="24" t="s">
        <v>65</v>
      </c>
      <c r="R782" s="21" t="s">
        <v>6127</v>
      </c>
      <c r="S782" s="21" t="s">
        <v>51</v>
      </c>
      <c r="T782" s="21" t="s">
        <v>52</v>
      </c>
      <c r="U782" s="21" t="s">
        <v>52</v>
      </c>
      <c r="V782" s="21" t="s">
        <v>52</v>
      </c>
      <c r="W782" s="45">
        <v>45972.0</v>
      </c>
      <c r="X782" s="49">
        <v>0.375</v>
      </c>
      <c r="Y782" s="45">
        <v>45972.0</v>
      </c>
      <c r="Z782" s="49">
        <v>0.3486111111111111</v>
      </c>
      <c r="AA782" s="49">
        <v>0.3506944444444444</v>
      </c>
      <c r="AB782" s="29"/>
      <c r="AC782" s="29"/>
      <c r="AD782" s="25">
        <v>0.375</v>
      </c>
      <c r="AE782" s="45">
        <v>45972.0</v>
      </c>
      <c r="AF782" s="21" t="s">
        <v>53</v>
      </c>
      <c r="AG782" s="21" t="s">
        <v>67</v>
      </c>
      <c r="AH782" s="21" t="s">
        <v>4838</v>
      </c>
      <c r="AI782" s="62" t="str">
        <f>IFERROR(__xludf.DUMMYFUNCTION("IF(OR(W782="""",X782="""",AE782="""",AD782=""""),"""",
   TEXT(
     (
       (AE782+AD782 + IF(AE782+AD782 &lt; W782+X782,1,0)) - (W782+X782)
     )
     - IF(AND(AB782&lt;&gt;"""",AC782&lt;&gt;""""), 
          SUM(ARRAYFORMULA(SPLIT(AC782,"","") - SPLIT(AB782,"",""))"&amp;"), 
          0
       ),
     ""[hh]:mm""
   )
)
"),"00:00")</f>
        <v>00:00</v>
      </c>
      <c r="AJ782" s="27">
        <f t="shared" si="9"/>
        <v>0</v>
      </c>
      <c r="AK782" s="63" t="str">
        <f t="shared" si="10"/>
        <v>Pass</v>
      </c>
    </row>
    <row r="783">
      <c r="A783" s="45">
        <v>45971.0</v>
      </c>
      <c r="B783" s="49">
        <v>0.68125</v>
      </c>
      <c r="C783" s="45">
        <v>45971.0</v>
      </c>
      <c r="D783" s="49">
        <v>0.7013888888888888</v>
      </c>
      <c r="E783" s="21" t="s">
        <v>6128</v>
      </c>
      <c r="F783" s="21" t="s">
        <v>352</v>
      </c>
      <c r="G783" s="21" t="s">
        <v>6129</v>
      </c>
      <c r="H783" s="21" t="s">
        <v>566</v>
      </c>
      <c r="I783" s="21" t="s">
        <v>1612</v>
      </c>
      <c r="J783" s="21" t="s">
        <v>1612</v>
      </c>
      <c r="K783" s="21" t="s">
        <v>143</v>
      </c>
      <c r="L783" s="21" t="s">
        <v>1613</v>
      </c>
      <c r="M783" s="21" t="s">
        <v>6130</v>
      </c>
      <c r="N783" s="21" t="s">
        <v>6131</v>
      </c>
      <c r="O783" s="48" t="s">
        <v>6132</v>
      </c>
      <c r="P783" s="21" t="s">
        <v>187</v>
      </c>
      <c r="Q783" s="24" t="s">
        <v>65</v>
      </c>
      <c r="R783" s="21" t="s">
        <v>6133</v>
      </c>
      <c r="S783" s="21" t="s">
        <v>51</v>
      </c>
      <c r="T783" s="21" t="s">
        <v>52</v>
      </c>
      <c r="U783" s="21" t="s">
        <v>52</v>
      </c>
      <c r="V783" s="21" t="s">
        <v>52</v>
      </c>
      <c r="W783" s="45">
        <v>45972.0</v>
      </c>
      <c r="X783" s="49">
        <v>0.375</v>
      </c>
      <c r="Y783" s="45">
        <v>45972.0</v>
      </c>
      <c r="Z783" s="49">
        <v>0.46875</v>
      </c>
      <c r="AA783" s="49">
        <v>0.4722222222222222</v>
      </c>
      <c r="AB783" s="25">
        <v>0.5</v>
      </c>
      <c r="AC783" s="25">
        <v>0.5208333333333334</v>
      </c>
      <c r="AD783" s="25">
        <v>0.5277777777777778</v>
      </c>
      <c r="AE783" s="45">
        <v>45972.0</v>
      </c>
      <c r="AF783" s="21" t="s">
        <v>2828</v>
      </c>
      <c r="AG783" s="21" t="s">
        <v>54</v>
      </c>
      <c r="AH783" s="21" t="s">
        <v>3942</v>
      </c>
      <c r="AI783" s="62" t="str">
        <f>IFERROR(__xludf.DUMMYFUNCTION("IF(OR(W783="""",X783="""",AE783="""",AD783=""""),"""",
   TEXT(
     (
       (AE783+AD783 + IF(AE783+AD783 &lt; W783+X783,1,0)) - (W783+X783)
     )
     - IF(AND(AB783&lt;&gt;"""",AC783&lt;&gt;""""), 
          SUM(ARRAYFORMULA(SPLIT(AC783,"","") - SPLIT(AB783,"",""))"&amp;"), 
          0
       ),
     ""[hh]:mm""
   )
)
"),"03:10")</f>
        <v>03:10</v>
      </c>
      <c r="AJ783" s="27">
        <f t="shared" si="9"/>
        <v>0</v>
      </c>
      <c r="AK783" s="63" t="str">
        <f t="shared" si="10"/>
        <v>Pass</v>
      </c>
    </row>
    <row r="784">
      <c r="A784" s="45">
        <v>45972.0</v>
      </c>
      <c r="B784" s="49">
        <v>0.91875</v>
      </c>
      <c r="C784" s="45">
        <v>45972.0</v>
      </c>
      <c r="D784" s="80">
        <v>0.30416666666666664</v>
      </c>
      <c r="E784" s="21" t="s">
        <v>6134</v>
      </c>
      <c r="F784" s="21" t="s">
        <v>259</v>
      </c>
      <c r="G784" s="21" t="s">
        <v>6135</v>
      </c>
      <c r="H784" s="21" t="s">
        <v>244</v>
      </c>
      <c r="I784" s="21" t="s">
        <v>299</v>
      </c>
      <c r="J784" s="21" t="s">
        <v>299</v>
      </c>
      <c r="K784" s="21" t="s">
        <v>43</v>
      </c>
      <c r="L784" s="21" t="s">
        <v>43</v>
      </c>
      <c r="M784" s="21" t="s">
        <v>6136</v>
      </c>
      <c r="N784" s="21" t="s">
        <v>6137</v>
      </c>
      <c r="O784" s="48" t="s">
        <v>6138</v>
      </c>
      <c r="P784" s="21" t="s">
        <v>48</v>
      </c>
      <c r="Q784" s="24" t="s">
        <v>65</v>
      </c>
      <c r="R784" s="21" t="s">
        <v>6139</v>
      </c>
      <c r="S784" s="21" t="s">
        <v>51</v>
      </c>
      <c r="T784" s="21" t="s">
        <v>52</v>
      </c>
      <c r="U784" s="21" t="s">
        <v>52</v>
      </c>
      <c r="V784" s="21" t="s">
        <v>52</v>
      </c>
      <c r="W784" s="45">
        <v>45972.0</v>
      </c>
      <c r="X784" s="49">
        <v>0.30416666666666664</v>
      </c>
      <c r="Y784" s="45">
        <v>45972.0</v>
      </c>
      <c r="Z784" s="49">
        <v>0.4444444444444444</v>
      </c>
      <c r="AA784" s="49">
        <v>0.4513888888888889</v>
      </c>
      <c r="AB784" s="29"/>
      <c r="AC784" s="29"/>
      <c r="AD784" s="25">
        <v>0.4791666666666667</v>
      </c>
      <c r="AE784" s="45">
        <v>45972.0</v>
      </c>
      <c r="AF784" s="21" t="s">
        <v>2828</v>
      </c>
      <c r="AG784" s="21" t="s">
        <v>78</v>
      </c>
      <c r="AH784" s="21" t="s">
        <v>6140</v>
      </c>
      <c r="AI784" s="62" t="str">
        <f>IFERROR(__xludf.DUMMYFUNCTION("IF(OR(W784="""",X784="""",AE784="""",AD784=""""),"""",
   TEXT(
     (
       (AE784+AD784 + IF(AE784+AD784 &lt; W784+X784,1,0)) - (W784+X784)
     )
     - IF(AND(AB784&lt;&gt;"""",AC784&lt;&gt;""""), 
          SUM(ARRAYFORMULA(SPLIT(AC784,"","") - SPLIT(AB784,"",""))"&amp;"), 
          0
       ),
     ""[hh]:mm""
   )
)
"),"04:12")</f>
        <v>04:12</v>
      </c>
      <c r="AJ784" s="27">
        <f t="shared" si="9"/>
        <v>0</v>
      </c>
      <c r="AK784" s="63" t="str">
        <f t="shared" si="10"/>
        <v>Pass</v>
      </c>
    </row>
    <row r="785">
      <c r="A785" s="18">
        <v>45971.0</v>
      </c>
      <c r="B785" s="20">
        <v>0.39861111111111114</v>
      </c>
      <c r="C785" s="18">
        <v>45971.0</v>
      </c>
      <c r="D785" s="20">
        <v>0.4</v>
      </c>
      <c r="E785" s="22" t="s">
        <v>6141</v>
      </c>
      <c r="F785" s="22" t="s">
        <v>6142</v>
      </c>
      <c r="G785" s="22" t="s">
        <v>6143</v>
      </c>
      <c r="H785" s="22" t="s">
        <v>2248</v>
      </c>
      <c r="I785" s="22" t="s">
        <v>2026</v>
      </c>
      <c r="J785" s="22" t="s">
        <v>2253</v>
      </c>
      <c r="K785" s="22" t="s">
        <v>43</v>
      </c>
      <c r="L785" s="22" t="s">
        <v>6144</v>
      </c>
      <c r="M785" s="22" t="s">
        <v>6145</v>
      </c>
      <c r="N785" s="22" t="s">
        <v>6146</v>
      </c>
      <c r="O785" s="23" t="s">
        <v>6147</v>
      </c>
      <c r="P785" s="22" t="s">
        <v>75</v>
      </c>
      <c r="Q785" s="50" t="s">
        <v>49</v>
      </c>
      <c r="R785" s="22" t="s">
        <v>6148</v>
      </c>
      <c r="S785" s="22" t="s">
        <v>51</v>
      </c>
      <c r="T785" s="22" t="s">
        <v>52</v>
      </c>
      <c r="U785" s="22" t="s">
        <v>52</v>
      </c>
      <c r="V785" s="22" t="s">
        <v>52</v>
      </c>
      <c r="W785" s="18">
        <v>45972.0</v>
      </c>
      <c r="X785" s="20">
        <v>0.43819444444444444</v>
      </c>
      <c r="Y785" s="18">
        <v>45972.0</v>
      </c>
      <c r="Z785" s="20">
        <v>0.7180555555555556</v>
      </c>
      <c r="AA785" s="20">
        <v>0.7222222222222222</v>
      </c>
      <c r="AB785" s="54"/>
      <c r="AC785" s="54"/>
      <c r="AD785" s="51">
        <v>0.7708333333333334</v>
      </c>
      <c r="AE785" s="18">
        <v>45972.0</v>
      </c>
      <c r="AF785" s="22" t="s">
        <v>2839</v>
      </c>
      <c r="AG785" s="22" t="s">
        <v>284</v>
      </c>
      <c r="AH785" s="22" t="s">
        <v>6149</v>
      </c>
      <c r="AI785" s="26" t="str">
        <f>IFERROR(__xludf.DUMMYFUNCTION("IF(OR(W785="""",X785="""",AE785="""",AD785=""""),"""",
   TEXT(
     (
       (AE785+AD785 + IF(AE785+AD785 &lt; W785+X785,1,0)) - (W785+X785)
     )
     - IF(AND(AB785&lt;&gt;"""",AC785&lt;&gt;""""), 
          SUM(ARRAYFORMULA(SPLIT(AC785,"","") - SPLIT(AB785,"",""))"&amp;"), 
          0
       ),
     ""[hh]:mm""
   )
)
"),"07:59")</f>
        <v>07:59</v>
      </c>
      <c r="AJ785" s="55">
        <f t="shared" si="9"/>
        <v>0.1659722222</v>
      </c>
      <c r="AK785" s="28" t="str">
        <f t="shared" si="10"/>
        <v>Fail</v>
      </c>
    </row>
    <row r="786">
      <c r="A786" s="18">
        <v>45972.0</v>
      </c>
      <c r="B786" s="20">
        <v>0.43680555555555556</v>
      </c>
      <c r="C786" s="18">
        <v>45972.0</v>
      </c>
      <c r="D786" s="20">
        <v>0.44027777777777777</v>
      </c>
      <c r="E786" s="22" t="s">
        <v>6150</v>
      </c>
      <c r="F786" s="22" t="s">
        <v>3082</v>
      </c>
      <c r="G786" s="22" t="s">
        <v>6151</v>
      </c>
      <c r="H786" s="22" t="s">
        <v>4040</v>
      </c>
      <c r="I786" s="22" t="s">
        <v>644</v>
      </c>
      <c r="J786" s="22" t="s">
        <v>644</v>
      </c>
      <c r="K786" s="22" t="s">
        <v>143</v>
      </c>
      <c r="L786" s="22" t="s">
        <v>606</v>
      </c>
      <c r="M786" s="22" t="s">
        <v>6152</v>
      </c>
      <c r="N786" s="22" t="s">
        <v>6153</v>
      </c>
      <c r="O786" s="23" t="s">
        <v>6154</v>
      </c>
      <c r="P786" s="22" t="s">
        <v>48</v>
      </c>
      <c r="Q786" s="50" t="s">
        <v>65</v>
      </c>
      <c r="R786" s="22" t="s">
        <v>6155</v>
      </c>
      <c r="S786" s="22" t="s">
        <v>51</v>
      </c>
      <c r="T786" s="22" t="s">
        <v>52</v>
      </c>
      <c r="U786" s="22" t="s">
        <v>52</v>
      </c>
      <c r="V786" s="22" t="s">
        <v>52</v>
      </c>
      <c r="W786" s="18">
        <v>45972.0</v>
      </c>
      <c r="X786" s="20">
        <v>0.44027777777777777</v>
      </c>
      <c r="Y786" s="18">
        <v>45972.0</v>
      </c>
      <c r="Z786" s="20">
        <v>0.5854166666666667</v>
      </c>
      <c r="AA786" s="20">
        <v>0.5833333333333334</v>
      </c>
      <c r="AB786" s="54"/>
      <c r="AC786" s="54"/>
      <c r="AD786" s="51">
        <v>0.6458333333333334</v>
      </c>
      <c r="AE786" s="18">
        <v>45972.0</v>
      </c>
      <c r="AF786" s="22" t="s">
        <v>53</v>
      </c>
      <c r="AG786" s="22" t="s">
        <v>2086</v>
      </c>
      <c r="AH786" s="22" t="s">
        <v>6156</v>
      </c>
      <c r="AI786" s="26" t="str">
        <f>IFERROR(__xludf.DUMMYFUNCTION("IF(OR(W786="""",X786="""",AE786="""",AD786=""""),"""",
   TEXT(
     (
       (AE786+AD786 + IF(AE786+AD786 &lt; W786+X786,1,0)) - (W786+X786)
     )
     - IF(AND(AB786&lt;&gt;"""",AC786&lt;&gt;""""), 
          SUM(ARRAYFORMULA(SPLIT(AC786,"","") - SPLIT(AB786,"",""))"&amp;"), 
          0
       ),
     ""[hh]:mm""
   )
)
"),"04:56")</f>
        <v>04:56</v>
      </c>
      <c r="AJ786" s="55">
        <f t="shared" si="9"/>
        <v>0</v>
      </c>
      <c r="AK786" s="28" t="str">
        <f t="shared" si="10"/>
        <v>Pass</v>
      </c>
    </row>
    <row r="787">
      <c r="A787" s="18">
        <v>45972.0</v>
      </c>
      <c r="B787" s="20">
        <v>0.48333333333333334</v>
      </c>
      <c r="C787" s="18">
        <v>45972.0</v>
      </c>
      <c r="D787" s="20">
        <v>0.5083333333333333</v>
      </c>
      <c r="E787" s="22" t="s">
        <v>6157</v>
      </c>
      <c r="F787" s="22" t="s">
        <v>251</v>
      </c>
      <c r="G787" s="22" t="s">
        <v>2150</v>
      </c>
      <c r="H787" s="22" t="s">
        <v>253</v>
      </c>
      <c r="I787" s="22" t="s">
        <v>107</v>
      </c>
      <c r="J787" s="22" t="s">
        <v>3806</v>
      </c>
      <c r="K787" s="22" t="s">
        <v>43</v>
      </c>
      <c r="L787" s="22" t="s">
        <v>6158</v>
      </c>
      <c r="M787" s="22" t="s">
        <v>6159</v>
      </c>
      <c r="N787" s="22" t="s">
        <v>6160</v>
      </c>
      <c r="O787" s="23" t="s">
        <v>6161</v>
      </c>
      <c r="P787" s="22" t="s">
        <v>75</v>
      </c>
      <c r="Q787" s="50" t="s">
        <v>49</v>
      </c>
      <c r="R787" s="22" t="s">
        <v>6162</v>
      </c>
      <c r="S787" s="22" t="s">
        <v>51</v>
      </c>
      <c r="T787" s="22" t="s">
        <v>52</v>
      </c>
      <c r="U787" s="22" t="s">
        <v>52</v>
      </c>
      <c r="V787" s="22" t="s">
        <v>52</v>
      </c>
      <c r="W787" s="18">
        <v>45972.0</v>
      </c>
      <c r="X787" s="20">
        <v>0.625</v>
      </c>
      <c r="Y787" s="18">
        <v>45972.0</v>
      </c>
      <c r="Z787" s="20">
        <v>0.6125</v>
      </c>
      <c r="AA787" s="20">
        <v>0.6145833333333334</v>
      </c>
      <c r="AB787" s="54"/>
      <c r="AC787" s="54"/>
      <c r="AD787" s="51">
        <v>0.6527777777777778</v>
      </c>
      <c r="AE787" s="18">
        <v>45972.0</v>
      </c>
      <c r="AF787" s="22" t="s">
        <v>6163</v>
      </c>
      <c r="AG787" s="22" t="s">
        <v>313</v>
      </c>
      <c r="AH787" s="22" t="s">
        <v>6164</v>
      </c>
      <c r="AI787" s="26" t="str">
        <f>IFERROR(__xludf.DUMMYFUNCTION("IF(OR(W787="""",X787="""",AE787="""",AD787=""""),"""",
   TEXT(
     (
       (AE787+AD787 + IF(AE787+AD787 &lt; W787+X787,1,0)) - (W787+X787)
     )
     - IF(AND(AB787&lt;&gt;"""",AC787&lt;&gt;""""), 
          SUM(ARRAYFORMULA(SPLIT(AC787,"","") - SPLIT(AB787,"",""))"&amp;"), 
          0
       ),
     ""[hh]:mm""
   )
)
"),"00:40")</f>
        <v>00:40</v>
      </c>
      <c r="AJ787" s="55">
        <f t="shared" si="9"/>
        <v>0</v>
      </c>
      <c r="AK787" s="28" t="str">
        <f t="shared" si="10"/>
        <v>Pass</v>
      </c>
    </row>
    <row r="788">
      <c r="A788" s="18">
        <v>45972.0</v>
      </c>
      <c r="B788" s="20">
        <v>0.6125</v>
      </c>
      <c r="C788" s="18">
        <v>45972.0</v>
      </c>
      <c r="D788" s="20">
        <v>0.6125</v>
      </c>
      <c r="E788" s="22" t="s">
        <v>6165</v>
      </c>
      <c r="F788" s="22" t="s">
        <v>251</v>
      </c>
      <c r="G788" s="22" t="s">
        <v>2150</v>
      </c>
      <c r="H788" s="22" t="s">
        <v>253</v>
      </c>
      <c r="I788" s="22" t="s">
        <v>234</v>
      </c>
      <c r="J788" s="22" t="s">
        <v>3806</v>
      </c>
      <c r="K788" s="22" t="s">
        <v>43</v>
      </c>
      <c r="L788" s="22" t="s">
        <v>6158</v>
      </c>
      <c r="M788" s="22" t="s">
        <v>4550</v>
      </c>
      <c r="N788" s="22" t="s">
        <v>6166</v>
      </c>
      <c r="O788" s="23" t="s">
        <v>6161</v>
      </c>
      <c r="P788" s="22" t="s">
        <v>75</v>
      </c>
      <c r="Q788" s="50" t="s">
        <v>49</v>
      </c>
      <c r="R788" s="22" t="s">
        <v>6162</v>
      </c>
      <c r="S788" s="22" t="s">
        <v>51</v>
      </c>
      <c r="T788" s="22" t="s">
        <v>52</v>
      </c>
      <c r="U788" s="22" t="s">
        <v>52</v>
      </c>
      <c r="V788" s="22" t="s">
        <v>52</v>
      </c>
      <c r="W788" s="18">
        <v>45972.0</v>
      </c>
      <c r="X788" s="20">
        <v>0.625</v>
      </c>
      <c r="Y788" s="18">
        <v>45972.0</v>
      </c>
      <c r="Z788" s="20">
        <v>0.6125</v>
      </c>
      <c r="AA788" s="20">
        <v>0.6618055555555555</v>
      </c>
      <c r="AB788" s="51">
        <v>0.6125</v>
      </c>
      <c r="AC788" s="51">
        <v>0.6618055555555555</v>
      </c>
      <c r="AD788" s="51">
        <v>0.68125</v>
      </c>
      <c r="AE788" s="18">
        <v>45972.0</v>
      </c>
      <c r="AF788" s="22" t="s">
        <v>6163</v>
      </c>
      <c r="AG788" s="22" t="s">
        <v>313</v>
      </c>
      <c r="AH788" s="22" t="s">
        <v>6164</v>
      </c>
      <c r="AI788" s="26" t="str">
        <f>IFERROR(__xludf.DUMMYFUNCTION("IF(OR(W788="""",X788="""",AE788="""",AD788=""""),"""",
   TEXT(
     (
       (AE788+AD788 + IF(AE788+AD788 &lt; W788+X788,1,0)) - (W788+X788)
     )
     - IF(AND(AB788&lt;&gt;"""",AC788&lt;&gt;""""), 
          SUM(ARRAYFORMULA(SPLIT(AC788,"","") - SPLIT(AB788,"",""))"&amp;"), 
          0
       ),
     ""[hh]:mm""
   )
)
"),"00:10")</f>
        <v>00:10</v>
      </c>
      <c r="AJ788" s="55">
        <f t="shared" si="9"/>
        <v>0</v>
      </c>
      <c r="AK788" s="28" t="str">
        <f t="shared" si="10"/>
        <v>Pass</v>
      </c>
    </row>
    <row r="789">
      <c r="A789" s="18">
        <v>45972.0</v>
      </c>
      <c r="B789" s="20">
        <v>0.6125</v>
      </c>
      <c r="C789" s="18">
        <v>45972.0</v>
      </c>
      <c r="D789" s="20">
        <v>0.6125</v>
      </c>
      <c r="E789" s="22" t="s">
        <v>6167</v>
      </c>
      <c r="F789" s="22" t="s">
        <v>251</v>
      </c>
      <c r="G789" s="22" t="s">
        <v>2150</v>
      </c>
      <c r="H789" s="22" t="s">
        <v>253</v>
      </c>
      <c r="I789" s="22" t="s">
        <v>60</v>
      </c>
      <c r="J789" s="22" t="s">
        <v>3806</v>
      </c>
      <c r="K789" s="22" t="s">
        <v>43</v>
      </c>
      <c r="L789" s="22" t="s">
        <v>6158</v>
      </c>
      <c r="M789" s="22" t="s">
        <v>6168</v>
      </c>
      <c r="N789" s="22" t="s">
        <v>6169</v>
      </c>
      <c r="O789" s="23" t="s">
        <v>6161</v>
      </c>
      <c r="P789" s="22" t="s">
        <v>75</v>
      </c>
      <c r="Q789" s="50" t="s">
        <v>49</v>
      </c>
      <c r="R789" s="22" t="s">
        <v>6162</v>
      </c>
      <c r="S789" s="22" t="s">
        <v>51</v>
      </c>
      <c r="T789" s="22" t="s">
        <v>52</v>
      </c>
      <c r="U789" s="22" t="s">
        <v>52</v>
      </c>
      <c r="V789" s="22" t="s">
        <v>52</v>
      </c>
      <c r="W789" s="18">
        <v>45972.0</v>
      </c>
      <c r="X789" s="20">
        <v>0.625</v>
      </c>
      <c r="Y789" s="18">
        <v>45972.0</v>
      </c>
      <c r="Z789" s="20">
        <v>0.6125</v>
      </c>
      <c r="AA789" s="20">
        <v>0.7305555555555555</v>
      </c>
      <c r="AB789" s="51">
        <v>0.6125</v>
      </c>
      <c r="AC789" s="51">
        <v>0.7305555555555555</v>
      </c>
      <c r="AD789" s="51">
        <v>0.7486111111111111</v>
      </c>
      <c r="AE789" s="18">
        <v>45972.0</v>
      </c>
      <c r="AF789" s="22" t="s">
        <v>6163</v>
      </c>
      <c r="AG789" s="22" t="s">
        <v>313</v>
      </c>
      <c r="AH789" s="22" t="s">
        <v>6164</v>
      </c>
      <c r="AI789" s="26" t="str">
        <f>IFERROR(__xludf.DUMMYFUNCTION("IF(OR(W789="""",X789="""",AE789="""",AD789=""""),"""",
   TEXT(
     (
       (AE789+AD789 + IF(AE789+AD789 &lt; W789+X789,1,0)) - (W789+X789)
     )
     - IF(AND(AB789&lt;&gt;"""",AC789&lt;&gt;""""), 
          SUM(ARRAYFORMULA(SPLIT(AC789,"","") - SPLIT(AB789,"",""))"&amp;"), 
          0
       ),
     ""[hh]:mm""
   )
)
"),"00:08")</f>
        <v>00:08</v>
      </c>
      <c r="AJ789" s="55">
        <f t="shared" si="9"/>
        <v>0</v>
      </c>
      <c r="AK789" s="28" t="str">
        <f t="shared" si="10"/>
        <v>Pass</v>
      </c>
    </row>
    <row r="790">
      <c r="A790" s="18">
        <v>45972.0</v>
      </c>
      <c r="B790" s="20">
        <v>0.4847222222222222</v>
      </c>
      <c r="C790" s="18">
        <v>45972.0</v>
      </c>
      <c r="D790" s="20">
        <v>0.49583333333333335</v>
      </c>
      <c r="E790" s="22" t="s">
        <v>6170</v>
      </c>
      <c r="F790" s="22" t="s">
        <v>575</v>
      </c>
      <c r="G790" s="22" t="s">
        <v>576</v>
      </c>
      <c r="H790" s="22" t="s">
        <v>4040</v>
      </c>
      <c r="I790" s="22" t="s">
        <v>567</v>
      </c>
      <c r="J790" s="22" t="s">
        <v>567</v>
      </c>
      <c r="K790" s="22" t="s">
        <v>568</v>
      </c>
      <c r="L790" s="22" t="s">
        <v>568</v>
      </c>
      <c r="M790" s="21" t="s">
        <v>52</v>
      </c>
      <c r="N790" s="22" t="s">
        <v>6171</v>
      </c>
      <c r="O790" s="23" t="s">
        <v>6172</v>
      </c>
      <c r="P790" s="22" t="s">
        <v>48</v>
      </c>
      <c r="Q790" s="50" t="s">
        <v>65</v>
      </c>
      <c r="R790" s="22" t="s">
        <v>6173</v>
      </c>
      <c r="S790" s="22" t="s">
        <v>51</v>
      </c>
      <c r="T790" s="22" t="s">
        <v>52</v>
      </c>
      <c r="U790" s="22" t="s">
        <v>52</v>
      </c>
      <c r="V790" s="22" t="s">
        <v>52</v>
      </c>
      <c r="W790" s="18">
        <v>45972.0</v>
      </c>
      <c r="X790" s="20">
        <v>0.49583333333333335</v>
      </c>
      <c r="Y790" s="18">
        <v>45972.0</v>
      </c>
      <c r="Z790" s="20">
        <v>0.6097222222222223</v>
      </c>
      <c r="AA790" s="20">
        <v>0.6145833333333334</v>
      </c>
      <c r="AB790" s="54"/>
      <c r="AC790" s="54"/>
      <c r="AD790" s="51">
        <v>0.6944444444444444</v>
      </c>
      <c r="AE790" s="18">
        <v>45972.0</v>
      </c>
      <c r="AF790" s="22" t="s">
        <v>2744</v>
      </c>
      <c r="AG790" s="22" t="s">
        <v>583</v>
      </c>
      <c r="AH790" s="22" t="s">
        <v>6174</v>
      </c>
      <c r="AI790" s="62" t="str">
        <f>IFERROR(__xludf.DUMMYFUNCTION("IF(OR(W790="""",X790="""",AE790="""",AD790=""""),"""",
   TEXT(
     (
       (AE790+AD790 + IF(AE790+AD790 &lt; W790+X790,1,0)) - (W790+X790)
     )
     - IF(AND(AB790&lt;&gt;"""",AC790&lt;&gt;""""), 
          SUM(ARRAYFORMULA(SPLIT(AC790,"","") - SPLIT(AB790,"",""))"&amp;"), 
          0
       ),
     ""[hh]:mm""
   )
)
"),"04:46")</f>
        <v>04:46</v>
      </c>
      <c r="AJ790" s="27">
        <f t="shared" si="9"/>
        <v>0</v>
      </c>
      <c r="AK790" s="63" t="str">
        <f t="shared" si="10"/>
        <v>Pass</v>
      </c>
    </row>
    <row r="791">
      <c r="A791" s="18">
        <v>45972.0</v>
      </c>
      <c r="B791" s="20">
        <v>0.5277777777777778</v>
      </c>
      <c r="C791" s="18">
        <v>45972.0</v>
      </c>
      <c r="D791" s="20">
        <v>0.5277777777777778</v>
      </c>
      <c r="E791" s="22" t="s">
        <v>6175</v>
      </c>
      <c r="F791" s="22" t="s">
        <v>6142</v>
      </c>
      <c r="G791" s="22" t="s">
        <v>6143</v>
      </c>
      <c r="H791" s="22" t="s">
        <v>4040</v>
      </c>
      <c r="I791" s="22" t="s">
        <v>836</v>
      </c>
      <c r="J791" s="22" t="s">
        <v>1056</v>
      </c>
      <c r="K791" s="22" t="s">
        <v>635</v>
      </c>
      <c r="L791" s="22" t="s">
        <v>6176</v>
      </c>
      <c r="M791" s="22" t="s">
        <v>6177</v>
      </c>
      <c r="N791" s="22" t="s">
        <v>6178</v>
      </c>
      <c r="O791" s="23" t="s">
        <v>6179</v>
      </c>
      <c r="P791" s="22" t="s">
        <v>48</v>
      </c>
      <c r="Q791" s="50" t="s">
        <v>65</v>
      </c>
      <c r="R791" s="22" t="s">
        <v>6180</v>
      </c>
      <c r="S791" s="22" t="s">
        <v>51</v>
      </c>
      <c r="T791" s="22" t="s">
        <v>52</v>
      </c>
      <c r="U791" s="22" t="s">
        <v>52</v>
      </c>
      <c r="V791" s="22" t="s">
        <v>52</v>
      </c>
      <c r="W791" s="18">
        <v>45972.0</v>
      </c>
      <c r="X791" s="20">
        <v>0.7180555555555556</v>
      </c>
      <c r="Y791" s="18">
        <v>45972.0</v>
      </c>
      <c r="Z791" s="20">
        <v>0.7180555555555556</v>
      </c>
      <c r="AA791" s="20">
        <v>0.7708333333333334</v>
      </c>
      <c r="AB791" s="54"/>
      <c r="AC791" s="54"/>
      <c r="AD791" s="51">
        <v>0.7916666666666666</v>
      </c>
      <c r="AE791" s="18">
        <v>45972.0</v>
      </c>
      <c r="AF791" s="22" t="s">
        <v>3007</v>
      </c>
      <c r="AG791" s="22" t="s">
        <v>284</v>
      </c>
      <c r="AH791" s="22" t="s">
        <v>6149</v>
      </c>
      <c r="AI791" s="26" t="str">
        <f>IFERROR(__xludf.DUMMYFUNCTION("IF(OR(W791="""",X791="""",AE791="""",AD791=""""),"""",
   TEXT(
     (
       (AE791+AD791 + IF(AE791+AD791 &lt; W791+X791,1,0)) - (W791+X791)
     )
     - IF(AND(AB791&lt;&gt;"""",AC791&lt;&gt;""""), 
          SUM(ARRAYFORMULA(SPLIT(AC791,"","") - SPLIT(AB791,"",""))"&amp;"), 
          0
       ),
     ""[hh]:mm""
   )
)
"),"01:46")</f>
        <v>01:46</v>
      </c>
      <c r="AJ791" s="55">
        <f t="shared" si="9"/>
        <v>0</v>
      </c>
      <c r="AK791" s="28" t="str">
        <f t="shared" si="10"/>
        <v>Pass</v>
      </c>
    </row>
    <row r="792">
      <c r="A792" s="18">
        <v>45972.0</v>
      </c>
      <c r="B792" s="20">
        <v>0.5277777777777778</v>
      </c>
      <c r="C792" s="18">
        <v>45972.0</v>
      </c>
      <c r="D792" s="20">
        <v>0.5277777777777778</v>
      </c>
      <c r="E792" s="22" t="s">
        <v>6181</v>
      </c>
      <c r="F792" s="22" t="s">
        <v>4171</v>
      </c>
      <c r="G792" s="22" t="s">
        <v>4172</v>
      </c>
      <c r="H792" s="22" t="s">
        <v>4040</v>
      </c>
      <c r="I792" s="22" t="s">
        <v>1055</v>
      </c>
      <c r="J792" s="22" t="s">
        <v>1056</v>
      </c>
      <c r="K792" s="22" t="s">
        <v>635</v>
      </c>
      <c r="L792" s="22" t="s">
        <v>1585</v>
      </c>
      <c r="M792" s="22" t="s">
        <v>5689</v>
      </c>
      <c r="N792" s="22" t="s">
        <v>6182</v>
      </c>
      <c r="O792" s="23" t="s">
        <v>6183</v>
      </c>
      <c r="P792" s="22" t="s">
        <v>48</v>
      </c>
      <c r="Q792" s="50" t="s">
        <v>65</v>
      </c>
      <c r="R792" s="22" t="s">
        <v>6184</v>
      </c>
      <c r="S792" s="22" t="s">
        <v>51</v>
      </c>
      <c r="T792" s="22" t="s">
        <v>52</v>
      </c>
      <c r="U792" s="22" t="s">
        <v>52</v>
      </c>
      <c r="V792" s="22" t="s">
        <v>52</v>
      </c>
      <c r="W792" s="18">
        <v>45972.0</v>
      </c>
      <c r="X792" s="20">
        <v>0.6215277777777778</v>
      </c>
      <c r="Y792" s="18">
        <v>45972.0</v>
      </c>
      <c r="Z792" s="20">
        <v>0.6215277777777778</v>
      </c>
      <c r="AA792" s="20">
        <v>0.6256944444444444</v>
      </c>
      <c r="AB792" s="54"/>
      <c r="AC792" s="54"/>
      <c r="AD792" s="51">
        <v>0.6527777777777778</v>
      </c>
      <c r="AE792" s="18">
        <v>45972.0</v>
      </c>
      <c r="AF792" s="22" t="s">
        <v>3007</v>
      </c>
      <c r="AG792" s="22" t="s">
        <v>162</v>
      </c>
      <c r="AH792" s="22" t="s">
        <v>6185</v>
      </c>
      <c r="AI792" s="62" t="str">
        <f>IFERROR(__xludf.DUMMYFUNCTION("IF(OR(W792="""",X792="""",AE792="""",AD792=""""),"""",
   TEXT(
     (
       (AE792+AD792 + IF(AE792+AD792 &lt; W792+X792,1,0)) - (W792+X792)
     )
     - IF(AND(AB792&lt;&gt;"""",AC792&lt;&gt;""""), 
          SUM(ARRAYFORMULA(SPLIT(AC792,"","") - SPLIT(AB792,"",""))"&amp;"), 
          0
       ),
     ""[hh]:mm""
   )
)
"),"00:45")</f>
        <v>00:45</v>
      </c>
      <c r="AJ792" s="27">
        <f t="shared" si="9"/>
        <v>0</v>
      </c>
      <c r="AK792" s="63" t="str">
        <f t="shared" si="10"/>
        <v>Pass</v>
      </c>
    </row>
    <row r="793">
      <c r="A793" s="18">
        <v>45972.0</v>
      </c>
      <c r="B793" s="20">
        <v>0.7180555555555556</v>
      </c>
      <c r="C793" s="18">
        <v>45972.0</v>
      </c>
      <c r="D793" s="20">
        <v>0.7180555555555556</v>
      </c>
      <c r="E793" s="22" t="s">
        <v>6186</v>
      </c>
      <c r="F793" s="22" t="s">
        <v>6142</v>
      </c>
      <c r="G793" s="22" t="s">
        <v>6143</v>
      </c>
      <c r="H793" s="22" t="s">
        <v>454</v>
      </c>
      <c r="I793" s="22" t="s">
        <v>385</v>
      </c>
      <c r="J793" s="22" t="s">
        <v>385</v>
      </c>
      <c r="K793" s="22" t="s">
        <v>635</v>
      </c>
      <c r="L793" s="22" t="s">
        <v>6176</v>
      </c>
      <c r="M793" s="22" t="s">
        <v>6187</v>
      </c>
      <c r="N793" s="22" t="s">
        <v>6188</v>
      </c>
      <c r="O793" s="23" t="s">
        <v>6189</v>
      </c>
      <c r="P793" s="22" t="s">
        <v>48</v>
      </c>
      <c r="Q793" s="50" t="s">
        <v>65</v>
      </c>
      <c r="R793" s="22" t="s">
        <v>6190</v>
      </c>
      <c r="S793" s="22" t="s">
        <v>51</v>
      </c>
      <c r="T793" s="22" t="s">
        <v>52</v>
      </c>
      <c r="U793" s="22" t="s">
        <v>52</v>
      </c>
      <c r="V793" s="22" t="s">
        <v>52</v>
      </c>
      <c r="W793" s="18">
        <v>45972.0</v>
      </c>
      <c r="X793" s="20">
        <v>0.7180555555555556</v>
      </c>
      <c r="Y793" s="18">
        <v>45972.0</v>
      </c>
      <c r="Z793" s="20">
        <v>0.7180555555555556</v>
      </c>
      <c r="AA793" s="20">
        <v>0.7847222222222222</v>
      </c>
      <c r="AB793" s="54"/>
      <c r="AC793" s="54"/>
      <c r="AD793" s="51">
        <v>0.7916666666666666</v>
      </c>
      <c r="AE793" s="18">
        <v>45972.0</v>
      </c>
      <c r="AF793" s="22" t="s">
        <v>6115</v>
      </c>
      <c r="AG793" s="22" t="s">
        <v>284</v>
      </c>
      <c r="AH793" s="22" t="s">
        <v>6149</v>
      </c>
      <c r="AI793" s="26" t="str">
        <f>IFERROR(__xludf.DUMMYFUNCTION("IF(OR(W793="""",X793="""",AE793="""",AD793=""""),"""",
   TEXT(
     (
       (AE793+AD793 + IF(AE793+AD793 &lt; W793+X793,1,0)) - (W793+X793)
     )
     - IF(AND(AB793&lt;&gt;"""",AC793&lt;&gt;""""), 
          SUM(ARRAYFORMULA(SPLIT(AC793,"","") - SPLIT(AB793,"",""))"&amp;"), 
          0
       ),
     ""[hh]:mm""
   )
)
"),"01:46")</f>
        <v>01:46</v>
      </c>
      <c r="AJ793" s="55">
        <f t="shared" si="9"/>
        <v>0</v>
      </c>
      <c r="AK793" s="28" t="str">
        <f t="shared" si="10"/>
        <v>Pass</v>
      </c>
    </row>
    <row r="794">
      <c r="A794" s="45">
        <v>45972.0</v>
      </c>
      <c r="B794" s="49">
        <v>0.7381944444444445</v>
      </c>
      <c r="C794" s="45">
        <v>45972.0</v>
      </c>
      <c r="D794" s="49">
        <v>0.7569444444444444</v>
      </c>
      <c r="E794" s="21" t="s">
        <v>6191</v>
      </c>
      <c r="F794" s="21" t="s">
        <v>3449</v>
      </c>
      <c r="G794" s="21" t="s">
        <v>3450</v>
      </c>
      <c r="H794" s="21" t="s">
        <v>566</v>
      </c>
      <c r="I794" s="21" t="s">
        <v>60</v>
      </c>
      <c r="J794" s="21" t="s">
        <v>3806</v>
      </c>
      <c r="K794" s="21" t="s">
        <v>43</v>
      </c>
      <c r="L794" s="21" t="s">
        <v>6192</v>
      </c>
      <c r="M794" s="21" t="s">
        <v>6193</v>
      </c>
      <c r="N794" s="21" t="s">
        <v>6194</v>
      </c>
      <c r="O794" s="48" t="s">
        <v>6195</v>
      </c>
      <c r="P794" s="21" t="s">
        <v>48</v>
      </c>
      <c r="Q794" s="24" t="s">
        <v>65</v>
      </c>
      <c r="R794" s="21" t="s">
        <v>6196</v>
      </c>
      <c r="S794" s="21" t="s">
        <v>51</v>
      </c>
      <c r="T794" s="21" t="s">
        <v>52</v>
      </c>
      <c r="U794" s="21" t="s">
        <v>52</v>
      </c>
      <c r="V794" s="21" t="s">
        <v>52</v>
      </c>
      <c r="W794" s="45">
        <v>45973.0</v>
      </c>
      <c r="X794" s="49">
        <v>0.375</v>
      </c>
      <c r="Y794" s="45">
        <v>45973.0</v>
      </c>
      <c r="Z794" s="49">
        <v>0.5347222222222222</v>
      </c>
      <c r="AA794" s="49">
        <v>0.5625</v>
      </c>
      <c r="AB794" s="29"/>
      <c r="AC794" s="29"/>
      <c r="AD794" s="25">
        <v>0.6145833333333334</v>
      </c>
      <c r="AE794" s="45">
        <v>45973.0</v>
      </c>
      <c r="AF794" s="21" t="s">
        <v>2828</v>
      </c>
      <c r="AG794" s="21" t="s">
        <v>209</v>
      </c>
      <c r="AH794" s="21" t="s">
        <v>6197</v>
      </c>
      <c r="AI794" s="62" t="str">
        <f>IFERROR(__xludf.DUMMYFUNCTION("IF(OR(W794="""",X794="""",AE794="""",AD794=""""),"""",
   TEXT(
     (
       (AE794+AD794 + IF(AE794+AD794 &lt; W794+X794,1,0)) - (W794+X794)
     )
     - IF(AND(AB794&lt;&gt;"""",AC794&lt;&gt;""""), 
          SUM(ARRAYFORMULA(SPLIT(AC794,"","") - SPLIT(AB794,"",""))"&amp;"), 
          0
       ),
     ""[hh]:mm""
   )
)
"),"05:45")</f>
        <v>05:45</v>
      </c>
      <c r="AJ794" s="27">
        <f t="shared" si="9"/>
        <v>0</v>
      </c>
      <c r="AK794" s="63" t="str">
        <f t="shared" si="10"/>
        <v>Pass</v>
      </c>
    </row>
    <row r="795">
      <c r="A795" s="45">
        <v>45973.0</v>
      </c>
      <c r="B795" s="49">
        <v>0.6215277777777778</v>
      </c>
      <c r="C795" s="45">
        <v>45973.0</v>
      </c>
      <c r="D795" s="49">
        <v>0.6215277777777778</v>
      </c>
      <c r="E795" s="21" t="s">
        <v>6198</v>
      </c>
      <c r="F795" s="21" t="s">
        <v>3449</v>
      </c>
      <c r="G795" s="21" t="s">
        <v>3450</v>
      </c>
      <c r="H795" s="21" t="s">
        <v>4070</v>
      </c>
      <c r="I795" s="21" t="s">
        <v>567</v>
      </c>
      <c r="J795" s="21" t="s">
        <v>567</v>
      </c>
      <c r="K795" s="21" t="s">
        <v>568</v>
      </c>
      <c r="L795" s="21" t="s">
        <v>568</v>
      </c>
      <c r="M795" s="21" t="s">
        <v>6199</v>
      </c>
      <c r="N795" s="21" t="s">
        <v>6200</v>
      </c>
      <c r="O795" s="48" t="s">
        <v>6201</v>
      </c>
      <c r="P795" s="21" t="s">
        <v>48</v>
      </c>
      <c r="Q795" s="24" t="s">
        <v>65</v>
      </c>
      <c r="R795" s="21" t="s">
        <v>6202</v>
      </c>
      <c r="S795" s="21" t="s">
        <v>51</v>
      </c>
      <c r="T795" s="21" t="s">
        <v>52</v>
      </c>
      <c r="U795" s="21" t="s">
        <v>52</v>
      </c>
      <c r="V795" s="21" t="s">
        <v>52</v>
      </c>
      <c r="W795" s="45">
        <v>45973.0</v>
      </c>
      <c r="X795" s="49">
        <v>0.6215277777777778</v>
      </c>
      <c r="Y795" s="45">
        <v>45973.0</v>
      </c>
      <c r="Z795" s="49">
        <v>0.5347222222222222</v>
      </c>
      <c r="AA795" s="49">
        <v>0.6215277777777778</v>
      </c>
      <c r="AB795" s="29"/>
      <c r="AC795" s="29"/>
      <c r="AD795" s="25">
        <v>0.6736111111111112</v>
      </c>
      <c r="AE795" s="45">
        <v>45973.0</v>
      </c>
      <c r="AF795" s="47"/>
      <c r="AG795" s="21" t="s">
        <v>209</v>
      </c>
      <c r="AH795" s="21" t="s">
        <v>6197</v>
      </c>
      <c r="AI795" s="62" t="str">
        <f>IFERROR(__xludf.DUMMYFUNCTION("IF(OR(W795="""",X795="""",AE795="""",AD795=""""),"""",
   TEXT(
     (
       (AE795+AD795 + IF(AE795+AD795 &lt; W795+X795,1,0)) - (W795+X795)
     )
     - IF(AND(AB795&lt;&gt;"""",AC795&lt;&gt;""""), 
          SUM(ARRAYFORMULA(SPLIT(AC795,"","") - SPLIT(AB795,"",""))"&amp;"), 
          0
       ),
     ""[hh]:mm""
   )
)
"),"01:15")</f>
        <v>01:15</v>
      </c>
      <c r="AJ795" s="27">
        <f t="shared" si="9"/>
        <v>0</v>
      </c>
      <c r="AK795" s="63" t="str">
        <f t="shared" si="10"/>
        <v>Pass</v>
      </c>
    </row>
    <row r="796">
      <c r="A796" s="45">
        <v>45972.0</v>
      </c>
      <c r="B796" s="49">
        <v>0.8291666666666667</v>
      </c>
      <c r="C796" s="45">
        <v>45972.0</v>
      </c>
      <c r="D796" s="49">
        <v>0.8375</v>
      </c>
      <c r="E796" s="21" t="s">
        <v>6203</v>
      </c>
      <c r="F796" s="21" t="s">
        <v>2045</v>
      </c>
      <c r="G796" s="21" t="s">
        <v>2046</v>
      </c>
      <c r="H796" s="21" t="s">
        <v>1610</v>
      </c>
      <c r="I796" s="21" t="s">
        <v>1612</v>
      </c>
      <c r="J796" s="21" t="s">
        <v>1612</v>
      </c>
      <c r="K796" s="21" t="s">
        <v>143</v>
      </c>
      <c r="L796" s="21" t="s">
        <v>1613</v>
      </c>
      <c r="M796" s="21" t="s">
        <v>6204</v>
      </c>
      <c r="N796" s="21" t="s">
        <v>6205</v>
      </c>
      <c r="O796" s="48" t="s">
        <v>6206</v>
      </c>
      <c r="P796" s="21" t="s">
        <v>187</v>
      </c>
      <c r="Q796" s="24" t="s">
        <v>65</v>
      </c>
      <c r="R796" s="21" t="s">
        <v>6207</v>
      </c>
      <c r="S796" s="21" t="s">
        <v>51</v>
      </c>
      <c r="T796" s="21" t="s">
        <v>52</v>
      </c>
      <c r="U796" s="21" t="s">
        <v>52</v>
      </c>
      <c r="V796" s="21" t="s">
        <v>52</v>
      </c>
      <c r="W796" s="45">
        <v>45973.0</v>
      </c>
      <c r="X796" s="49">
        <v>0.375</v>
      </c>
      <c r="Y796" s="45">
        <v>45973.0</v>
      </c>
      <c r="Z796" s="49">
        <v>0.46111111111111114</v>
      </c>
      <c r="AA796" s="49">
        <v>0.5381944444444444</v>
      </c>
      <c r="AB796" s="25">
        <v>0.5097222222222222</v>
      </c>
      <c r="AC796" s="25">
        <v>0.5381944444444444</v>
      </c>
      <c r="AD796" s="25">
        <v>0.6284722222222222</v>
      </c>
      <c r="AE796" s="45">
        <v>45973.0</v>
      </c>
      <c r="AF796" s="21" t="s">
        <v>2828</v>
      </c>
      <c r="AG796" s="21" t="s">
        <v>102</v>
      </c>
      <c r="AH796" s="21" t="s">
        <v>6208</v>
      </c>
      <c r="AI796" s="62" t="str">
        <f>IFERROR(__xludf.DUMMYFUNCTION("IF(OR(W796="""",X796="""",AE796="""",AD796=""""),"""",
   TEXT(
     (
       (AE796+AD796 + IF(AE796+AD796 &lt; W796+X796,1,0)) - (W796+X796)
     )
     - IF(AND(AB796&lt;&gt;"""",AC796&lt;&gt;""""), 
          SUM(ARRAYFORMULA(SPLIT(AC796,"","") - SPLIT(AB796,"",""))"&amp;"), 
          0
       ),
     ""[hh]:mm""
   )
)
"),"05:24")</f>
        <v>05:24</v>
      </c>
      <c r="AJ796" s="27">
        <f t="shared" si="9"/>
        <v>0</v>
      </c>
      <c r="AK796" s="63" t="str">
        <f t="shared" si="10"/>
        <v>Pass</v>
      </c>
    </row>
    <row r="797">
      <c r="A797" s="45">
        <v>45972.0</v>
      </c>
      <c r="B797" s="49">
        <v>0.8291666666666667</v>
      </c>
      <c r="C797" s="45">
        <v>45972.0</v>
      </c>
      <c r="D797" s="49">
        <v>0.8375</v>
      </c>
      <c r="E797" s="21" t="s">
        <v>6209</v>
      </c>
      <c r="F797" s="21" t="s">
        <v>2045</v>
      </c>
      <c r="G797" s="21" t="s">
        <v>2046</v>
      </c>
      <c r="H797" s="21" t="s">
        <v>1610</v>
      </c>
      <c r="I797" s="21" t="s">
        <v>1612</v>
      </c>
      <c r="J797" s="21" t="s">
        <v>1612</v>
      </c>
      <c r="K797" s="21" t="s">
        <v>143</v>
      </c>
      <c r="L797" s="21" t="s">
        <v>1613</v>
      </c>
      <c r="M797" s="21" t="s">
        <v>6210</v>
      </c>
      <c r="N797" s="21" t="s">
        <v>6205</v>
      </c>
      <c r="O797" s="48" t="s">
        <v>6211</v>
      </c>
      <c r="P797" s="21" t="s">
        <v>187</v>
      </c>
      <c r="Q797" s="24" t="s">
        <v>65</v>
      </c>
      <c r="R797" s="21" t="s">
        <v>6207</v>
      </c>
      <c r="S797" s="21" t="s">
        <v>51</v>
      </c>
      <c r="T797" s="21" t="s">
        <v>52</v>
      </c>
      <c r="U797" s="21" t="s">
        <v>52</v>
      </c>
      <c r="V797" s="21" t="s">
        <v>52</v>
      </c>
      <c r="W797" s="45">
        <v>45973.0</v>
      </c>
      <c r="X797" s="49">
        <v>0.375</v>
      </c>
      <c r="Y797" s="45">
        <v>45973.0</v>
      </c>
      <c r="Z797" s="49">
        <v>0.46111111111111114</v>
      </c>
      <c r="AA797" s="49">
        <v>0.5381944444444444</v>
      </c>
      <c r="AB797" s="25">
        <v>0.5097222222222222</v>
      </c>
      <c r="AC797" s="25">
        <v>0.5381944444444444</v>
      </c>
      <c r="AD797" s="25">
        <v>0.6284722222222222</v>
      </c>
      <c r="AE797" s="45">
        <v>45973.0</v>
      </c>
      <c r="AF797" s="21" t="s">
        <v>2828</v>
      </c>
      <c r="AG797" s="21" t="s">
        <v>102</v>
      </c>
      <c r="AH797" s="21" t="s">
        <v>6208</v>
      </c>
      <c r="AI797" s="62" t="str">
        <f>IFERROR(__xludf.DUMMYFUNCTION("IF(OR(W797="""",X797="""",AE797="""",AD797=""""),"""",
   TEXT(
     (
       (AE797+AD797 + IF(AE797+AD797 &lt; W797+X797,1,0)) - (W797+X797)
     )
     - IF(AND(AB797&lt;&gt;"""",AC797&lt;&gt;""""), 
          SUM(ARRAYFORMULA(SPLIT(AC797,"","") - SPLIT(AB797,"",""))"&amp;"), 
          0
       ),
     ""[hh]:mm""
   )
)
"),"05:24")</f>
        <v>05:24</v>
      </c>
      <c r="AJ797" s="27">
        <f t="shared" si="9"/>
        <v>0</v>
      </c>
      <c r="AK797" s="63" t="str">
        <f t="shared" si="10"/>
        <v>Pass</v>
      </c>
    </row>
    <row r="798">
      <c r="A798" s="45">
        <v>45973.0</v>
      </c>
      <c r="B798" s="49">
        <v>0.2777777777777778</v>
      </c>
      <c r="C798" s="45">
        <v>45973.0</v>
      </c>
      <c r="D798" s="49">
        <v>0.3</v>
      </c>
      <c r="E798" s="21" t="s">
        <v>6212</v>
      </c>
      <c r="F798" s="21" t="s">
        <v>1315</v>
      </c>
      <c r="G798" s="21" t="s">
        <v>6213</v>
      </c>
      <c r="H798" s="21" t="s">
        <v>4631</v>
      </c>
      <c r="I798" s="21" t="s">
        <v>60</v>
      </c>
      <c r="J798" s="21" t="s">
        <v>3806</v>
      </c>
      <c r="K798" s="21" t="s">
        <v>43</v>
      </c>
      <c r="L798" s="21" t="s">
        <v>2471</v>
      </c>
      <c r="M798" s="21" t="s">
        <v>6214</v>
      </c>
      <c r="N798" s="21" t="s">
        <v>6215</v>
      </c>
      <c r="O798" s="48" t="s">
        <v>6216</v>
      </c>
      <c r="P798" s="21" t="s">
        <v>75</v>
      </c>
      <c r="Q798" s="24" t="s">
        <v>65</v>
      </c>
      <c r="R798" s="21" t="s">
        <v>6217</v>
      </c>
      <c r="S798" s="21" t="s">
        <v>51</v>
      </c>
      <c r="T798" s="21" t="s">
        <v>52</v>
      </c>
      <c r="U798" s="21" t="s">
        <v>52</v>
      </c>
      <c r="V798" s="21" t="s">
        <v>52</v>
      </c>
      <c r="W798" s="45">
        <v>45973.0</v>
      </c>
      <c r="X798" s="49">
        <v>0.3</v>
      </c>
      <c r="Y798" s="45">
        <v>45973.0</v>
      </c>
      <c r="Z798" s="49">
        <v>0.4597222222222222</v>
      </c>
      <c r="AA798" s="49">
        <v>0.4618055555555556</v>
      </c>
      <c r="AB798" s="25">
        <v>0.5</v>
      </c>
      <c r="AC798" s="25">
        <v>0.5208333333333334</v>
      </c>
      <c r="AD798" s="25">
        <v>0.5263888888888889</v>
      </c>
      <c r="AE798" s="45">
        <v>45973.0</v>
      </c>
      <c r="AF798" s="21" t="s">
        <v>2931</v>
      </c>
      <c r="AG798" s="21" t="s">
        <v>6218</v>
      </c>
      <c r="AH798" s="21" t="s">
        <v>6219</v>
      </c>
      <c r="AI798" s="62" t="str">
        <f>IFERROR(__xludf.DUMMYFUNCTION("IF(OR(W798="""",X798="""",AE798="""",AD798=""""),"""",
   TEXT(
     (
       (AE798+AD798 + IF(AE798+AD798 &lt; W798+X798,1,0)) - (W798+X798)
     )
     - IF(AND(AB798&lt;&gt;"""",AC798&lt;&gt;""""), 
          SUM(ARRAYFORMULA(SPLIT(AC798,"","") - SPLIT(AB798,"",""))"&amp;"), 
          0
       ),
     ""[hh]:mm""
   )
)
"),"04:56")</f>
        <v>04:56</v>
      </c>
      <c r="AJ798" s="27">
        <f t="shared" si="9"/>
        <v>0</v>
      </c>
      <c r="AK798" s="63" t="str">
        <f t="shared" si="10"/>
        <v>Pass</v>
      </c>
    </row>
    <row r="799">
      <c r="A799" s="18">
        <v>45973.0</v>
      </c>
      <c r="B799" s="20">
        <v>0.3576388888888889</v>
      </c>
      <c r="C799" s="18">
        <v>45973.0</v>
      </c>
      <c r="D799" s="20">
        <v>0.36875</v>
      </c>
      <c r="E799" s="22" t="s">
        <v>6220</v>
      </c>
      <c r="F799" s="22" t="s">
        <v>6221</v>
      </c>
      <c r="G799" s="22" t="s">
        <v>6222</v>
      </c>
      <c r="H799" s="22" t="s">
        <v>142</v>
      </c>
      <c r="I799" s="22" t="s">
        <v>951</v>
      </c>
      <c r="J799" s="22" t="s">
        <v>95</v>
      </c>
      <c r="K799" s="22" t="s">
        <v>143</v>
      </c>
      <c r="L799" s="22" t="s">
        <v>3175</v>
      </c>
      <c r="M799" s="22" t="s">
        <v>6223</v>
      </c>
      <c r="N799" s="22" t="s">
        <v>6224</v>
      </c>
      <c r="O799" s="23" t="s">
        <v>6225</v>
      </c>
      <c r="P799" s="22" t="s">
        <v>48</v>
      </c>
      <c r="Q799" s="50" t="s">
        <v>49</v>
      </c>
      <c r="R799" s="22" t="s">
        <v>6226</v>
      </c>
      <c r="S799" s="22" t="s">
        <v>51</v>
      </c>
      <c r="T799" s="22" t="s">
        <v>52</v>
      </c>
      <c r="U799" s="22" t="s">
        <v>52</v>
      </c>
      <c r="V799" s="22" t="s">
        <v>52</v>
      </c>
      <c r="W799" s="18">
        <v>45973.0</v>
      </c>
      <c r="X799" s="20">
        <v>0.36875</v>
      </c>
      <c r="Y799" s="18">
        <v>45973.0</v>
      </c>
      <c r="Z799" s="20">
        <v>0.5340277777777778</v>
      </c>
      <c r="AA799" s="20">
        <v>0.5416666666666666</v>
      </c>
      <c r="AB799" s="50" t="s">
        <v>6227</v>
      </c>
      <c r="AC799" s="50" t="s">
        <v>6228</v>
      </c>
      <c r="AD799" s="51">
        <v>0.9583333333333334</v>
      </c>
      <c r="AE799" s="18">
        <v>45973.0</v>
      </c>
      <c r="AF799" s="22" t="s">
        <v>2744</v>
      </c>
      <c r="AG799" s="22" t="s">
        <v>284</v>
      </c>
      <c r="AH799" s="22" t="s">
        <v>6229</v>
      </c>
      <c r="AI799" s="26" t="str">
        <f>IFERROR(__xludf.DUMMYFUNCTION("IF(OR(W799="""",X799="""",AE799="""",AD799=""""),"""",
   TEXT(
     (
       (AE799+AD799 + IF(AE799+AD799 &lt; W799+X799,1,0)) - (W799+X799)
     )
     - IF(AND(AB799&lt;&gt;"""",AC799&lt;&gt;""""), 
          SUM(ARRAYFORMULA(SPLIT(AC799,"","") - SPLIT(AB799,"",""))"&amp;"), 
          0
       ),
     ""[hh]:mm""
   )
)
"),"10:39")</f>
        <v>10:39</v>
      </c>
      <c r="AJ799" s="55">
        <f t="shared" si="9"/>
        <v>0.2770833333</v>
      </c>
      <c r="AK799" s="28" t="str">
        <f t="shared" si="10"/>
        <v>Fail</v>
      </c>
    </row>
    <row r="800">
      <c r="A800" s="45">
        <v>45973.0</v>
      </c>
      <c r="B800" s="49">
        <v>0.3729166666666667</v>
      </c>
      <c r="C800" s="45">
        <v>45973.0</v>
      </c>
      <c r="D800" s="49">
        <v>0.375</v>
      </c>
      <c r="E800" s="21" t="s">
        <v>6230</v>
      </c>
      <c r="F800" s="21" t="s">
        <v>3831</v>
      </c>
      <c r="G800" s="21" t="s">
        <v>3832</v>
      </c>
      <c r="H800" s="21" t="s">
        <v>2184</v>
      </c>
      <c r="I800" s="21" t="s">
        <v>644</v>
      </c>
      <c r="J800" s="21" t="s">
        <v>644</v>
      </c>
      <c r="K800" s="21" t="s">
        <v>143</v>
      </c>
      <c r="L800" s="21" t="s">
        <v>6231</v>
      </c>
      <c r="M800" s="21" t="s">
        <v>6232</v>
      </c>
      <c r="N800" s="21" t="s">
        <v>6233</v>
      </c>
      <c r="O800" s="48" t="s">
        <v>6234</v>
      </c>
      <c r="P800" s="21" t="s">
        <v>48</v>
      </c>
      <c r="Q800" s="24" t="s">
        <v>65</v>
      </c>
      <c r="R800" s="21" t="s">
        <v>6235</v>
      </c>
      <c r="S800" s="21" t="s">
        <v>51</v>
      </c>
      <c r="T800" s="21" t="s">
        <v>52</v>
      </c>
      <c r="U800" s="21" t="s">
        <v>52</v>
      </c>
      <c r="V800" s="21" t="s">
        <v>52</v>
      </c>
      <c r="W800" s="45">
        <v>45973.0</v>
      </c>
      <c r="X800" s="49">
        <v>0.36875</v>
      </c>
      <c r="Y800" s="45">
        <v>45973.0</v>
      </c>
      <c r="Z800" s="49">
        <v>0.47152777777777777</v>
      </c>
      <c r="AA800" s="49">
        <v>0.4722222222222222</v>
      </c>
      <c r="AB800" s="29"/>
      <c r="AC800" s="29"/>
      <c r="AD800" s="25">
        <v>0.5958333333333333</v>
      </c>
      <c r="AE800" s="45">
        <v>45973.0</v>
      </c>
      <c r="AF800" s="21" t="s">
        <v>3358</v>
      </c>
      <c r="AG800" s="21" t="s">
        <v>6236</v>
      </c>
      <c r="AH800" s="21" t="s">
        <v>6237</v>
      </c>
      <c r="AI800" s="62" t="str">
        <f>IFERROR(__xludf.DUMMYFUNCTION("IF(OR(W800="""",X800="""",AE800="""",AD800=""""),"""",
   TEXT(
     (
       (AE800+AD800 + IF(AE800+AD800 &lt; W800+X800,1,0)) - (W800+X800)
     )
     - IF(AND(AB800&lt;&gt;"""",AC800&lt;&gt;""""), 
          SUM(ARRAYFORMULA(SPLIT(AC800,"","") - SPLIT(AB800,"",""))"&amp;"), 
          0
       ),
     ""[hh]:mm""
   )
)
"),"05:27")</f>
        <v>05:27</v>
      </c>
      <c r="AJ800" s="27">
        <f t="shared" si="9"/>
        <v>0</v>
      </c>
      <c r="AK800" s="63" t="str">
        <f t="shared" si="10"/>
        <v>Pass</v>
      </c>
    </row>
    <row r="801">
      <c r="A801" s="18">
        <v>45942.0</v>
      </c>
      <c r="B801" s="20">
        <v>0.04861111111111111</v>
      </c>
      <c r="C801" s="18">
        <v>45942.0</v>
      </c>
      <c r="D801" s="20">
        <v>0.3784722222222222</v>
      </c>
      <c r="E801" s="22" t="s">
        <v>6238</v>
      </c>
      <c r="F801" s="22" t="s">
        <v>1093</v>
      </c>
      <c r="G801" s="22" t="s">
        <v>1094</v>
      </c>
      <c r="H801" s="22" t="s">
        <v>2120</v>
      </c>
      <c r="I801" s="22" t="s">
        <v>95</v>
      </c>
      <c r="J801" s="22" t="s">
        <v>95</v>
      </c>
      <c r="K801" s="22" t="s">
        <v>143</v>
      </c>
      <c r="L801" s="22" t="s">
        <v>6239</v>
      </c>
      <c r="M801" s="22" t="s">
        <v>6240</v>
      </c>
      <c r="N801" s="22" t="s">
        <v>6241</v>
      </c>
      <c r="O801" s="23" t="s">
        <v>6242</v>
      </c>
      <c r="P801" s="22" t="s">
        <v>75</v>
      </c>
      <c r="Q801" s="50" t="s">
        <v>49</v>
      </c>
      <c r="R801" s="22" t="s">
        <v>6243</v>
      </c>
      <c r="S801" s="22" t="s">
        <v>51</v>
      </c>
      <c r="T801" s="22" t="s">
        <v>2125</v>
      </c>
      <c r="U801" s="22" t="s">
        <v>6244</v>
      </c>
      <c r="V801" s="22" t="s">
        <v>52</v>
      </c>
      <c r="W801" s="18">
        <v>45973.0</v>
      </c>
      <c r="X801" s="20">
        <v>0.9791666666666666</v>
      </c>
      <c r="Y801" s="18">
        <v>45973.0</v>
      </c>
      <c r="Z801" s="20">
        <v>0.9354166666666667</v>
      </c>
      <c r="AA801" s="20">
        <v>0.0625</v>
      </c>
      <c r="AB801" s="50" t="s">
        <v>6245</v>
      </c>
      <c r="AC801" s="50" t="s">
        <v>5609</v>
      </c>
      <c r="AD801" s="77">
        <v>0.125</v>
      </c>
      <c r="AE801" s="18">
        <v>45974.0</v>
      </c>
      <c r="AF801" s="22" t="s">
        <v>2828</v>
      </c>
      <c r="AG801" s="22" t="s">
        <v>3191</v>
      </c>
      <c r="AH801" s="22" t="s">
        <v>6246</v>
      </c>
      <c r="AI801" s="26" t="str">
        <f>IFERROR(__xludf.DUMMYFUNCTION("IF(OR(W801="""",X801="""",AE801="""",AD801=""""),"""",
   TEXT(
     (
       (AE801+AD801 + IF(AE801+AD801 &lt; W801+X801,1,0)) - (W801+X801)
     )
     - IF(AND(AB801&lt;&gt;"""",AC801&lt;&gt;""""), 
          SUM(ARRAYFORMULA(SPLIT(AC801,"","") - SPLIT(AB801,"",""))"&amp;"), 
          0
       ),
     ""[hh]:mm""
   )
)
"),"00:31")</f>
        <v>00:31</v>
      </c>
      <c r="AJ801" s="55">
        <f t="shared" si="9"/>
        <v>0</v>
      </c>
      <c r="AK801" s="28" t="str">
        <f t="shared" si="10"/>
        <v>Pass</v>
      </c>
    </row>
    <row r="802">
      <c r="A802" s="45">
        <v>45968.0</v>
      </c>
      <c r="B802" s="49">
        <v>0.7368055555555556</v>
      </c>
      <c r="C802" s="45">
        <v>45968.0</v>
      </c>
      <c r="D802" s="49">
        <v>0.7833333333333333</v>
      </c>
      <c r="E802" s="21" t="s">
        <v>6247</v>
      </c>
      <c r="F802" s="21" t="s">
        <v>6248</v>
      </c>
      <c r="G802" s="21" t="s">
        <v>6249</v>
      </c>
      <c r="H802" s="21" t="s">
        <v>1638</v>
      </c>
      <c r="I802" s="21" t="s">
        <v>1326</v>
      </c>
      <c r="J802" s="21" t="s">
        <v>768</v>
      </c>
      <c r="K802" s="21" t="s">
        <v>769</v>
      </c>
      <c r="L802" s="21" t="s">
        <v>1327</v>
      </c>
      <c r="M802" s="21" t="s">
        <v>6250</v>
      </c>
      <c r="N802" s="21" t="s">
        <v>6251</v>
      </c>
      <c r="O802" s="48" t="s">
        <v>6252</v>
      </c>
      <c r="P802" s="21" t="s">
        <v>187</v>
      </c>
      <c r="Q802" s="24" t="s">
        <v>65</v>
      </c>
      <c r="R802" s="21" t="s">
        <v>6253</v>
      </c>
      <c r="S802" s="21" t="s">
        <v>51</v>
      </c>
      <c r="T802" s="21" t="s">
        <v>52</v>
      </c>
      <c r="U802" s="21" t="s">
        <v>52</v>
      </c>
      <c r="V802" s="21" t="s">
        <v>52</v>
      </c>
      <c r="W802" s="45">
        <v>45973.0</v>
      </c>
      <c r="X802" s="49">
        <v>0.46875</v>
      </c>
      <c r="Y802" s="45">
        <v>45973.0</v>
      </c>
      <c r="Z802" s="49">
        <v>0.5625</v>
      </c>
      <c r="AA802" s="49">
        <v>0.5659722222222222</v>
      </c>
      <c r="AB802" s="25">
        <v>0.6041666666666666</v>
      </c>
      <c r="AC802" s="25">
        <v>0.625</v>
      </c>
      <c r="AD802" s="25">
        <v>0.625</v>
      </c>
      <c r="AE802" s="45">
        <v>45973.0</v>
      </c>
      <c r="AF802" s="21" t="s">
        <v>2711</v>
      </c>
      <c r="AG802" s="21" t="s">
        <v>6254</v>
      </c>
      <c r="AH802" s="21" t="s">
        <v>6255</v>
      </c>
      <c r="AI802" s="62" t="str">
        <f>IFERROR(__xludf.DUMMYFUNCTION("IF(OR(W802="""",X802="""",AE802="""",AD802=""""),"""",
   TEXT(
     (
       (AE802+AD802 + IF(AE802+AD802 &lt; W802+X802,1,0)) - (W802+X802)
     )
     - IF(AND(AB802&lt;&gt;"""",AC802&lt;&gt;""""), 
          SUM(ARRAYFORMULA(SPLIT(AC802,"","") - SPLIT(AB802,"",""))"&amp;"), 
          0
       ),
     ""[hh]:mm""
   )
)
"),"03:15")</f>
        <v>03:15</v>
      </c>
      <c r="AJ802" s="27">
        <f t="shared" si="9"/>
        <v>0</v>
      </c>
      <c r="AK802" s="63" t="str">
        <f t="shared" si="10"/>
        <v>Pass</v>
      </c>
    </row>
    <row r="803">
      <c r="A803" s="45">
        <v>45973.0</v>
      </c>
      <c r="B803" s="49">
        <v>0.45069444444444445</v>
      </c>
      <c r="C803" s="45">
        <v>45973.0</v>
      </c>
      <c r="D803" s="49">
        <v>0.4666666666666667</v>
      </c>
      <c r="E803" s="21" t="s">
        <v>6256</v>
      </c>
      <c r="F803" s="21" t="s">
        <v>3439</v>
      </c>
      <c r="G803" s="21" t="s">
        <v>3440</v>
      </c>
      <c r="H803" s="21" t="s">
        <v>253</v>
      </c>
      <c r="I803" s="21" t="s">
        <v>60</v>
      </c>
      <c r="J803" s="21" t="s">
        <v>3806</v>
      </c>
      <c r="K803" s="21" t="s">
        <v>43</v>
      </c>
      <c r="L803" s="47"/>
      <c r="M803" s="21" t="s">
        <v>6257</v>
      </c>
      <c r="N803" s="21" t="s">
        <v>6258</v>
      </c>
      <c r="O803" s="48" t="s">
        <v>6259</v>
      </c>
      <c r="P803" s="21" t="s">
        <v>75</v>
      </c>
      <c r="Q803" s="24" t="s">
        <v>65</v>
      </c>
      <c r="R803" s="21" t="s">
        <v>6260</v>
      </c>
      <c r="S803" s="21" t="s">
        <v>51</v>
      </c>
      <c r="T803" s="21" t="s">
        <v>52</v>
      </c>
      <c r="U803" s="21" t="s">
        <v>52</v>
      </c>
      <c r="V803" s="21" t="s">
        <v>52</v>
      </c>
      <c r="W803" s="45">
        <v>45973.0</v>
      </c>
      <c r="X803" s="49">
        <v>0.625</v>
      </c>
      <c r="Y803" s="45">
        <v>45973.0</v>
      </c>
      <c r="Z803" s="49">
        <v>0.6472222222222223</v>
      </c>
      <c r="AA803" s="49">
        <v>0.6895833333333333</v>
      </c>
      <c r="AB803" s="24" t="s">
        <v>6261</v>
      </c>
      <c r="AC803" s="24" t="s">
        <v>6262</v>
      </c>
      <c r="AD803" s="25">
        <v>0.75</v>
      </c>
      <c r="AE803" s="45">
        <v>45973.0</v>
      </c>
      <c r="AF803" s="21" t="s">
        <v>6163</v>
      </c>
      <c r="AG803" s="21" t="s">
        <v>3197</v>
      </c>
      <c r="AH803" s="21" t="s">
        <v>6263</v>
      </c>
      <c r="AI803" s="62" t="str">
        <f>IFERROR(__xludf.DUMMYFUNCTION("IF(OR(W803="""",X803="""",AE803="""",AD803=""""),"""",
   TEXT(
     (
       (AE803+AD803 + IF(AE803+AD803 &lt; W803+X803,1,0)) - (W803+X803)
     )
     - IF(AND(AB803&lt;&gt;"""",AC803&lt;&gt;""""), 
          SUM(ARRAYFORMULA(SPLIT(AC803,"","") - SPLIT(AB803,"",""))"&amp;"), 
          0
       ),
     ""[hh]:mm""
   )
)
"),"01:03")</f>
        <v>01:03</v>
      </c>
      <c r="AJ803" s="27">
        <f t="shared" si="9"/>
        <v>0</v>
      </c>
      <c r="AK803" s="63" t="str">
        <f t="shared" si="10"/>
        <v>Pass</v>
      </c>
    </row>
    <row r="804">
      <c r="A804" s="45">
        <v>45973.0</v>
      </c>
      <c r="B804" s="49">
        <v>0.46875</v>
      </c>
      <c r="C804" s="45">
        <v>45973.0</v>
      </c>
      <c r="D804" s="49">
        <v>0.47847222222222224</v>
      </c>
      <c r="E804" s="21" t="s">
        <v>6264</v>
      </c>
      <c r="F804" s="21" t="s">
        <v>3241</v>
      </c>
      <c r="G804" s="21" t="s">
        <v>3242</v>
      </c>
      <c r="H804" s="21" t="s">
        <v>244</v>
      </c>
      <c r="I804" s="21" t="s">
        <v>4174</v>
      </c>
      <c r="J804" s="21" t="s">
        <v>5330</v>
      </c>
      <c r="K804" s="21" t="s">
        <v>3249</v>
      </c>
      <c r="L804" s="21" t="s">
        <v>5331</v>
      </c>
      <c r="M804" s="21" t="s">
        <v>6265</v>
      </c>
      <c r="N804" s="21" t="s">
        <v>6266</v>
      </c>
      <c r="O804" s="48" t="s">
        <v>6267</v>
      </c>
      <c r="P804" s="21" t="s">
        <v>48</v>
      </c>
      <c r="Q804" s="24" t="s">
        <v>65</v>
      </c>
      <c r="R804" s="21" t="s">
        <v>6268</v>
      </c>
      <c r="S804" s="21" t="s">
        <v>51</v>
      </c>
      <c r="T804" s="21" t="s">
        <v>52</v>
      </c>
      <c r="U804" s="21" t="s">
        <v>52</v>
      </c>
      <c r="V804" s="21" t="s">
        <v>52</v>
      </c>
      <c r="W804" s="45">
        <v>45973.0</v>
      </c>
      <c r="X804" s="49">
        <v>0.47847222222222224</v>
      </c>
      <c r="Y804" s="45">
        <v>45973.0</v>
      </c>
      <c r="Z804" s="49">
        <v>0.5055555555555555</v>
      </c>
      <c r="AA804" s="49">
        <v>0.50625</v>
      </c>
      <c r="AB804" s="29"/>
      <c r="AC804" s="29"/>
      <c r="AD804" s="25">
        <v>0.5694444444444444</v>
      </c>
      <c r="AE804" s="45">
        <v>45973.0</v>
      </c>
      <c r="AF804" s="21" t="s">
        <v>2744</v>
      </c>
      <c r="AG804" s="21" t="s">
        <v>1475</v>
      </c>
      <c r="AH804" s="21" t="s">
        <v>1406</v>
      </c>
      <c r="AI804" s="62" t="str">
        <f>IFERROR(__xludf.DUMMYFUNCTION("IF(OR(W804="""",X804="""",AE804="""",AD804=""""),"""",
   TEXT(
     (
       (AE804+AD804 + IF(AE804+AD804 &lt; W804+X804,1,0)) - (W804+X804)
     )
     - IF(AND(AB804&lt;&gt;"""",AC804&lt;&gt;""""), 
          SUM(ARRAYFORMULA(SPLIT(AC804,"","") - SPLIT(AB804,"",""))"&amp;"), 
          0
       ),
     ""[hh]:mm""
   )
)
"),"02:11")</f>
        <v>02:11</v>
      </c>
      <c r="AJ804" s="27">
        <f t="shared" si="9"/>
        <v>0</v>
      </c>
      <c r="AK804" s="63" t="str">
        <f t="shared" si="10"/>
        <v>Pass</v>
      </c>
    </row>
    <row r="805">
      <c r="A805" s="45">
        <v>45973.0</v>
      </c>
      <c r="B805" s="49">
        <v>0.4701388888888889</v>
      </c>
      <c r="C805" s="45">
        <v>45973.0</v>
      </c>
      <c r="D805" s="49">
        <v>0.4777777777777778</v>
      </c>
      <c r="E805" s="21" t="s">
        <v>6269</v>
      </c>
      <c r="F805" s="21" t="s">
        <v>3241</v>
      </c>
      <c r="G805" s="21" t="s">
        <v>3242</v>
      </c>
      <c r="H805" s="21" t="s">
        <v>244</v>
      </c>
      <c r="I805" s="21" t="s">
        <v>194</v>
      </c>
      <c r="J805" s="21" t="s">
        <v>5330</v>
      </c>
      <c r="K805" s="21" t="s">
        <v>3249</v>
      </c>
      <c r="L805" s="21" t="s">
        <v>5331</v>
      </c>
      <c r="M805" s="21" t="s">
        <v>6270</v>
      </c>
      <c r="N805" s="21" t="s">
        <v>6271</v>
      </c>
      <c r="O805" s="48" t="s">
        <v>6267</v>
      </c>
      <c r="P805" s="21" t="s">
        <v>48</v>
      </c>
      <c r="Q805" s="24" t="s">
        <v>65</v>
      </c>
      <c r="R805" s="21" t="s">
        <v>6268</v>
      </c>
      <c r="S805" s="21" t="s">
        <v>51</v>
      </c>
      <c r="T805" s="21" t="s">
        <v>52</v>
      </c>
      <c r="U805" s="21" t="s">
        <v>52</v>
      </c>
      <c r="V805" s="21" t="s">
        <v>52</v>
      </c>
      <c r="W805" s="45">
        <v>45973.0</v>
      </c>
      <c r="X805" s="49">
        <v>0.4777777777777778</v>
      </c>
      <c r="Y805" s="45">
        <v>45973.0</v>
      </c>
      <c r="Z805" s="49">
        <v>0.5055555555555555</v>
      </c>
      <c r="AA805" s="49">
        <v>0.50625</v>
      </c>
      <c r="AB805" s="29"/>
      <c r="AC805" s="29"/>
      <c r="AD805" s="25">
        <v>0.5694444444444444</v>
      </c>
      <c r="AE805" s="45">
        <v>45973.0</v>
      </c>
      <c r="AF805" s="21" t="s">
        <v>2744</v>
      </c>
      <c r="AG805" s="21" t="s">
        <v>1475</v>
      </c>
      <c r="AH805" s="21" t="s">
        <v>1406</v>
      </c>
      <c r="AI805" s="62" t="str">
        <f>IFERROR(__xludf.DUMMYFUNCTION("IF(OR(W805="""",X805="""",AE805="""",AD805=""""),"""",
   TEXT(
     (
       (AE805+AD805 + IF(AE805+AD805 &lt; W805+X805,1,0)) - (W805+X805)
     )
     - IF(AND(AB805&lt;&gt;"""",AC805&lt;&gt;""""), 
          SUM(ARRAYFORMULA(SPLIT(AC805,"","") - SPLIT(AB805,"",""))"&amp;"), 
          0
       ),
     ""[hh]:mm""
   )
)
"),"02:12")</f>
        <v>02:12</v>
      </c>
      <c r="AJ805" s="27">
        <f t="shared" si="9"/>
        <v>0</v>
      </c>
      <c r="AK805" s="63" t="str">
        <f t="shared" si="10"/>
        <v>Pass</v>
      </c>
    </row>
    <row r="806">
      <c r="A806" s="45">
        <v>45973.0</v>
      </c>
      <c r="B806" s="49">
        <v>0.49027777777777776</v>
      </c>
      <c r="C806" s="45">
        <v>45973.0</v>
      </c>
      <c r="D806" s="49">
        <v>0.5006944444444444</v>
      </c>
      <c r="E806" s="21" t="s">
        <v>6272</v>
      </c>
      <c r="F806" s="21" t="s">
        <v>2167</v>
      </c>
      <c r="G806" s="21" t="s">
        <v>2168</v>
      </c>
      <c r="H806" s="21" t="s">
        <v>142</v>
      </c>
      <c r="I806" s="21" t="s">
        <v>951</v>
      </c>
      <c r="J806" s="21" t="s">
        <v>95</v>
      </c>
      <c r="K806" s="21" t="s">
        <v>143</v>
      </c>
      <c r="L806" s="21" t="s">
        <v>3175</v>
      </c>
      <c r="M806" s="21" t="s">
        <v>6273</v>
      </c>
      <c r="N806" s="21" t="s">
        <v>6274</v>
      </c>
      <c r="O806" s="48" t="s">
        <v>6275</v>
      </c>
      <c r="P806" s="21" t="s">
        <v>48</v>
      </c>
      <c r="Q806" s="24" t="s">
        <v>49</v>
      </c>
      <c r="R806" s="21" t="s">
        <v>6276</v>
      </c>
      <c r="S806" s="21" t="s">
        <v>51</v>
      </c>
      <c r="T806" s="21" t="s">
        <v>52</v>
      </c>
      <c r="U806" s="21" t="s">
        <v>52</v>
      </c>
      <c r="V806" s="21" t="s">
        <v>52</v>
      </c>
      <c r="W806" s="45">
        <v>45973.0</v>
      </c>
      <c r="X806" s="49">
        <v>0.5006944444444444</v>
      </c>
      <c r="Y806" s="45">
        <v>45973.0</v>
      </c>
      <c r="Z806" s="49">
        <v>0.5833333333333334</v>
      </c>
      <c r="AA806" s="49">
        <v>0.5868055555555556</v>
      </c>
      <c r="AB806" s="24" t="s">
        <v>6277</v>
      </c>
      <c r="AC806" s="24" t="s">
        <v>6278</v>
      </c>
      <c r="AD806" s="25">
        <v>0.8333333333333334</v>
      </c>
      <c r="AE806" s="45">
        <v>45973.0</v>
      </c>
      <c r="AF806" s="21" t="s">
        <v>2744</v>
      </c>
      <c r="AG806" s="21" t="s">
        <v>583</v>
      </c>
      <c r="AH806" s="21" t="s">
        <v>6279</v>
      </c>
      <c r="AI806" s="62" t="str">
        <f>IFERROR(__xludf.DUMMYFUNCTION("IF(OR(W806="""",X806="""",AE806="""",AD806=""""),"""",
   TEXT(
     (
       (AE806+AD806 + IF(AE806+AD806 &lt; W806+X806,1,0)) - (W806+X806)
     )
     - IF(AND(AB806&lt;&gt;"""",AC806&lt;&gt;""""), 
          SUM(ARRAYFORMULA(SPLIT(AC806,"","") - SPLIT(AB806,"",""))"&amp;"), 
          0
       ),
     ""[hh]:mm""
   )
)
"),"03:59")</f>
        <v>03:59</v>
      </c>
      <c r="AJ806" s="27">
        <f t="shared" si="9"/>
        <v>0</v>
      </c>
      <c r="AK806" s="63" t="str">
        <f t="shared" si="10"/>
        <v>Pass</v>
      </c>
    </row>
    <row r="807">
      <c r="A807" s="18">
        <v>45973.0</v>
      </c>
      <c r="B807" s="20">
        <v>0.8104166666666667</v>
      </c>
      <c r="C807" s="18">
        <v>45973.0</v>
      </c>
      <c r="D807" s="20">
        <v>0.825</v>
      </c>
      <c r="E807" s="22" t="s">
        <v>6280</v>
      </c>
      <c r="F807" s="22" t="s">
        <v>3864</v>
      </c>
      <c r="G807" s="22" t="s">
        <v>3865</v>
      </c>
      <c r="H807" s="22" t="s">
        <v>142</v>
      </c>
      <c r="I807" s="22" t="s">
        <v>95</v>
      </c>
      <c r="J807" s="22" t="s">
        <v>95</v>
      </c>
      <c r="K807" s="21" t="s">
        <v>143</v>
      </c>
      <c r="L807" s="21" t="s">
        <v>3175</v>
      </c>
      <c r="M807" s="22" t="s">
        <v>6281</v>
      </c>
      <c r="N807" s="22" t="s">
        <v>6282</v>
      </c>
      <c r="O807" s="23" t="s">
        <v>6283</v>
      </c>
      <c r="P807" s="22" t="s">
        <v>48</v>
      </c>
      <c r="Q807" s="50" t="s">
        <v>49</v>
      </c>
      <c r="R807" s="22" t="s">
        <v>6284</v>
      </c>
      <c r="S807" s="22" t="s">
        <v>51</v>
      </c>
      <c r="T807" s="22" t="s">
        <v>52</v>
      </c>
      <c r="U807" s="22" t="s">
        <v>52</v>
      </c>
      <c r="V807" s="22" t="s">
        <v>52</v>
      </c>
      <c r="W807" s="18">
        <v>45973.0</v>
      </c>
      <c r="X807" s="20">
        <v>0.825</v>
      </c>
      <c r="Y807" s="18">
        <v>45973.0</v>
      </c>
      <c r="Z807" s="20">
        <v>0.9118055555555555</v>
      </c>
      <c r="AA807" s="20">
        <v>0.9131944444444444</v>
      </c>
      <c r="AB807" s="51">
        <v>0.9395833333333333</v>
      </c>
      <c r="AC807" s="51">
        <v>0.9756944444444444</v>
      </c>
      <c r="AD807" s="51">
        <v>0.98125</v>
      </c>
      <c r="AE807" s="18">
        <v>45973.0</v>
      </c>
      <c r="AF807" s="22" t="s">
        <v>53</v>
      </c>
      <c r="AG807" s="22" t="s">
        <v>5541</v>
      </c>
      <c r="AH807" s="22" t="s">
        <v>3871</v>
      </c>
      <c r="AI807" s="26" t="str">
        <f>IFERROR(__xludf.DUMMYFUNCTION("IF(OR(W807="""",X807="""",AE807="""",AD807=""""),"""",
   TEXT(
     (
       (AE807+AD807 + IF(AE807+AD807 &lt; W807+X807,1,0)) - (W807+X807)
     )
     - IF(AND(AB807&lt;&gt;"""",AC807&lt;&gt;""""), 
          SUM(ARRAYFORMULA(SPLIT(AC807,"","") - SPLIT(AB807,"",""))"&amp;"), 
          0
       ),
     ""[hh]:mm""
   )
)
"),"02:53")</f>
        <v>02:53</v>
      </c>
      <c r="AJ807" s="55">
        <f t="shared" si="9"/>
        <v>0</v>
      </c>
      <c r="AK807" s="28" t="str">
        <f t="shared" si="10"/>
        <v>Pass</v>
      </c>
    </row>
    <row r="808">
      <c r="A808" s="45">
        <v>45961.0</v>
      </c>
      <c r="B808" s="49">
        <v>0.65625</v>
      </c>
      <c r="C808" s="45">
        <v>45961.0</v>
      </c>
      <c r="D808" s="49">
        <v>0.6590277777777778</v>
      </c>
      <c r="E808" s="21" t="s">
        <v>6285</v>
      </c>
      <c r="F808" s="21" t="s">
        <v>1514</v>
      </c>
      <c r="G808" s="21" t="s">
        <v>1515</v>
      </c>
      <c r="H808" s="21" t="s">
        <v>156</v>
      </c>
      <c r="I808" s="21" t="s">
        <v>234</v>
      </c>
      <c r="J808" s="21" t="s">
        <v>3806</v>
      </c>
      <c r="K808" s="21" t="s">
        <v>43</v>
      </c>
      <c r="L808" s="21">
        <v>7600.0</v>
      </c>
      <c r="M808" s="21" t="s">
        <v>6286</v>
      </c>
      <c r="N808" s="21" t="s">
        <v>6287</v>
      </c>
      <c r="O808" s="48" t="s">
        <v>6288</v>
      </c>
      <c r="P808" s="21" t="s">
        <v>75</v>
      </c>
      <c r="Q808" s="24" t="s">
        <v>65</v>
      </c>
      <c r="R808" s="96" t="s">
        <v>6289</v>
      </c>
      <c r="S808" s="21" t="s">
        <v>51</v>
      </c>
      <c r="T808" s="21" t="s">
        <v>657</v>
      </c>
      <c r="U808" s="21" t="s">
        <v>6290</v>
      </c>
      <c r="V808" s="21" t="s">
        <v>6286</v>
      </c>
      <c r="W808" s="45">
        <v>45974.0</v>
      </c>
      <c r="X808" s="49">
        <v>0.5097222222222222</v>
      </c>
      <c r="Y808" s="45">
        <v>45974.0</v>
      </c>
      <c r="Z808" s="49">
        <v>0.6194444444444445</v>
      </c>
      <c r="AA808" s="49">
        <v>0.625</v>
      </c>
      <c r="AB808" s="29"/>
      <c r="AC808" s="29"/>
      <c r="AD808" s="25">
        <v>0.6458333333333334</v>
      </c>
      <c r="AE808" s="45">
        <v>45974.0</v>
      </c>
      <c r="AF808" s="21" t="s">
        <v>2719</v>
      </c>
      <c r="AG808" s="21" t="s">
        <v>284</v>
      </c>
      <c r="AH808" s="21" t="s">
        <v>6291</v>
      </c>
      <c r="AI808" s="62" t="str">
        <f>IFERROR(__xludf.DUMMYFUNCTION("IF(OR(W808="""",X808="""",AE808="""",AD808=""""),"""",
   TEXT(
     (
       (AE808+AD808 + IF(AE808+AD808 &lt; W808+X808,1,0)) - (W808+X808)
     )
     - IF(AND(AB808&lt;&gt;"""",AC808&lt;&gt;""""), 
          SUM(ARRAYFORMULA(SPLIT(AC808,"","") - SPLIT(AB808,"",""))"&amp;"), 
          0
       ),
     ""[hh]:mm""
   )
)
"),"03:16")</f>
        <v>03:16</v>
      </c>
      <c r="AJ808" s="27">
        <f t="shared" si="9"/>
        <v>0</v>
      </c>
      <c r="AK808" s="63" t="str">
        <f t="shared" si="10"/>
        <v>Pass</v>
      </c>
    </row>
    <row r="809">
      <c r="A809" s="45">
        <v>45973.0</v>
      </c>
      <c r="B809" s="49">
        <v>0.8284722222222223</v>
      </c>
      <c r="C809" s="45">
        <v>45973.0</v>
      </c>
      <c r="D809" s="49">
        <v>0.83125</v>
      </c>
      <c r="E809" s="21" t="s">
        <v>6292</v>
      </c>
      <c r="F809" s="21" t="s">
        <v>1260</v>
      </c>
      <c r="G809" s="21" t="s">
        <v>1261</v>
      </c>
      <c r="H809" s="21" t="s">
        <v>746</v>
      </c>
      <c r="I809" s="21" t="s">
        <v>1178</v>
      </c>
      <c r="J809" s="21" t="s">
        <v>3806</v>
      </c>
      <c r="K809" s="21" t="s">
        <v>43</v>
      </c>
      <c r="L809" s="21" t="s">
        <v>6293</v>
      </c>
      <c r="M809" s="21" t="s">
        <v>6294</v>
      </c>
      <c r="N809" s="21" t="s">
        <v>6295</v>
      </c>
      <c r="O809" s="48" t="s">
        <v>6296</v>
      </c>
      <c r="P809" s="21" t="s">
        <v>75</v>
      </c>
      <c r="Q809" s="24" t="s">
        <v>65</v>
      </c>
      <c r="R809" s="21" t="s">
        <v>6297</v>
      </c>
      <c r="S809" s="21" t="s">
        <v>51</v>
      </c>
      <c r="T809" s="21" t="s">
        <v>679</v>
      </c>
      <c r="U809" s="21">
        <v>2.01910180199E11</v>
      </c>
      <c r="V809" s="21">
        <v>2.01910180411E11</v>
      </c>
      <c r="W809" s="45">
        <v>45974.0</v>
      </c>
      <c r="X809" s="80">
        <v>0.29375</v>
      </c>
      <c r="Y809" s="45">
        <v>45974.0</v>
      </c>
      <c r="Z809" s="49">
        <v>0.4513888888888889</v>
      </c>
      <c r="AA809" s="49">
        <v>0.5</v>
      </c>
      <c r="AB809" s="25">
        <v>0.5034722222222222</v>
      </c>
      <c r="AC809" s="25">
        <v>0.6666666666666666</v>
      </c>
      <c r="AD809" s="25">
        <v>0.6875</v>
      </c>
      <c r="AE809" s="45">
        <v>45974.0</v>
      </c>
      <c r="AF809" s="21" t="s">
        <v>2711</v>
      </c>
      <c r="AG809" s="21" t="s">
        <v>78</v>
      </c>
      <c r="AH809" s="21" t="s">
        <v>6298</v>
      </c>
      <c r="AI809" s="62" t="str">
        <f>IFERROR(__xludf.DUMMYFUNCTION("IF(OR(W809="""",X809="""",AE809="""",AD809=""""),"""",
   TEXT(
     (
       (AE809+AD809 + IF(AE809+AD809 &lt; W809+X809,1,0)) - (W809+X809)
     )
     - IF(AND(AB809&lt;&gt;"""",AC809&lt;&gt;""""), 
          SUM(ARRAYFORMULA(SPLIT(AC809,"","") - SPLIT(AB809,"",""))"&amp;"), 
          0
       ),
     ""[hh]:mm""
   )
)
"),"05:32")</f>
        <v>05:32</v>
      </c>
      <c r="AJ809" s="27">
        <f t="shared" si="9"/>
        <v>0</v>
      </c>
      <c r="AK809" s="63" t="str">
        <f t="shared" si="10"/>
        <v>Pass</v>
      </c>
    </row>
    <row r="810">
      <c r="A810" s="45">
        <v>45974.0</v>
      </c>
      <c r="B810" s="46"/>
      <c r="C810" s="45">
        <v>45974.0</v>
      </c>
      <c r="D810" s="46"/>
      <c r="E810" s="21" t="s">
        <v>6299</v>
      </c>
      <c r="F810" s="21" t="s">
        <v>1260</v>
      </c>
      <c r="G810" s="21" t="s">
        <v>1261</v>
      </c>
      <c r="H810" s="21" t="s">
        <v>130</v>
      </c>
      <c r="I810" s="21" t="s">
        <v>107</v>
      </c>
      <c r="J810" s="21" t="s">
        <v>3806</v>
      </c>
      <c r="K810" s="21" t="s">
        <v>43</v>
      </c>
      <c r="L810" s="21" t="s">
        <v>52</v>
      </c>
      <c r="M810" s="21" t="s">
        <v>52</v>
      </c>
      <c r="N810" s="21" t="s">
        <v>6300</v>
      </c>
      <c r="O810" s="48" t="s">
        <v>6301</v>
      </c>
      <c r="P810" s="21" t="s">
        <v>75</v>
      </c>
      <c r="Q810" s="24" t="s">
        <v>65</v>
      </c>
      <c r="R810" s="21" t="s">
        <v>6302</v>
      </c>
      <c r="S810" s="21" t="s">
        <v>51</v>
      </c>
      <c r="T810" s="21" t="s">
        <v>52</v>
      </c>
      <c r="U810" s="21" t="s">
        <v>52</v>
      </c>
      <c r="V810" s="21" t="s">
        <v>52</v>
      </c>
      <c r="W810" s="45">
        <v>45974.0</v>
      </c>
      <c r="X810" s="49">
        <v>0.4513888888888889</v>
      </c>
      <c r="Y810" s="45">
        <v>45974.0</v>
      </c>
      <c r="Z810" s="49">
        <v>0.4513888888888889</v>
      </c>
      <c r="AA810" s="49">
        <v>0.4791666666666667</v>
      </c>
      <c r="AB810" s="29"/>
      <c r="AC810" s="29"/>
      <c r="AD810" s="25">
        <v>0.5</v>
      </c>
      <c r="AE810" s="45">
        <v>45974.0</v>
      </c>
      <c r="AF810" s="47"/>
      <c r="AG810" s="21" t="s">
        <v>78</v>
      </c>
      <c r="AH810" s="21" t="s">
        <v>6298</v>
      </c>
      <c r="AI810" s="62" t="s">
        <v>6303</v>
      </c>
      <c r="AJ810" s="27">
        <v>0.0</v>
      </c>
      <c r="AK810" s="63" t="s">
        <v>1521</v>
      </c>
    </row>
    <row r="811">
      <c r="A811" s="45">
        <v>45974.0</v>
      </c>
      <c r="B811" s="49">
        <v>0.03194444444444444</v>
      </c>
      <c r="C811" s="45">
        <v>45974.0</v>
      </c>
      <c r="D811" s="49">
        <v>0.3736111111111111</v>
      </c>
      <c r="E811" s="21" t="s">
        <v>6304</v>
      </c>
      <c r="F811" s="21" t="s">
        <v>1176</v>
      </c>
      <c r="G811" s="21" t="s">
        <v>1177</v>
      </c>
      <c r="H811" s="21" t="s">
        <v>1610</v>
      </c>
      <c r="I811" s="21" t="s">
        <v>1612</v>
      </c>
      <c r="J811" s="21" t="s">
        <v>1612</v>
      </c>
      <c r="K811" s="22" t="s">
        <v>143</v>
      </c>
      <c r="L811" s="22" t="s">
        <v>1613</v>
      </c>
      <c r="M811" s="21" t="s">
        <v>6305</v>
      </c>
      <c r="N811" s="21" t="s">
        <v>6306</v>
      </c>
      <c r="O811" s="48" t="s">
        <v>6307</v>
      </c>
      <c r="P811" s="21" t="s">
        <v>187</v>
      </c>
      <c r="Q811" s="24" t="s">
        <v>65</v>
      </c>
      <c r="R811" s="21" t="s">
        <v>6308</v>
      </c>
      <c r="S811" s="21" t="s">
        <v>51</v>
      </c>
      <c r="T811" s="21" t="s">
        <v>52</v>
      </c>
      <c r="U811" s="21" t="s">
        <v>52</v>
      </c>
      <c r="V811" s="21" t="s">
        <v>52</v>
      </c>
      <c r="W811" s="45">
        <v>45974.0</v>
      </c>
      <c r="X811" s="49">
        <v>0.3736111111111111</v>
      </c>
      <c r="Y811" s="45">
        <v>45974.0</v>
      </c>
      <c r="Z811" s="49">
        <v>0.6666666666666666</v>
      </c>
      <c r="AA811" s="49">
        <v>0.6944444444444444</v>
      </c>
      <c r="AB811" s="25">
        <v>0.6701388888888888</v>
      </c>
      <c r="AC811" s="25">
        <v>0.6944444444444444</v>
      </c>
      <c r="AD811" s="25">
        <v>0.7291666666666666</v>
      </c>
      <c r="AE811" s="45">
        <v>45974.0</v>
      </c>
      <c r="AF811" s="21" t="s">
        <v>2711</v>
      </c>
      <c r="AG811" s="21" t="s">
        <v>54</v>
      </c>
      <c r="AH811" s="21" t="s">
        <v>2415</v>
      </c>
      <c r="AI811" s="62" t="str">
        <f>IFERROR(__xludf.DUMMYFUNCTION("IF(OR(W811="""",X811="""",AE811="""",AD811=""""),"""",
   TEXT(
     (
       (AE811+AD811 + IF(AE811+AD811 &lt; W811+X811,1,0)) - (W811+X811)
     )
     - IF(AND(AB811&lt;&gt;"""",AC811&lt;&gt;""""), 
          SUM(ARRAYFORMULA(SPLIT(AC811,"","") - SPLIT(AB811,"",""))"&amp;"), 
          0
       ),
     ""[hh]:mm""
   )
)
"),"07:57")</f>
        <v>07:57</v>
      </c>
      <c r="AJ811" s="27">
        <f t="shared" ref="AJ811:AJ1375" si="16">IF(AI811="", "",
   MAX(0, AI811 -
     IF(Q811="Sev1", 4/24,
     IF(Q811="Sev2", 12/24,
     IF(Q811="Sev3", 24/24,
     IF(Q811="Sev4", 48/24, 0)))))
)</f>
        <v>0</v>
      </c>
      <c r="AK811" s="63" t="str">
        <f t="shared" ref="AK811:AK1375" si="17">IF(AJ811="", "", IF(AJ811&gt;0, "Fail", "Pass"))</f>
        <v>Pass</v>
      </c>
    </row>
    <row r="812">
      <c r="A812" s="45">
        <v>45973.0</v>
      </c>
      <c r="B812" s="49">
        <v>0.9</v>
      </c>
      <c r="C812" s="45">
        <v>45973.0</v>
      </c>
      <c r="D812" s="49">
        <v>0.9055555555555556</v>
      </c>
      <c r="E812" s="21" t="s">
        <v>6309</v>
      </c>
      <c r="F812" s="21" t="s">
        <v>6310</v>
      </c>
      <c r="G812" s="21" t="s">
        <v>6311</v>
      </c>
      <c r="H812" s="21" t="s">
        <v>156</v>
      </c>
      <c r="I812" s="21" t="s">
        <v>131</v>
      </c>
      <c r="J812" s="21" t="s">
        <v>3806</v>
      </c>
      <c r="K812" s="21" t="s">
        <v>43</v>
      </c>
      <c r="L812" s="21" t="s">
        <v>1010</v>
      </c>
      <c r="M812" s="21" t="s">
        <v>6312</v>
      </c>
      <c r="N812" s="21" t="s">
        <v>6313</v>
      </c>
      <c r="O812" s="47"/>
      <c r="P812" s="21" t="s">
        <v>75</v>
      </c>
      <c r="Q812" s="24" t="s">
        <v>65</v>
      </c>
      <c r="R812" s="21" t="s">
        <v>6314</v>
      </c>
      <c r="S812" s="21" t="s">
        <v>51</v>
      </c>
      <c r="T812" s="47"/>
      <c r="U812" s="47"/>
      <c r="V812" s="47"/>
      <c r="W812" s="69"/>
      <c r="X812" s="46"/>
      <c r="Y812" s="69"/>
      <c r="Z812" s="46"/>
      <c r="AA812" s="46"/>
      <c r="AB812" s="29"/>
      <c r="AC812" s="29"/>
      <c r="AD812" s="29"/>
      <c r="AE812" s="69"/>
      <c r="AF812" s="21" t="s">
        <v>2828</v>
      </c>
      <c r="AG812" s="47"/>
      <c r="AH812" s="47"/>
      <c r="AI812" s="64" t="str">
        <f>IFERROR(__xludf.DUMMYFUNCTION("IF(OR(W812="""",X812="""",AE812="""",AD812=""""),"""",
   TEXT(
     (
       (AE812+AD812 + IF(AE812+AD812 &lt; W812+X812,1,0)) - (W812+X812)
     )
     - IF(AND(AB812&lt;&gt;"""",AC812&lt;&gt;""""), 
          SUM(ARRAYFORMULA(SPLIT(AC812,"","") - SPLIT(AB812,"",""))"&amp;"), 
          0
       ),
     ""[hh]:mm""
   )
)
"),"")</f>
        <v/>
      </c>
      <c r="AJ812" s="65" t="str">
        <f t="shared" si="16"/>
        <v/>
      </c>
      <c r="AK812" s="66" t="str">
        <f t="shared" si="17"/>
        <v/>
      </c>
    </row>
    <row r="813">
      <c r="A813" s="45">
        <v>45974.0</v>
      </c>
      <c r="B813" s="49">
        <v>0.22430555555555556</v>
      </c>
      <c r="C813" s="45">
        <v>45974.0</v>
      </c>
      <c r="D813" s="49">
        <v>0.36527777777777776</v>
      </c>
      <c r="E813" s="21" t="s">
        <v>6315</v>
      </c>
      <c r="F813" s="21" t="s">
        <v>6316</v>
      </c>
      <c r="G813" s="21" t="s">
        <v>6317</v>
      </c>
      <c r="H813" s="21" t="s">
        <v>566</v>
      </c>
      <c r="I813" s="21" t="s">
        <v>644</v>
      </c>
      <c r="J813" s="21" t="s">
        <v>644</v>
      </c>
      <c r="K813" s="21" t="s">
        <v>143</v>
      </c>
      <c r="L813" s="21" t="s">
        <v>3049</v>
      </c>
      <c r="M813" s="21" t="s">
        <v>6318</v>
      </c>
      <c r="N813" s="21" t="s">
        <v>6319</v>
      </c>
      <c r="O813" s="48" t="s">
        <v>6320</v>
      </c>
      <c r="P813" s="21" t="s">
        <v>48</v>
      </c>
      <c r="Q813" s="24" t="s">
        <v>65</v>
      </c>
      <c r="R813" s="21" t="s">
        <v>6321</v>
      </c>
      <c r="S813" s="21" t="s">
        <v>51</v>
      </c>
      <c r="T813" s="21" t="s">
        <v>52</v>
      </c>
      <c r="U813" s="21" t="s">
        <v>52</v>
      </c>
      <c r="V813" s="21" t="s">
        <v>52</v>
      </c>
      <c r="W813" s="45">
        <v>45974.0</v>
      </c>
      <c r="X813" s="49">
        <v>0.36736111111111114</v>
      </c>
      <c r="Y813" s="45">
        <v>45974.0</v>
      </c>
      <c r="Z813" s="49">
        <v>0.4375</v>
      </c>
      <c r="AA813" s="49">
        <v>0.4409722222222222</v>
      </c>
      <c r="AB813" s="25">
        <v>0.5416666666666666</v>
      </c>
      <c r="AC813" s="25">
        <v>0.5833333333333334</v>
      </c>
      <c r="AD813" s="25">
        <v>0.5833333333333334</v>
      </c>
      <c r="AE813" s="45">
        <v>45974.0</v>
      </c>
      <c r="AF813" s="21" t="s">
        <v>2744</v>
      </c>
      <c r="AG813" s="21" t="s">
        <v>6322</v>
      </c>
      <c r="AH813" s="21" t="s">
        <v>6323</v>
      </c>
      <c r="AI813" s="62" t="str">
        <f>IFERROR(__xludf.DUMMYFUNCTION("IF(OR(W813="""",X813="""",AE813="""",AD813=""""),"""",
   TEXT(
     (
       (AE813+AD813 + IF(AE813+AD813 &lt; W813+X813,1,0)) - (W813+X813)
     )
     - IF(AND(AB813&lt;&gt;"""",AC813&lt;&gt;""""), 
          SUM(ARRAYFORMULA(SPLIT(AC813,"","") - SPLIT(AB813,"",""))"&amp;"), 
          0
       ),
     ""[hh]:mm""
   )
)
"),"04:11")</f>
        <v>04:11</v>
      </c>
      <c r="AJ813" s="27">
        <f t="shared" si="16"/>
        <v>0</v>
      </c>
      <c r="AK813" s="63" t="str">
        <f t="shared" si="17"/>
        <v>Pass</v>
      </c>
    </row>
    <row r="814">
      <c r="A814" s="45">
        <v>45974.0</v>
      </c>
      <c r="B814" s="49">
        <v>0.6875</v>
      </c>
      <c r="C814" s="45">
        <v>45974.0</v>
      </c>
      <c r="D814" s="49">
        <v>0.6875</v>
      </c>
      <c r="E814" s="21" t="s">
        <v>6324</v>
      </c>
      <c r="F814" s="21" t="s">
        <v>2392</v>
      </c>
      <c r="G814" s="21" t="s">
        <v>2393</v>
      </c>
      <c r="H814" s="21" t="s">
        <v>454</v>
      </c>
      <c r="I814" s="21" t="s">
        <v>644</v>
      </c>
      <c r="J814" s="21" t="s">
        <v>644</v>
      </c>
      <c r="K814" s="21" t="s">
        <v>143</v>
      </c>
      <c r="L814" s="21" t="s">
        <v>3049</v>
      </c>
      <c r="M814" s="21" t="s">
        <v>6325</v>
      </c>
      <c r="N814" s="21" t="s">
        <v>6326</v>
      </c>
      <c r="O814" s="48" t="s">
        <v>6327</v>
      </c>
      <c r="P814" s="21" t="s">
        <v>75</v>
      </c>
      <c r="Q814" s="24" t="s">
        <v>65</v>
      </c>
      <c r="R814" s="21" t="s">
        <v>6328</v>
      </c>
      <c r="S814" s="21" t="s">
        <v>51</v>
      </c>
      <c r="T814" s="21" t="s">
        <v>52</v>
      </c>
      <c r="U814" s="21" t="s">
        <v>52</v>
      </c>
      <c r="V814" s="21" t="s">
        <v>52</v>
      </c>
      <c r="W814" s="45">
        <v>45974.0</v>
      </c>
      <c r="X814" s="49">
        <v>0.6875</v>
      </c>
      <c r="Y814" s="45">
        <v>45974.0</v>
      </c>
      <c r="Z814" s="49">
        <v>0.6875</v>
      </c>
      <c r="AA814" s="49">
        <v>0.6909722222222222</v>
      </c>
      <c r="AB814" s="92"/>
      <c r="AC814" s="92"/>
      <c r="AD814" s="25">
        <v>0.8729166666666667</v>
      </c>
      <c r="AE814" s="45">
        <v>45974.0</v>
      </c>
      <c r="AF814" s="47"/>
      <c r="AG814" s="21" t="s">
        <v>6322</v>
      </c>
      <c r="AH814" s="21" t="s">
        <v>6329</v>
      </c>
      <c r="AI814" s="62" t="str">
        <f>IFERROR(__xludf.DUMMYFUNCTION("IF(OR(W814="""",X814="""",AE814="""",AD814=""""),"""",
   TEXT(
     (
       (AE814+AD814 + IF(AE814+AD814 &lt; W814+X814,1,0)) - (W814+X814)
     )
     - IF(AND(AB814&lt;&gt;"""",AC814&lt;&gt;""""), 
          SUM(ARRAYFORMULA(SPLIT(AC814,"","") - SPLIT(AB814,"",""))"&amp;"), 
          0
       ),
     ""[hh]:mm""
   )
)
"),"04:27")</f>
        <v>04:27</v>
      </c>
      <c r="AJ814" s="27">
        <f t="shared" si="16"/>
        <v>0</v>
      </c>
      <c r="AK814" s="63" t="str">
        <f t="shared" si="17"/>
        <v>Pass</v>
      </c>
    </row>
    <row r="815">
      <c r="A815" s="18">
        <v>45974.0</v>
      </c>
      <c r="B815" s="20">
        <v>0.35138888888888886</v>
      </c>
      <c r="C815" s="18">
        <v>45974.0</v>
      </c>
      <c r="D815" s="20">
        <v>0.3611111111111111</v>
      </c>
      <c r="E815" s="22" t="s">
        <v>6330</v>
      </c>
      <c r="F815" s="22" t="s">
        <v>710</v>
      </c>
      <c r="G815" s="22" t="s">
        <v>711</v>
      </c>
      <c r="H815" s="22" t="s">
        <v>142</v>
      </c>
      <c r="I815" s="22" t="s">
        <v>95</v>
      </c>
      <c r="J815" s="22" t="s">
        <v>95</v>
      </c>
      <c r="K815" s="21" t="s">
        <v>143</v>
      </c>
      <c r="L815" s="22" t="s">
        <v>144</v>
      </c>
      <c r="M815" s="22" t="s">
        <v>712</v>
      </c>
      <c r="N815" s="22" t="s">
        <v>6331</v>
      </c>
      <c r="O815" s="23" t="s">
        <v>6332</v>
      </c>
      <c r="P815" s="22" t="s">
        <v>48</v>
      </c>
      <c r="Q815" s="50" t="s">
        <v>49</v>
      </c>
      <c r="R815" s="22" t="s">
        <v>6333</v>
      </c>
      <c r="S815" s="22" t="s">
        <v>51</v>
      </c>
      <c r="T815" s="22" t="s">
        <v>52</v>
      </c>
      <c r="U815" s="22" t="s">
        <v>52</v>
      </c>
      <c r="V815" s="22" t="s">
        <v>52</v>
      </c>
      <c r="W815" s="18">
        <v>45974.0</v>
      </c>
      <c r="X815" s="20">
        <v>0.3611111111111111</v>
      </c>
      <c r="Y815" s="18">
        <v>45974.0</v>
      </c>
      <c r="Z815" s="20">
        <v>0.43333333333333335</v>
      </c>
      <c r="AA815" s="20">
        <v>0.4340277777777778</v>
      </c>
      <c r="AB815" s="54"/>
      <c r="AC815" s="54"/>
      <c r="AD815" s="51">
        <v>0.4548611111111111</v>
      </c>
      <c r="AE815" s="18">
        <v>45974.0</v>
      </c>
      <c r="AF815" s="22" t="s">
        <v>2744</v>
      </c>
      <c r="AG815" s="22" t="s">
        <v>102</v>
      </c>
      <c r="AH815" s="22" t="s">
        <v>6334</v>
      </c>
      <c r="AI815" s="62" t="str">
        <f>IFERROR(__xludf.DUMMYFUNCTION("IF(OR(W815="""",X815="""",AE815="""",AD815=""""),"""",
   TEXT(
     (
       (AE815+AD815 + IF(AE815+AD815 &lt; W815+X815,1,0)) - (W815+X815)
     )
     - IF(AND(AB815&lt;&gt;"""",AC815&lt;&gt;""""), 
          SUM(ARRAYFORMULA(SPLIT(AC815,"","") - SPLIT(AB815,"",""))"&amp;"), 
          0
       ),
     ""[hh]:mm""
   )
)
"),"02:15")</f>
        <v>02:15</v>
      </c>
      <c r="AJ815" s="27">
        <f t="shared" si="16"/>
        <v>0</v>
      </c>
      <c r="AK815" s="63" t="str">
        <f t="shared" si="17"/>
        <v>Pass</v>
      </c>
    </row>
    <row r="816">
      <c r="A816" s="45">
        <v>45974.0</v>
      </c>
      <c r="B816" s="49">
        <v>0.3611111111111111</v>
      </c>
      <c r="C816" s="45">
        <v>45974.0</v>
      </c>
      <c r="D816" s="49">
        <v>0.36736111111111114</v>
      </c>
      <c r="E816" s="21" t="s">
        <v>6335</v>
      </c>
      <c r="F816" s="21" t="s">
        <v>6316</v>
      </c>
      <c r="G816" s="21" t="s">
        <v>6317</v>
      </c>
      <c r="H816" s="21" t="s">
        <v>566</v>
      </c>
      <c r="I816" s="21" t="s">
        <v>644</v>
      </c>
      <c r="J816" s="21" t="s">
        <v>644</v>
      </c>
      <c r="K816" s="21" t="s">
        <v>143</v>
      </c>
      <c r="L816" s="21" t="s">
        <v>3049</v>
      </c>
      <c r="M816" s="21" t="s">
        <v>6318</v>
      </c>
      <c r="N816" s="21" t="s">
        <v>6336</v>
      </c>
      <c r="O816" s="48" t="s">
        <v>6337</v>
      </c>
      <c r="P816" s="21" t="s">
        <v>48</v>
      </c>
      <c r="Q816" s="24" t="s">
        <v>65</v>
      </c>
      <c r="R816" s="21" t="s">
        <v>6338</v>
      </c>
      <c r="S816" s="21" t="s">
        <v>51</v>
      </c>
      <c r="T816" s="21" t="s">
        <v>52</v>
      </c>
      <c r="U816" s="21" t="s">
        <v>52</v>
      </c>
      <c r="V816" s="21" t="s">
        <v>52</v>
      </c>
      <c r="W816" s="45">
        <v>45974.0</v>
      </c>
      <c r="X816" s="49">
        <v>0.36736111111111114</v>
      </c>
      <c r="Y816" s="45">
        <v>45974.0</v>
      </c>
      <c r="Z816" s="49">
        <v>0.4375</v>
      </c>
      <c r="AA816" s="49">
        <v>0.4409722222222222</v>
      </c>
      <c r="AB816" s="25">
        <v>0.5416666666666666</v>
      </c>
      <c r="AC816" s="25">
        <v>0.5833333333333334</v>
      </c>
      <c r="AD816" s="25">
        <v>0.5833333333333334</v>
      </c>
      <c r="AE816" s="45">
        <v>45974.0</v>
      </c>
      <c r="AF816" s="21" t="s">
        <v>2744</v>
      </c>
      <c r="AG816" s="21" t="s">
        <v>6322</v>
      </c>
      <c r="AH816" s="21" t="s">
        <v>6323</v>
      </c>
      <c r="AI816" s="62" t="str">
        <f>IFERROR(__xludf.DUMMYFUNCTION("IF(OR(W816="""",X816="""",AE816="""",AD816=""""),"""",
   TEXT(
     (
       (AE816+AD816 + IF(AE816+AD816 &lt; W816+X816,1,0)) - (W816+X816)
     )
     - IF(AND(AB816&lt;&gt;"""",AC816&lt;&gt;""""), 
          SUM(ARRAYFORMULA(SPLIT(AC816,"","") - SPLIT(AB816,"",""))"&amp;"), 
          0
       ),
     ""[hh]:mm""
   )
)
"),"04:11")</f>
        <v>04:11</v>
      </c>
      <c r="AJ816" s="27">
        <f t="shared" si="16"/>
        <v>0</v>
      </c>
      <c r="AK816" s="63" t="str">
        <f t="shared" si="17"/>
        <v>Pass</v>
      </c>
    </row>
    <row r="817">
      <c r="A817" s="45">
        <v>45974.0</v>
      </c>
      <c r="B817" s="49">
        <v>0.4041666666666667</v>
      </c>
      <c r="C817" s="45">
        <v>45974.0</v>
      </c>
      <c r="D817" s="49">
        <v>0.40625</v>
      </c>
      <c r="E817" s="21" t="s">
        <v>6339</v>
      </c>
      <c r="F817" s="21" t="s">
        <v>6340</v>
      </c>
      <c r="G817" s="21" t="s">
        <v>6340</v>
      </c>
      <c r="H817" s="21" t="s">
        <v>6341</v>
      </c>
      <c r="I817" s="21" t="s">
        <v>951</v>
      </c>
      <c r="J817" s="21" t="s">
        <v>2626</v>
      </c>
      <c r="K817" s="21" t="s">
        <v>386</v>
      </c>
      <c r="L817" s="21" t="s">
        <v>6342</v>
      </c>
      <c r="M817" s="21" t="s">
        <v>6343</v>
      </c>
      <c r="N817" s="21" t="s">
        <v>6344</v>
      </c>
      <c r="O817" s="48" t="s">
        <v>6345</v>
      </c>
      <c r="P817" s="21" t="s">
        <v>75</v>
      </c>
      <c r="Q817" s="24" t="s">
        <v>449</v>
      </c>
      <c r="R817" s="21" t="s">
        <v>6346</v>
      </c>
      <c r="S817" s="21" t="s">
        <v>51</v>
      </c>
      <c r="T817" s="21" t="s">
        <v>52</v>
      </c>
      <c r="U817" s="21" t="s">
        <v>52</v>
      </c>
      <c r="V817" s="21" t="s">
        <v>52</v>
      </c>
      <c r="W817" s="45">
        <v>45974.0</v>
      </c>
      <c r="X817" s="49">
        <v>0.6666666666666666</v>
      </c>
      <c r="Y817" s="45">
        <v>45974.0</v>
      </c>
      <c r="Z817" s="49">
        <v>0.6534722222222222</v>
      </c>
      <c r="AA817" s="49">
        <v>0.6548611111111111</v>
      </c>
      <c r="AB817" s="29"/>
      <c r="AC817" s="29"/>
      <c r="AD817" s="25">
        <v>0.7013888888888888</v>
      </c>
      <c r="AE817" s="45">
        <v>45974.0</v>
      </c>
      <c r="AF817" s="21" t="s">
        <v>6347</v>
      </c>
      <c r="AG817" s="21" t="s">
        <v>113</v>
      </c>
      <c r="AH817" s="21" t="s">
        <v>6348</v>
      </c>
      <c r="AI817" s="26" t="str">
        <f>IFERROR(__xludf.DUMMYFUNCTION("IF(OR(W817="""",X817="""",AE817="""",AD817=""""),"""",
   TEXT(
     (
       (AE817+AD817 + IF(AE817+AD817 &lt; W817+X817,1,0)) - (W817+X817)
     )
     - IF(AND(AB817&lt;&gt;"""",AC817&lt;&gt;""""), 
          SUM(ARRAYFORMULA(SPLIT(AC817,"","") - SPLIT(AB817,"",""))"&amp;"), 
          0
       ),
     ""[hh]:mm""
   )
)
"),"00:50")</f>
        <v>00:50</v>
      </c>
      <c r="AJ817" s="55">
        <f t="shared" si="16"/>
        <v>0</v>
      </c>
      <c r="AK817" s="28" t="str">
        <f t="shared" si="17"/>
        <v>Pass</v>
      </c>
    </row>
    <row r="818">
      <c r="A818" s="45">
        <v>45974.0</v>
      </c>
      <c r="B818" s="49">
        <v>0.6472222222222223</v>
      </c>
      <c r="C818" s="45">
        <v>45974.0</v>
      </c>
      <c r="D818" s="49">
        <v>0.6527777777777778</v>
      </c>
      <c r="E818" s="21" t="s">
        <v>6349</v>
      </c>
      <c r="F818" s="21" t="s">
        <v>2617</v>
      </c>
      <c r="G818" s="21" t="s">
        <v>2618</v>
      </c>
      <c r="H818" s="21" t="s">
        <v>156</v>
      </c>
      <c r="I818" s="21" t="s">
        <v>616</v>
      </c>
      <c r="J818" s="21" t="s">
        <v>3806</v>
      </c>
      <c r="K818" s="21" t="s">
        <v>43</v>
      </c>
      <c r="L818" s="21" t="s">
        <v>1251</v>
      </c>
      <c r="M818" s="21" t="s">
        <v>6350</v>
      </c>
      <c r="N818" s="21" t="s">
        <v>6351</v>
      </c>
      <c r="O818" s="48" t="s">
        <v>6352</v>
      </c>
      <c r="P818" s="21" t="s">
        <v>75</v>
      </c>
      <c r="Q818" s="24" t="s">
        <v>65</v>
      </c>
      <c r="R818" s="21" t="s">
        <v>6353</v>
      </c>
      <c r="S818" s="21" t="s">
        <v>51</v>
      </c>
      <c r="T818" s="21" t="s">
        <v>657</v>
      </c>
      <c r="U818" s="21" t="s">
        <v>6354</v>
      </c>
      <c r="V818" s="21" t="s">
        <v>6350</v>
      </c>
      <c r="W818" s="45">
        <v>45974.0</v>
      </c>
      <c r="X818" s="49">
        <v>0.6527777777777778</v>
      </c>
      <c r="Y818" s="45">
        <v>45974.0</v>
      </c>
      <c r="Z818" s="49">
        <v>0.7465277777777778</v>
      </c>
      <c r="AA818" s="49">
        <v>0.75</v>
      </c>
      <c r="AB818" s="25">
        <v>0.7583333333333333</v>
      </c>
      <c r="AC818" s="25">
        <v>0.8541666666666666</v>
      </c>
      <c r="AD818" s="25">
        <v>0.8680555555555556</v>
      </c>
      <c r="AE818" s="45">
        <v>45974.0</v>
      </c>
      <c r="AF818" s="21" t="s">
        <v>3218</v>
      </c>
      <c r="AG818" s="21" t="s">
        <v>5541</v>
      </c>
      <c r="AH818" s="21" t="s">
        <v>6355</v>
      </c>
      <c r="AI818" s="26" t="str">
        <f>IFERROR(__xludf.DUMMYFUNCTION("IF(OR(W818="""",X818="""",AE818="""",AD818=""""),"""",
   TEXT(
     (
       (AE818+AD818 + IF(AE818+AD818 &lt; W818+X818,1,0)) - (W818+X818)
     )
     - IF(AND(AB818&lt;&gt;"""",AC818&lt;&gt;""""), 
          SUM(ARRAYFORMULA(SPLIT(AC818,"","") - SPLIT(AB818,"",""))"&amp;"), 
          0
       ),
     ""[hh]:mm""
   )
)
"),"02:52")</f>
        <v>02:52</v>
      </c>
      <c r="AJ818" s="55">
        <f t="shared" si="16"/>
        <v>0</v>
      </c>
      <c r="AK818" s="28" t="str">
        <f t="shared" si="17"/>
        <v>Pass</v>
      </c>
    </row>
    <row r="819">
      <c r="A819" s="45">
        <v>45974.0</v>
      </c>
      <c r="B819" s="49">
        <v>0.7097222222222223</v>
      </c>
      <c r="C819" s="45">
        <v>45974.0</v>
      </c>
      <c r="D819" s="93" t="s">
        <v>4905</v>
      </c>
      <c r="E819" s="21" t="s">
        <v>6356</v>
      </c>
      <c r="F819" s="21" t="s">
        <v>1295</v>
      </c>
      <c r="G819" s="21" t="s">
        <v>1296</v>
      </c>
      <c r="H819" s="21" t="s">
        <v>4908</v>
      </c>
      <c r="I819" s="21" t="s">
        <v>95</v>
      </c>
      <c r="J819" s="21" t="s">
        <v>95</v>
      </c>
      <c r="K819" s="21" t="s">
        <v>143</v>
      </c>
      <c r="L819" s="21" t="s">
        <v>606</v>
      </c>
      <c r="M819" s="21" t="s">
        <v>6357</v>
      </c>
      <c r="N819" s="21" t="s">
        <v>6358</v>
      </c>
      <c r="O819" s="48" t="s">
        <v>6359</v>
      </c>
      <c r="P819" s="21" t="s">
        <v>75</v>
      </c>
      <c r="Q819" s="24" t="s">
        <v>198</v>
      </c>
      <c r="R819" s="97" t="s">
        <v>6360</v>
      </c>
      <c r="S819" s="21" t="s">
        <v>51</v>
      </c>
      <c r="T819" s="21" t="s">
        <v>52</v>
      </c>
      <c r="U819" s="21" t="s">
        <v>52</v>
      </c>
      <c r="V819" s="21" t="s">
        <v>52</v>
      </c>
      <c r="W819" s="45">
        <v>45975.0</v>
      </c>
      <c r="X819" s="49">
        <v>0.020833333333333332</v>
      </c>
      <c r="Y819" s="45">
        <v>45974.0</v>
      </c>
      <c r="Z819" s="49">
        <v>0.9631944444444445</v>
      </c>
      <c r="AA819" s="49">
        <v>0.0763888888888889</v>
      </c>
      <c r="AB819" s="24" t="s">
        <v>6361</v>
      </c>
      <c r="AC819" s="24" t="s">
        <v>6362</v>
      </c>
      <c r="AD819" s="25">
        <v>0.3527777777777778</v>
      </c>
      <c r="AE819" s="45">
        <v>45975.0</v>
      </c>
      <c r="AF819" s="21" t="s">
        <v>6347</v>
      </c>
      <c r="AG819" s="21" t="s">
        <v>3191</v>
      </c>
      <c r="AH819" s="21" t="s">
        <v>6363</v>
      </c>
      <c r="AI819" s="26" t="str">
        <f>IFERROR(__xludf.DUMMYFUNCTION("IF(OR(W819="""",X819="""",AE819="""",AD819=""""),"""",
   TEXT(
     (
       (AE819+AD819 + IF(AE819+AD819 &lt; W819+X819,1,0)) - (W819+X819)
     )
     - IF(AND(AB819&lt;&gt;"""",AC819&lt;&gt;""""), 
          SUM(ARRAYFORMULA(SPLIT(AC819,"","") - SPLIT(AB819,"",""))"&amp;"), 
          0
       ),
     ""[hh]:mm""
   )
)
"),"04:34")</f>
        <v>04:34</v>
      </c>
      <c r="AJ819" s="55">
        <f t="shared" si="16"/>
        <v>0</v>
      </c>
      <c r="AK819" s="28" t="str">
        <f t="shared" si="17"/>
        <v>Pass</v>
      </c>
    </row>
    <row r="820">
      <c r="A820" s="45">
        <v>45974.0</v>
      </c>
      <c r="B820" s="49">
        <v>0.4576388888888889</v>
      </c>
      <c r="C820" s="45">
        <v>45974.0</v>
      </c>
      <c r="D820" s="49">
        <v>0.48125</v>
      </c>
      <c r="E820" s="21" t="s">
        <v>6364</v>
      </c>
      <c r="F820" s="21" t="s">
        <v>1620</v>
      </c>
      <c r="G820" s="21" t="s">
        <v>1621</v>
      </c>
      <c r="H820" s="21" t="s">
        <v>1468</v>
      </c>
      <c r="I820" s="21" t="s">
        <v>856</v>
      </c>
      <c r="J820" s="21" t="s">
        <v>1084</v>
      </c>
      <c r="K820" s="21" t="s">
        <v>1776</v>
      </c>
      <c r="L820" s="21" t="s">
        <v>6365</v>
      </c>
      <c r="M820" s="21" t="s">
        <v>6366</v>
      </c>
      <c r="N820" s="21" t="s">
        <v>6367</v>
      </c>
      <c r="O820" s="48" t="s">
        <v>6368</v>
      </c>
      <c r="P820" s="21" t="s">
        <v>48</v>
      </c>
      <c r="Q820" s="24" t="s">
        <v>198</v>
      </c>
      <c r="R820" s="21" t="s">
        <v>6369</v>
      </c>
      <c r="S820" s="21" t="s">
        <v>51</v>
      </c>
      <c r="T820" s="21" t="s">
        <v>52</v>
      </c>
      <c r="U820" s="21" t="s">
        <v>52</v>
      </c>
      <c r="V820" s="21" t="s">
        <v>52</v>
      </c>
      <c r="W820" s="45">
        <v>45975.0</v>
      </c>
      <c r="X820" s="49">
        <v>0.4166666666666667</v>
      </c>
      <c r="Y820" s="45">
        <v>45975.0</v>
      </c>
      <c r="Z820" s="49">
        <v>0.43194444444444446</v>
      </c>
      <c r="AA820" s="49">
        <v>0.4326388888888889</v>
      </c>
      <c r="AB820" s="29"/>
      <c r="AC820" s="29"/>
      <c r="AD820" s="25">
        <v>0.5</v>
      </c>
      <c r="AE820" s="45">
        <v>45975.0</v>
      </c>
      <c r="AF820" s="21" t="s">
        <v>2730</v>
      </c>
      <c r="AG820" s="21" t="s">
        <v>1475</v>
      </c>
      <c r="AH820" s="21" t="s">
        <v>6370</v>
      </c>
      <c r="AI820" s="26" t="str">
        <f>IFERROR(__xludf.DUMMYFUNCTION("IF(OR(W820="""",X820="""",AE820="""",AD820=""""),"""",
   TEXT(
     (
       (AE820+AD820 + IF(AE820+AD820 &lt; W820+X820,1,0)) - (W820+X820)
     )
     - IF(AND(AB820&lt;&gt;"""",AC820&lt;&gt;""""), 
          SUM(ARRAYFORMULA(SPLIT(AC820,"","") - SPLIT(AB820,"",""))"&amp;"), 
          0
       ),
     ""[hh]:mm""
   )
)
"),"02:00")</f>
        <v>02:00</v>
      </c>
      <c r="AJ820" s="55">
        <f t="shared" si="16"/>
        <v>0</v>
      </c>
      <c r="AK820" s="28" t="str">
        <f t="shared" si="17"/>
        <v>Pass</v>
      </c>
    </row>
    <row r="821">
      <c r="A821" s="18">
        <v>45974.0</v>
      </c>
      <c r="B821" s="20">
        <v>0.48055555555555557</v>
      </c>
      <c r="C821" s="18">
        <v>45974.0</v>
      </c>
      <c r="D821" s="20">
        <v>0.48680555555555555</v>
      </c>
      <c r="E821" s="22" t="s">
        <v>6371</v>
      </c>
      <c r="F821" s="22" t="s">
        <v>3024</v>
      </c>
      <c r="G821" s="22" t="s">
        <v>3025</v>
      </c>
      <c r="H821" s="22" t="s">
        <v>3573</v>
      </c>
      <c r="I821" s="22" t="s">
        <v>234</v>
      </c>
      <c r="J821" s="22" t="s">
        <v>3806</v>
      </c>
      <c r="K821" s="22" t="s">
        <v>43</v>
      </c>
      <c r="L821" s="22" t="s">
        <v>52</v>
      </c>
      <c r="M821" s="22" t="s">
        <v>52</v>
      </c>
      <c r="N821" s="22" t="s">
        <v>6372</v>
      </c>
      <c r="O821" s="23" t="s">
        <v>6373</v>
      </c>
      <c r="P821" s="22" t="s">
        <v>75</v>
      </c>
      <c r="Q821" s="50" t="s">
        <v>49</v>
      </c>
      <c r="R821" s="22" t="s">
        <v>6374</v>
      </c>
      <c r="S821" s="22" t="s">
        <v>51</v>
      </c>
      <c r="T821" s="22" t="s">
        <v>52</v>
      </c>
      <c r="U821" s="22" t="s">
        <v>52</v>
      </c>
      <c r="V821" s="22" t="s">
        <v>52</v>
      </c>
      <c r="W821" s="18">
        <v>45975.0</v>
      </c>
      <c r="X821" s="20">
        <v>0.375</v>
      </c>
      <c r="Y821" s="18">
        <v>45975.0</v>
      </c>
      <c r="Z821" s="75">
        <v>0.375</v>
      </c>
      <c r="AA821" s="20">
        <v>0.3958333333333333</v>
      </c>
      <c r="AB821" s="54"/>
      <c r="AC821" s="54"/>
      <c r="AD821" s="51">
        <v>0.4930555555555556</v>
      </c>
      <c r="AE821" s="18">
        <v>45975.0</v>
      </c>
      <c r="AF821" s="22" t="s">
        <v>6163</v>
      </c>
      <c r="AG821" s="31"/>
      <c r="AH821" s="31"/>
      <c r="AI821" s="26" t="str">
        <f>IFERROR(__xludf.DUMMYFUNCTION("IF(OR(W821="""",X821="""",AE821="""",AD821=""""),"""",
   TEXT(
     (
       (AE821+AD821 + IF(AE821+AD821 &lt; W821+X821,1,0)) - (W821+X821)
     )
     - IF(AND(AB821&lt;&gt;"""",AC821&lt;&gt;""""), 
          SUM(ARRAYFORMULA(SPLIT(AC821,"","") - SPLIT(AB821,"",""))"&amp;"), 
          0
       ),
     ""[hh]:mm""
   )
)
"),"02:50")</f>
        <v>02:50</v>
      </c>
      <c r="AJ821" s="55">
        <f t="shared" si="16"/>
        <v>0</v>
      </c>
      <c r="AK821" s="28" t="str">
        <f t="shared" si="17"/>
        <v>Pass</v>
      </c>
    </row>
    <row r="822">
      <c r="A822" s="45">
        <v>45974.0</v>
      </c>
      <c r="B822" s="49">
        <v>0.6284722222222222</v>
      </c>
      <c r="C822" s="45">
        <v>45974.0</v>
      </c>
      <c r="D822" s="49">
        <v>0.6361111111111111</v>
      </c>
      <c r="E822" s="21" t="s">
        <v>6375</v>
      </c>
      <c r="F822" s="21" t="s">
        <v>5113</v>
      </c>
      <c r="G822" s="21" t="s">
        <v>5695</v>
      </c>
      <c r="H822" s="21" t="s">
        <v>253</v>
      </c>
      <c r="I822" s="21" t="s">
        <v>951</v>
      </c>
      <c r="J822" s="21" t="s">
        <v>3806</v>
      </c>
      <c r="K822" s="21" t="s">
        <v>43</v>
      </c>
      <c r="L822" s="22" t="s">
        <v>52</v>
      </c>
      <c r="M822" s="22" t="s">
        <v>52</v>
      </c>
      <c r="N822" s="21" t="s">
        <v>6376</v>
      </c>
      <c r="O822" s="48" t="s">
        <v>6377</v>
      </c>
      <c r="P822" s="21" t="s">
        <v>48</v>
      </c>
      <c r="Q822" s="24" t="s">
        <v>65</v>
      </c>
      <c r="R822" s="21" t="s">
        <v>6378</v>
      </c>
      <c r="S822" s="21" t="s">
        <v>51</v>
      </c>
      <c r="T822" s="21" t="s">
        <v>52</v>
      </c>
      <c r="U822" s="21" t="s">
        <v>52</v>
      </c>
      <c r="V822" s="21" t="s">
        <v>52</v>
      </c>
      <c r="W822" s="45">
        <v>45975.0</v>
      </c>
      <c r="X822" s="49">
        <v>0.625</v>
      </c>
      <c r="Y822" s="45">
        <v>45975.0</v>
      </c>
      <c r="Z822" s="49">
        <v>0.6381944444444444</v>
      </c>
      <c r="AA822" s="49">
        <v>0.6388888888888888</v>
      </c>
      <c r="AB822" s="29"/>
      <c r="AC822" s="29"/>
      <c r="AD822" s="25">
        <v>0.7569444444444444</v>
      </c>
      <c r="AE822" s="45">
        <v>45975.0</v>
      </c>
      <c r="AF822" s="21" t="s">
        <v>2744</v>
      </c>
      <c r="AG822" s="21" t="s">
        <v>1975</v>
      </c>
      <c r="AH822" s="21" t="s">
        <v>6379</v>
      </c>
      <c r="AI822" s="26" t="str">
        <f>IFERROR(__xludf.DUMMYFUNCTION("IF(OR(W822="""",X822="""",AE822="""",AD822=""""),"""",
   TEXT(
     (
       (AE822+AD822 + IF(AE822+AD822 &lt; W822+X822,1,0)) - (W822+X822)
     )
     - IF(AND(AB822&lt;&gt;"""",AC822&lt;&gt;""""), 
          SUM(ARRAYFORMULA(SPLIT(AC822,"","") - SPLIT(AB822,"",""))"&amp;"), 
          0
       ),
     ""[hh]:mm""
   )
)
"),"03:10")</f>
        <v>03:10</v>
      </c>
      <c r="AJ822" s="55">
        <f t="shared" si="16"/>
        <v>0</v>
      </c>
      <c r="AK822" s="28" t="str">
        <f t="shared" si="17"/>
        <v>Pass</v>
      </c>
    </row>
    <row r="823">
      <c r="A823" s="45">
        <v>45974.0</v>
      </c>
      <c r="B823" s="49">
        <v>0.9819444444444444</v>
      </c>
      <c r="C823" s="45">
        <v>45975.0</v>
      </c>
      <c r="D823" s="49">
        <v>0.3215277777777778</v>
      </c>
      <c r="E823" s="21" t="s">
        <v>6380</v>
      </c>
      <c r="F823" s="21" t="s">
        <v>1504</v>
      </c>
      <c r="G823" s="21" t="s">
        <v>6381</v>
      </c>
      <c r="H823" s="21" t="s">
        <v>156</v>
      </c>
      <c r="I823" s="21" t="s">
        <v>616</v>
      </c>
      <c r="J823" s="21" t="s">
        <v>3806</v>
      </c>
      <c r="K823" s="21" t="s">
        <v>43</v>
      </c>
      <c r="L823" s="21" t="s">
        <v>2663</v>
      </c>
      <c r="M823" s="21" t="s">
        <v>6382</v>
      </c>
      <c r="N823" s="21" t="s">
        <v>6383</v>
      </c>
      <c r="O823" s="48" t="s">
        <v>6384</v>
      </c>
      <c r="P823" s="21" t="s">
        <v>75</v>
      </c>
      <c r="Q823" s="24" t="s">
        <v>65</v>
      </c>
      <c r="R823" s="21" t="s">
        <v>6385</v>
      </c>
      <c r="S823" s="21" t="s">
        <v>51</v>
      </c>
      <c r="T823" s="21" t="s">
        <v>52</v>
      </c>
      <c r="U823" s="21" t="s">
        <v>52</v>
      </c>
      <c r="V823" s="21" t="s">
        <v>52</v>
      </c>
      <c r="W823" s="45">
        <v>45975.0</v>
      </c>
      <c r="X823" s="49">
        <v>0.3333333333333333</v>
      </c>
      <c r="Y823" s="45">
        <v>45975.0</v>
      </c>
      <c r="Z823" s="49">
        <v>0.7263888888888889</v>
      </c>
      <c r="AA823" s="49">
        <v>0.7291666666666666</v>
      </c>
      <c r="AB823" s="29"/>
      <c r="AC823" s="29"/>
      <c r="AD823" s="25">
        <v>0.75</v>
      </c>
      <c r="AE823" s="45">
        <v>45975.0</v>
      </c>
      <c r="AF823" s="21" t="s">
        <v>5717</v>
      </c>
      <c r="AG823" s="21" t="s">
        <v>879</v>
      </c>
      <c r="AH823" s="21" t="s">
        <v>6386</v>
      </c>
      <c r="AI823" s="26" t="str">
        <f>IFERROR(__xludf.DUMMYFUNCTION("IF(OR(W823="""",X823="""",AE823="""",AD823=""""),"""",
   TEXT(
     (
       (AE823+AD823 + IF(AE823+AD823 &lt; W823+X823,1,0)) - (W823+X823)
     )
     - IF(AND(AB823&lt;&gt;"""",AC823&lt;&gt;""""), 
          SUM(ARRAYFORMULA(SPLIT(AC823,"","") - SPLIT(AB823,"",""))"&amp;"), 
          0
       ),
     ""[hh]:mm""
   )
)
"),"10:00")</f>
        <v>10:00</v>
      </c>
      <c r="AJ823" s="55">
        <f t="shared" si="16"/>
        <v>0</v>
      </c>
      <c r="AK823" s="28" t="str">
        <f t="shared" si="17"/>
        <v>Pass</v>
      </c>
    </row>
    <row r="824">
      <c r="A824" s="45">
        <v>45975.0</v>
      </c>
      <c r="B824" s="49">
        <v>0.425</v>
      </c>
      <c r="C824" s="45">
        <v>45975.0</v>
      </c>
      <c r="D824" s="49">
        <v>0.43125</v>
      </c>
      <c r="E824" s="21" t="s">
        <v>6387</v>
      </c>
      <c r="F824" s="21" t="s">
        <v>4975</v>
      </c>
      <c r="G824" s="21" t="s">
        <v>6388</v>
      </c>
      <c r="H824" s="21" t="s">
        <v>156</v>
      </c>
      <c r="I824" s="21" t="s">
        <v>60</v>
      </c>
      <c r="J824" s="21" t="s">
        <v>3806</v>
      </c>
      <c r="K824" s="21" t="s">
        <v>43</v>
      </c>
      <c r="L824" s="21">
        <v>7600.0</v>
      </c>
      <c r="M824" s="21" t="s">
        <v>6389</v>
      </c>
      <c r="N824" s="21" t="s">
        <v>6388</v>
      </c>
      <c r="O824" s="48" t="s">
        <v>6390</v>
      </c>
      <c r="P824" s="21" t="s">
        <v>75</v>
      </c>
      <c r="Q824" s="24" t="s">
        <v>65</v>
      </c>
      <c r="R824" s="21" t="s">
        <v>6391</v>
      </c>
      <c r="S824" s="21" t="s">
        <v>51</v>
      </c>
      <c r="T824" s="21" t="s">
        <v>657</v>
      </c>
      <c r="U824" s="21" t="s">
        <v>6392</v>
      </c>
      <c r="V824" s="21" t="s">
        <v>6389</v>
      </c>
      <c r="W824" s="45">
        <v>45975.0</v>
      </c>
      <c r="X824" s="49">
        <v>0.43125</v>
      </c>
      <c r="Y824" s="45">
        <v>45975.0</v>
      </c>
      <c r="Z824" s="49">
        <v>0.6611111111111111</v>
      </c>
      <c r="AA824" s="49">
        <v>0.6618055555555555</v>
      </c>
      <c r="AB824" s="29"/>
      <c r="AC824" s="29"/>
      <c r="AD824" s="25">
        <v>0.6666666666666666</v>
      </c>
      <c r="AE824" s="45">
        <v>45975.0</v>
      </c>
      <c r="AF824" s="21" t="s">
        <v>5952</v>
      </c>
      <c r="AG824" s="21" t="s">
        <v>162</v>
      </c>
      <c r="AH824" s="21" t="s">
        <v>4982</v>
      </c>
      <c r="AI824" s="26" t="str">
        <f>IFERROR(__xludf.DUMMYFUNCTION("IF(OR(W824="""",X824="""",AE824="""",AD824=""""),"""",
   TEXT(
     (
       (AE824+AD824 + IF(AE824+AD824 &lt; W824+X824,1,0)) - (W824+X824)
     )
     - IF(AND(AB824&lt;&gt;"""",AC824&lt;&gt;""""), 
          SUM(ARRAYFORMULA(SPLIT(AC824,"","") - SPLIT(AB824,"",""))"&amp;"), 
          0
       ),
     ""[hh]:mm""
   )
)
"),"05:39")</f>
        <v>05:39</v>
      </c>
      <c r="AJ824" s="55">
        <f t="shared" si="16"/>
        <v>0</v>
      </c>
      <c r="AK824" s="28" t="str">
        <f t="shared" si="17"/>
        <v>Pass</v>
      </c>
    </row>
    <row r="825">
      <c r="A825" s="45">
        <v>45974.0</v>
      </c>
      <c r="B825" s="49">
        <v>0.1951388888888889</v>
      </c>
      <c r="C825" s="45">
        <v>45975.0</v>
      </c>
      <c r="D825" s="49">
        <v>0.5680555555555555</v>
      </c>
      <c r="E825" s="21" t="s">
        <v>6393</v>
      </c>
      <c r="F825" s="21" t="s">
        <v>6394</v>
      </c>
      <c r="G825" s="21" t="s">
        <v>6395</v>
      </c>
      <c r="H825" s="21" t="s">
        <v>156</v>
      </c>
      <c r="I825" s="21" t="s">
        <v>131</v>
      </c>
      <c r="J825" s="21" t="s">
        <v>3806</v>
      </c>
      <c r="K825" s="21" t="s">
        <v>43</v>
      </c>
      <c r="L825" s="21">
        <v>7900.0</v>
      </c>
      <c r="M825" s="47"/>
      <c r="N825" s="21" t="s">
        <v>6396</v>
      </c>
      <c r="O825" s="48" t="s">
        <v>6397</v>
      </c>
      <c r="P825" s="21" t="s">
        <v>75</v>
      </c>
      <c r="Q825" s="24" t="s">
        <v>65</v>
      </c>
      <c r="R825" s="21" t="s">
        <v>6398</v>
      </c>
      <c r="S825" s="21" t="s">
        <v>51</v>
      </c>
      <c r="T825" s="21" t="s">
        <v>52</v>
      </c>
      <c r="U825" s="21" t="s">
        <v>52</v>
      </c>
      <c r="V825" s="21" t="s">
        <v>52</v>
      </c>
      <c r="W825" s="45">
        <v>45975.0</v>
      </c>
      <c r="X825" s="49">
        <v>0.5680555555555555</v>
      </c>
      <c r="Y825" s="45">
        <v>45975.0</v>
      </c>
      <c r="Z825" s="49">
        <v>0.6659722222222222</v>
      </c>
      <c r="AA825" s="49">
        <v>0.7354166666666667</v>
      </c>
      <c r="AB825" s="25">
        <v>0.6770833333333334</v>
      </c>
      <c r="AC825" s="25">
        <v>0.7354166666666667</v>
      </c>
      <c r="AD825" s="25">
        <v>0.7916666666666666</v>
      </c>
      <c r="AE825" s="45">
        <v>45975.0</v>
      </c>
      <c r="AF825" s="21" t="s">
        <v>4914</v>
      </c>
      <c r="AG825" s="21" t="s">
        <v>583</v>
      </c>
      <c r="AH825" s="21" t="s">
        <v>6399</v>
      </c>
      <c r="AI825" s="26" t="str">
        <f>IFERROR(__xludf.DUMMYFUNCTION("IF(OR(W825="""",X825="""",AE825="""",AD825=""""),"""",
   TEXT(
     (
       (AE825+AD825 + IF(AE825+AD825 &lt; W825+X825,1,0)) - (W825+X825)
     )
     - IF(AND(AB825&lt;&gt;"""",AC825&lt;&gt;""""), 
          SUM(ARRAYFORMULA(SPLIT(AC825,"","") - SPLIT(AB825,"",""))"&amp;"), 
          0
       ),
     ""[hh]:mm""
   )
)
"),"03:58")</f>
        <v>03:58</v>
      </c>
      <c r="AJ825" s="55">
        <f t="shared" si="16"/>
        <v>0</v>
      </c>
      <c r="AK825" s="28" t="str">
        <f t="shared" si="17"/>
        <v>Pass</v>
      </c>
    </row>
    <row r="826">
      <c r="A826" s="45">
        <v>45975.0</v>
      </c>
      <c r="B826" s="49">
        <v>0.6347222222222222</v>
      </c>
      <c r="C826" s="45">
        <v>45975.0</v>
      </c>
      <c r="D826" s="49">
        <v>0.6381944444444444</v>
      </c>
      <c r="E826" s="21" t="s">
        <v>6400</v>
      </c>
      <c r="F826" s="21" t="s">
        <v>259</v>
      </c>
      <c r="G826" s="21" t="s">
        <v>260</v>
      </c>
      <c r="H826" s="21" t="s">
        <v>156</v>
      </c>
      <c r="I826" s="21" t="s">
        <v>2026</v>
      </c>
      <c r="J826" s="21" t="s">
        <v>3806</v>
      </c>
      <c r="K826" s="21" t="s">
        <v>43</v>
      </c>
      <c r="L826" s="21" t="s">
        <v>2714</v>
      </c>
      <c r="M826" s="21" t="s">
        <v>6401</v>
      </c>
      <c r="N826" s="21" t="s">
        <v>6402</v>
      </c>
      <c r="O826" s="48" t="s">
        <v>6403</v>
      </c>
      <c r="P826" s="21" t="s">
        <v>75</v>
      </c>
      <c r="Q826" s="24" t="s">
        <v>65</v>
      </c>
      <c r="R826" s="21" t="s">
        <v>6404</v>
      </c>
      <c r="S826" s="21" t="s">
        <v>51</v>
      </c>
      <c r="T826" s="21" t="s">
        <v>52</v>
      </c>
      <c r="U826" s="21" t="s">
        <v>52</v>
      </c>
      <c r="V826" s="21" t="s">
        <v>52</v>
      </c>
      <c r="W826" s="45">
        <v>45975.0</v>
      </c>
      <c r="X826" s="49">
        <v>0.6381944444444444</v>
      </c>
      <c r="Y826" s="45">
        <v>45975.0</v>
      </c>
      <c r="Z826" s="49">
        <v>0.6909722222222222</v>
      </c>
      <c r="AA826" s="49">
        <v>0.6944444444444444</v>
      </c>
      <c r="AB826" s="29"/>
      <c r="AC826" s="29"/>
      <c r="AD826" s="25">
        <v>0.7083333333333334</v>
      </c>
      <c r="AE826" s="45">
        <v>45975.0</v>
      </c>
      <c r="AF826" s="21" t="s">
        <v>5952</v>
      </c>
      <c r="AG826" s="21" t="s">
        <v>67</v>
      </c>
      <c r="AH826" s="21" t="s">
        <v>6405</v>
      </c>
      <c r="AI826" s="26" t="str">
        <f>IFERROR(__xludf.DUMMYFUNCTION("IF(OR(W826="""",X826="""",AE826="""",AD826=""""),"""",
   TEXT(
     (
       (AE826+AD826 + IF(AE826+AD826 &lt; W826+X826,1,0)) - (W826+X826)
     )
     - IF(AND(AB826&lt;&gt;"""",AC826&lt;&gt;""""), 
          SUM(ARRAYFORMULA(SPLIT(AC826,"","") - SPLIT(AB826,"",""))"&amp;"), 
          0
       ),
     ""[hh]:mm""
   )
)
"),"01:41")</f>
        <v>01:41</v>
      </c>
      <c r="AJ826" s="55">
        <f t="shared" si="16"/>
        <v>0</v>
      </c>
      <c r="AK826" s="28" t="str">
        <f t="shared" si="17"/>
        <v>Pass</v>
      </c>
    </row>
    <row r="827">
      <c r="A827" s="18">
        <v>45975.0</v>
      </c>
      <c r="B827" s="20">
        <v>0.6305555555555555</v>
      </c>
      <c r="C827" s="18">
        <v>45975.0</v>
      </c>
      <c r="D827" s="98" t="s">
        <v>4905</v>
      </c>
      <c r="E827" s="22" t="s">
        <v>6406</v>
      </c>
      <c r="F827" s="22" t="s">
        <v>989</v>
      </c>
      <c r="G827" s="22" t="s">
        <v>6407</v>
      </c>
      <c r="H827" s="22" t="s">
        <v>4908</v>
      </c>
      <c r="I827" s="22" t="s">
        <v>95</v>
      </c>
      <c r="J827" s="22" t="s">
        <v>95</v>
      </c>
      <c r="K827" s="22" t="s">
        <v>143</v>
      </c>
      <c r="L827" s="22" t="s">
        <v>3175</v>
      </c>
      <c r="M827" s="22" t="s">
        <v>6408</v>
      </c>
      <c r="N827" s="22" t="s">
        <v>6358</v>
      </c>
      <c r="O827" s="23" t="s">
        <v>6409</v>
      </c>
      <c r="P827" s="22" t="s">
        <v>75</v>
      </c>
      <c r="Q827" s="50" t="s">
        <v>198</v>
      </c>
      <c r="R827" s="22" t="s">
        <v>5094</v>
      </c>
      <c r="S827" s="22" t="s">
        <v>51</v>
      </c>
      <c r="T827" s="22" t="s">
        <v>5071</v>
      </c>
      <c r="U827" s="22" t="s">
        <v>6410</v>
      </c>
      <c r="V827" s="22" t="s">
        <v>52</v>
      </c>
      <c r="W827" s="18">
        <v>45977.0</v>
      </c>
      <c r="X827" s="20">
        <v>0.020833333333333332</v>
      </c>
      <c r="Y827" s="18">
        <v>45976.0</v>
      </c>
      <c r="Z827" s="20">
        <v>0.9798611111111111</v>
      </c>
      <c r="AA827" s="20">
        <v>0.08680555555555555</v>
      </c>
      <c r="AB827" s="54"/>
      <c r="AC827" s="54"/>
      <c r="AD827" s="51">
        <v>0.3333333333333333</v>
      </c>
      <c r="AE827" s="18">
        <v>45977.0</v>
      </c>
      <c r="AF827" s="22" t="s">
        <v>6347</v>
      </c>
      <c r="AG827" s="22" t="s">
        <v>2004</v>
      </c>
      <c r="AH827" s="22" t="s">
        <v>6411</v>
      </c>
      <c r="AI827" s="26" t="str">
        <f>IFERROR(__xludf.DUMMYFUNCTION("IF(OR(W827="""",X827="""",AE827="""",AD827=""""),"""",
   TEXT(
     (
       (AE827+AD827 + IF(AE827+AD827 &lt; W827+X827,1,0)) - (W827+X827)
     )
     - IF(AND(AB827&lt;&gt;"""",AC827&lt;&gt;""""), 
          SUM(ARRAYFORMULA(SPLIT(AC827,"","") - SPLIT(AB827,"",""))"&amp;"), 
          0
       ),
     ""[hh]:mm""
   )
)
"),"07:30")</f>
        <v>07:30</v>
      </c>
      <c r="AJ827" s="55">
        <f t="shared" si="16"/>
        <v>0</v>
      </c>
      <c r="AK827" s="28" t="str">
        <f t="shared" si="17"/>
        <v>Pass</v>
      </c>
    </row>
    <row r="828">
      <c r="A828" s="18">
        <v>45968.0</v>
      </c>
      <c r="B828" s="20">
        <v>0.7333333333333333</v>
      </c>
      <c r="C828" s="18">
        <v>45968.0</v>
      </c>
      <c r="D828" s="20">
        <v>0.7375</v>
      </c>
      <c r="E828" s="22" t="s">
        <v>6412</v>
      </c>
      <c r="F828" s="22" t="s">
        <v>2702</v>
      </c>
      <c r="G828" s="22" t="s">
        <v>2703</v>
      </c>
      <c r="H828" s="22" t="s">
        <v>2593</v>
      </c>
      <c r="I828" s="22" t="s">
        <v>234</v>
      </c>
      <c r="J828" s="22" t="s">
        <v>3813</v>
      </c>
      <c r="K828" s="22" t="s">
        <v>61</v>
      </c>
      <c r="L828" s="22" t="s">
        <v>183</v>
      </c>
      <c r="M828" s="22" t="s">
        <v>5838</v>
      </c>
      <c r="N828" s="22" t="s">
        <v>6413</v>
      </c>
      <c r="O828" s="23" t="s">
        <v>6414</v>
      </c>
      <c r="P828" s="22" t="s">
        <v>75</v>
      </c>
      <c r="Q828" s="50" t="s">
        <v>65</v>
      </c>
      <c r="R828" s="22" t="s">
        <v>6415</v>
      </c>
      <c r="S828" s="22" t="s">
        <v>51</v>
      </c>
      <c r="T828" s="22" t="s">
        <v>324</v>
      </c>
      <c r="U828" s="22" t="s">
        <v>6416</v>
      </c>
      <c r="V828" s="22" t="s">
        <v>6417</v>
      </c>
      <c r="W828" s="18">
        <v>45976.0</v>
      </c>
      <c r="X828" s="20">
        <v>0.16666666666666666</v>
      </c>
      <c r="Y828" s="18">
        <v>45976.0</v>
      </c>
      <c r="Z828" s="20">
        <v>0.16458333333333333</v>
      </c>
      <c r="AA828" s="20">
        <v>0.18055555555555555</v>
      </c>
      <c r="AB828" s="51">
        <v>0.16458333333333333</v>
      </c>
      <c r="AC828" s="51">
        <v>0.18055555555555555</v>
      </c>
      <c r="AD828" s="51">
        <v>0.22916666666666666</v>
      </c>
      <c r="AE828" s="18">
        <v>45976.0</v>
      </c>
      <c r="AF828" s="22" t="s">
        <v>53</v>
      </c>
      <c r="AG828" s="22" t="s">
        <v>2086</v>
      </c>
      <c r="AH828" s="22" t="s">
        <v>6418</v>
      </c>
      <c r="AI828" s="26" t="str">
        <f>IFERROR(__xludf.DUMMYFUNCTION("IF(OR(W828="""",X828="""",AE828="""",AD828=""""),"""",
   TEXT(
     (
       (AE828+AD828 + IF(AE828+AD828 &lt; W828+X828,1,0)) - (W828+X828)
     )
     - IF(AND(AB828&lt;&gt;"""",AC828&lt;&gt;""""), 
          SUM(ARRAYFORMULA(SPLIT(AC828,"","") - SPLIT(AB828,"",""))"&amp;"), 
          0
       ),
     ""[hh]:mm""
   )
)
"),"01:07")</f>
        <v>01:07</v>
      </c>
      <c r="AJ828" s="55">
        <f t="shared" si="16"/>
        <v>0</v>
      </c>
      <c r="AK828" s="28" t="str">
        <f t="shared" si="17"/>
        <v>Pass</v>
      </c>
    </row>
    <row r="829">
      <c r="A829" s="18">
        <v>45971.0</v>
      </c>
      <c r="B829" s="20">
        <v>0.5486111111111112</v>
      </c>
      <c r="C829" s="18">
        <v>45971.0</v>
      </c>
      <c r="D829" s="20">
        <v>0.55625</v>
      </c>
      <c r="E829" s="22" t="s">
        <v>6419</v>
      </c>
      <c r="F829" s="22" t="s">
        <v>6420</v>
      </c>
      <c r="G829" s="22" t="s">
        <v>6421</v>
      </c>
      <c r="H829" s="22" t="s">
        <v>2432</v>
      </c>
      <c r="I829" s="22" t="s">
        <v>6422</v>
      </c>
      <c r="J829" s="22" t="s">
        <v>482</v>
      </c>
      <c r="K829" s="22" t="s">
        <v>411</v>
      </c>
      <c r="L829" s="22" t="s">
        <v>6423</v>
      </c>
      <c r="M829" s="22" t="s">
        <v>6424</v>
      </c>
      <c r="N829" s="22" t="s">
        <v>6425</v>
      </c>
      <c r="O829" s="23" t="s">
        <v>6426</v>
      </c>
      <c r="P829" s="22" t="s">
        <v>75</v>
      </c>
      <c r="Q829" s="50" t="s">
        <v>65</v>
      </c>
      <c r="R829" s="22" t="s">
        <v>6427</v>
      </c>
      <c r="S829" s="22" t="s">
        <v>51</v>
      </c>
      <c r="T829" s="22" t="s">
        <v>6428</v>
      </c>
      <c r="U829" s="22" t="s">
        <v>6429</v>
      </c>
      <c r="V829" s="22" t="s">
        <v>6430</v>
      </c>
      <c r="W829" s="18">
        <v>45976.0</v>
      </c>
      <c r="X829" s="20">
        <v>0.375</v>
      </c>
      <c r="Y829" s="18">
        <v>45976.0</v>
      </c>
      <c r="Z829" s="20">
        <v>0.47430555555555554</v>
      </c>
      <c r="AA829" s="20">
        <v>0.4756944444444444</v>
      </c>
      <c r="AB829" s="54"/>
      <c r="AC829" s="54"/>
      <c r="AD829" s="51">
        <v>0.4826388888888889</v>
      </c>
      <c r="AE829" s="18">
        <v>45976.0</v>
      </c>
      <c r="AF829" s="22" t="s">
        <v>53</v>
      </c>
      <c r="AG829" s="22" t="s">
        <v>1731</v>
      </c>
      <c r="AH829" s="22" t="s">
        <v>6431</v>
      </c>
      <c r="AI829" s="26" t="str">
        <f>IFERROR(__xludf.DUMMYFUNCTION("IF(OR(W829="""",X829="""",AE829="""",AD829=""""),"""",
   TEXT(
     (
       (AE829+AD829 + IF(AE829+AD829 &lt; W829+X829,1,0)) - (W829+X829)
     )
     - IF(AND(AB829&lt;&gt;"""",AC829&lt;&gt;""""), 
          SUM(ARRAYFORMULA(SPLIT(AC829,"","") - SPLIT(AB829,"",""))"&amp;"), 
          0
       ),
     ""[hh]:mm""
   )
)
"),"02:35")</f>
        <v>02:35</v>
      </c>
      <c r="AJ829" s="55">
        <f t="shared" si="16"/>
        <v>0</v>
      </c>
      <c r="AK829" s="28" t="str">
        <f t="shared" si="17"/>
        <v>Pass</v>
      </c>
    </row>
    <row r="830">
      <c r="A830" s="45">
        <v>45974.0</v>
      </c>
      <c r="B830" s="49">
        <v>0.8013888888888889</v>
      </c>
      <c r="C830" s="45">
        <v>45974.0</v>
      </c>
      <c r="D830" s="49">
        <v>0.8263888888888888</v>
      </c>
      <c r="E830" s="21" t="s">
        <v>6432</v>
      </c>
      <c r="F830" s="21" t="s">
        <v>6433</v>
      </c>
      <c r="G830" s="21" t="s">
        <v>6434</v>
      </c>
      <c r="H830" s="21" t="s">
        <v>253</v>
      </c>
      <c r="I830" s="21" t="s">
        <v>951</v>
      </c>
      <c r="J830" s="21" t="s">
        <v>3813</v>
      </c>
      <c r="K830" s="21" t="s">
        <v>61</v>
      </c>
      <c r="L830" s="21" t="s">
        <v>183</v>
      </c>
      <c r="M830" s="21" t="s">
        <v>6435</v>
      </c>
      <c r="N830" s="21" t="s">
        <v>6436</v>
      </c>
      <c r="O830" s="48" t="s">
        <v>6437</v>
      </c>
      <c r="P830" s="21" t="s">
        <v>75</v>
      </c>
      <c r="Q830" s="24" t="s">
        <v>49</v>
      </c>
      <c r="R830" s="21" t="s">
        <v>6438</v>
      </c>
      <c r="S830" s="21" t="s">
        <v>51</v>
      </c>
      <c r="T830" s="21" t="s">
        <v>52</v>
      </c>
      <c r="U830" s="21" t="s">
        <v>52</v>
      </c>
      <c r="V830" s="21" t="s">
        <v>52</v>
      </c>
      <c r="W830" s="45">
        <v>45976.0</v>
      </c>
      <c r="X830" s="49">
        <v>0.4166666666666667</v>
      </c>
      <c r="Y830" s="45">
        <v>45976.0</v>
      </c>
      <c r="Z830" s="49">
        <v>0.44305555555555554</v>
      </c>
      <c r="AA830" s="49">
        <v>0.4513888888888889</v>
      </c>
      <c r="AB830" s="29"/>
      <c r="AC830" s="29"/>
      <c r="AD830" s="25">
        <v>0.5694444444444444</v>
      </c>
      <c r="AE830" s="45">
        <v>45976.0</v>
      </c>
      <c r="AF830" s="47"/>
      <c r="AG830" s="21" t="s">
        <v>3118</v>
      </c>
      <c r="AH830" s="21" t="s">
        <v>6439</v>
      </c>
      <c r="AI830" s="26" t="str">
        <f>IFERROR(__xludf.DUMMYFUNCTION("IF(OR(W830="""",X830="""",AE830="""",AD830=""""),"""",
   TEXT(
     (
       (AE830+AD830 + IF(AE830+AD830 &lt; W830+X830,1,0)) - (W830+X830)
     )
     - IF(AND(AB830&lt;&gt;"""",AC830&lt;&gt;""""), 
          SUM(ARRAYFORMULA(SPLIT(AC830,"","") - SPLIT(AB830,"",""))"&amp;"), 
          0
       ),
     ""[hh]:mm""
   )
)
"),"03:40")</f>
        <v>03:40</v>
      </c>
      <c r="AJ830" s="55">
        <f t="shared" si="16"/>
        <v>0</v>
      </c>
      <c r="AK830" s="28" t="str">
        <f t="shared" si="17"/>
        <v>Pass</v>
      </c>
    </row>
    <row r="831">
      <c r="A831" s="45">
        <v>45975.0</v>
      </c>
      <c r="B831" s="49">
        <v>0.9145833333333333</v>
      </c>
      <c r="C831" s="45">
        <v>45976.0</v>
      </c>
      <c r="D831" s="49">
        <v>0.3625</v>
      </c>
      <c r="E831" s="21" t="s">
        <v>6440</v>
      </c>
      <c r="F831" s="21" t="s">
        <v>710</v>
      </c>
      <c r="G831" s="21" t="s">
        <v>711</v>
      </c>
      <c r="H831" s="21" t="s">
        <v>5696</v>
      </c>
      <c r="I831" s="21" t="s">
        <v>95</v>
      </c>
      <c r="J831" s="21" t="s">
        <v>95</v>
      </c>
      <c r="K831" s="21" t="s">
        <v>143</v>
      </c>
      <c r="L831" s="21" t="s">
        <v>144</v>
      </c>
      <c r="M831" s="21" t="s">
        <v>712</v>
      </c>
      <c r="N831" s="21" t="s">
        <v>6441</v>
      </c>
      <c r="O831" s="48" t="s">
        <v>6442</v>
      </c>
      <c r="P831" s="21" t="s">
        <v>75</v>
      </c>
      <c r="Q831" s="24" t="s">
        <v>49</v>
      </c>
      <c r="R831" s="21" t="s">
        <v>6443</v>
      </c>
      <c r="S831" s="21" t="s">
        <v>51</v>
      </c>
      <c r="T831" s="21" t="s">
        <v>52</v>
      </c>
      <c r="U831" s="21" t="s">
        <v>52</v>
      </c>
      <c r="V831" s="21" t="s">
        <v>52</v>
      </c>
      <c r="W831" s="45">
        <v>45976.0</v>
      </c>
      <c r="X831" s="76">
        <v>0.3625</v>
      </c>
      <c r="Y831" s="45">
        <v>45976.0</v>
      </c>
      <c r="Z831" s="49">
        <v>0.47847222222222224</v>
      </c>
      <c r="AA831" s="49">
        <v>0.4791666666666667</v>
      </c>
      <c r="AB831" s="24" t="s">
        <v>4702</v>
      </c>
      <c r="AC831" s="24" t="s">
        <v>6444</v>
      </c>
      <c r="AD831" s="25">
        <v>0.6666666666666666</v>
      </c>
      <c r="AE831" s="45">
        <v>45976.0</v>
      </c>
      <c r="AF831" s="21" t="s">
        <v>3327</v>
      </c>
      <c r="AG831" s="21" t="s">
        <v>102</v>
      </c>
      <c r="AH831" s="21" t="s">
        <v>6334</v>
      </c>
      <c r="AI831" s="26" t="str">
        <f>IFERROR(__xludf.DUMMYFUNCTION("IF(OR(W831="""",X831="""",AE831="""",AD831=""""),"""",
   TEXT(
     (
       (AE831+AD831 + IF(AE831+AD831 &lt; W831+X831,1,0)) - (W831+X831)
     )
     - IF(AND(AB831&lt;&gt;"""",AC831&lt;&gt;""""), 
          SUM(ARRAYFORMULA(SPLIT(AC831,"","") - SPLIT(AB831,"",""))"&amp;"), 
          0
       ),
     ""[hh]:mm""
   )
)
"),"03:48")</f>
        <v>03:48</v>
      </c>
      <c r="AJ831" s="55">
        <f t="shared" si="16"/>
        <v>0</v>
      </c>
      <c r="AK831" s="28" t="str">
        <f t="shared" si="17"/>
        <v>Pass</v>
      </c>
    </row>
    <row r="832">
      <c r="A832" s="18">
        <v>45976.0</v>
      </c>
      <c r="B832" s="20">
        <v>0.07291666666666667</v>
      </c>
      <c r="C832" s="18">
        <v>45976.0</v>
      </c>
      <c r="D832" s="20">
        <v>0.36180555555555555</v>
      </c>
      <c r="E832" s="22" t="s">
        <v>6445</v>
      </c>
      <c r="F832" s="22" t="s">
        <v>2591</v>
      </c>
      <c r="G832" s="22" t="s">
        <v>2592</v>
      </c>
      <c r="H832" s="22" t="s">
        <v>1610</v>
      </c>
      <c r="I832" s="22" t="s">
        <v>1612</v>
      </c>
      <c r="J832" s="22" t="s">
        <v>1612</v>
      </c>
      <c r="K832" s="22" t="s">
        <v>143</v>
      </c>
      <c r="L832" s="22" t="s">
        <v>1613</v>
      </c>
      <c r="M832" s="22" t="s">
        <v>6446</v>
      </c>
      <c r="N832" s="22" t="s">
        <v>6447</v>
      </c>
      <c r="O832" s="23" t="s">
        <v>6448</v>
      </c>
      <c r="P832" s="22" t="s">
        <v>187</v>
      </c>
      <c r="Q832" s="50" t="s">
        <v>65</v>
      </c>
      <c r="R832" s="22" t="s">
        <v>5822</v>
      </c>
      <c r="S832" s="22" t="s">
        <v>51</v>
      </c>
      <c r="T832" s="22" t="s">
        <v>52</v>
      </c>
      <c r="U832" s="22" t="s">
        <v>52</v>
      </c>
      <c r="V832" s="22" t="s">
        <v>52</v>
      </c>
      <c r="W832" s="18">
        <v>45976.0</v>
      </c>
      <c r="X832" s="20">
        <v>0.36180555555555555</v>
      </c>
      <c r="Y832" s="18">
        <v>45976.0</v>
      </c>
      <c r="Z832" s="20">
        <v>0.5416666666666666</v>
      </c>
      <c r="AA832" s="20">
        <v>0.6666666666666666</v>
      </c>
      <c r="AB832" s="51">
        <v>0.5416666666666666</v>
      </c>
      <c r="AC832" s="51">
        <v>0.6666666666666666</v>
      </c>
      <c r="AD832" s="51">
        <v>0.7222222222222222</v>
      </c>
      <c r="AE832" s="18">
        <v>45976.0</v>
      </c>
      <c r="AF832" s="22" t="s">
        <v>53</v>
      </c>
      <c r="AG832" s="22" t="s">
        <v>78</v>
      </c>
      <c r="AH832" s="22" t="s">
        <v>6449</v>
      </c>
      <c r="AI832" s="26" t="str">
        <f>IFERROR(__xludf.DUMMYFUNCTION("IF(OR(W832="""",X832="""",AE832="""",AD832=""""),"""",
   TEXT(
     (
       (AE832+AD832 + IF(AE832+AD832 &lt; W832+X832,1,0)) - (W832+X832)
     )
     - IF(AND(AB832&lt;&gt;"""",AC832&lt;&gt;""""), 
          SUM(ARRAYFORMULA(SPLIT(AC832,"","") - SPLIT(AB832,"",""))"&amp;"), 
          0
       ),
     ""[hh]:mm""
   )
)
"),"05:39")</f>
        <v>05:39</v>
      </c>
      <c r="AJ832" s="55">
        <f t="shared" si="16"/>
        <v>0</v>
      </c>
      <c r="AK832" s="28" t="str">
        <f t="shared" si="17"/>
        <v>Pass</v>
      </c>
    </row>
    <row r="833">
      <c r="A833" s="18">
        <v>45976.0</v>
      </c>
      <c r="B833" s="20">
        <v>0.07291666666666667</v>
      </c>
      <c r="C833" s="18">
        <v>45976.0</v>
      </c>
      <c r="D833" s="20">
        <v>0.36180555555555555</v>
      </c>
      <c r="E833" s="22" t="s">
        <v>6450</v>
      </c>
      <c r="F833" s="22" t="s">
        <v>2591</v>
      </c>
      <c r="G833" s="22" t="s">
        <v>2592</v>
      </c>
      <c r="H833" s="22" t="s">
        <v>1610</v>
      </c>
      <c r="I833" s="22" t="s">
        <v>1612</v>
      </c>
      <c r="J833" s="22" t="s">
        <v>1612</v>
      </c>
      <c r="K833" s="22" t="s">
        <v>143</v>
      </c>
      <c r="L833" s="22" t="s">
        <v>1613</v>
      </c>
      <c r="M833" s="22" t="s">
        <v>6451</v>
      </c>
      <c r="N833" s="22" t="s">
        <v>6452</v>
      </c>
      <c r="O833" s="23" t="s">
        <v>6453</v>
      </c>
      <c r="P833" s="22" t="s">
        <v>187</v>
      </c>
      <c r="Q833" s="50" t="s">
        <v>65</v>
      </c>
      <c r="R833" s="22" t="s">
        <v>5822</v>
      </c>
      <c r="S833" s="22" t="s">
        <v>51</v>
      </c>
      <c r="T833" s="22" t="s">
        <v>52</v>
      </c>
      <c r="U833" s="22" t="s">
        <v>52</v>
      </c>
      <c r="V833" s="22" t="s">
        <v>52</v>
      </c>
      <c r="W833" s="18">
        <v>45976.0</v>
      </c>
      <c r="X833" s="20">
        <v>0.36180555555555555</v>
      </c>
      <c r="Y833" s="18">
        <v>45976.0</v>
      </c>
      <c r="Z833" s="20">
        <v>0.5416666666666666</v>
      </c>
      <c r="AA833" s="20">
        <v>0.5833333333333334</v>
      </c>
      <c r="AB833" s="51">
        <v>0.5416666666666666</v>
      </c>
      <c r="AC833" s="51">
        <v>0.5833333333333334</v>
      </c>
      <c r="AD833" s="51">
        <v>0.6666666666666666</v>
      </c>
      <c r="AE833" s="18">
        <v>45976.0</v>
      </c>
      <c r="AF833" s="22" t="s">
        <v>53</v>
      </c>
      <c r="AG833" s="22" t="s">
        <v>78</v>
      </c>
      <c r="AH833" s="22" t="s">
        <v>6449</v>
      </c>
      <c r="AI833" s="26" t="str">
        <f>IFERROR(__xludf.DUMMYFUNCTION("IF(OR(W833="""",X833="""",AE833="""",AD833=""""),"""",
   TEXT(
     (
       (AE833+AD833 + IF(AE833+AD833 &lt; W833+X833,1,0)) - (W833+X833)
     )
     - IF(AND(AB833&lt;&gt;"""",AC833&lt;&gt;""""), 
          SUM(ARRAYFORMULA(SPLIT(AC833,"","") - SPLIT(AB833,"",""))"&amp;"), 
          0
       ),
     ""[hh]:mm""
   )
)
"),"06:19")</f>
        <v>06:19</v>
      </c>
      <c r="AJ833" s="55">
        <f t="shared" si="16"/>
        <v>0</v>
      </c>
      <c r="AK833" s="28" t="str">
        <f t="shared" si="17"/>
        <v>Pass</v>
      </c>
    </row>
    <row r="834">
      <c r="A834" s="45">
        <v>45976.0</v>
      </c>
      <c r="B834" s="49">
        <v>0.3590277777777778</v>
      </c>
      <c r="C834" s="45">
        <v>45976.0</v>
      </c>
      <c r="D834" s="49">
        <v>0.375</v>
      </c>
      <c r="E834" s="21" t="s">
        <v>6454</v>
      </c>
      <c r="F834" s="21" t="s">
        <v>6455</v>
      </c>
      <c r="G834" s="21" t="s">
        <v>6456</v>
      </c>
      <c r="H834" s="21" t="s">
        <v>756</v>
      </c>
      <c r="I834" s="21" t="s">
        <v>1095</v>
      </c>
      <c r="J834" s="21" t="s">
        <v>169</v>
      </c>
      <c r="K834" s="21" t="s">
        <v>61</v>
      </c>
      <c r="L834" s="21" t="s">
        <v>6457</v>
      </c>
      <c r="M834" s="21" t="s">
        <v>6458</v>
      </c>
      <c r="N834" s="21" t="s">
        <v>6459</v>
      </c>
      <c r="O834" s="48" t="s">
        <v>6460</v>
      </c>
      <c r="P834" s="21" t="s">
        <v>75</v>
      </c>
      <c r="Q834" s="24" t="s">
        <v>65</v>
      </c>
      <c r="R834" s="21" t="s">
        <v>6461</v>
      </c>
      <c r="S834" s="21" t="s">
        <v>51</v>
      </c>
      <c r="T834" s="21" t="s">
        <v>169</v>
      </c>
      <c r="U834" s="47"/>
      <c r="V834" s="47"/>
      <c r="W834" s="45">
        <v>45976.0</v>
      </c>
      <c r="X834" s="49">
        <v>0.375</v>
      </c>
      <c r="Y834" s="45">
        <v>45976.0</v>
      </c>
      <c r="Z834" s="49">
        <v>0.4722222222222222</v>
      </c>
      <c r="AA834" s="49">
        <v>0.4791666666666667</v>
      </c>
      <c r="AB834" s="29"/>
      <c r="AC834" s="29"/>
      <c r="AD834" s="25">
        <v>0.6076388888888888</v>
      </c>
      <c r="AE834" s="45">
        <v>45976.0</v>
      </c>
      <c r="AF834" s="21" t="s">
        <v>2788</v>
      </c>
      <c r="AG834" s="21" t="s">
        <v>3191</v>
      </c>
      <c r="AH834" s="21" t="s">
        <v>6462</v>
      </c>
      <c r="AI834" s="26" t="str">
        <f>IFERROR(__xludf.DUMMYFUNCTION("IF(OR(W834="""",X834="""",AE834="""",AD834=""""),"""",
   TEXT(
     (
       (AE834+AD834 + IF(AE834+AD834 &lt; W834+X834,1,0)) - (W834+X834)
     )
     - IF(AND(AB834&lt;&gt;"""",AC834&lt;&gt;""""), 
          SUM(ARRAYFORMULA(SPLIT(AC834,"","") - SPLIT(AB834,"",""))"&amp;"), 
          0
       ),
     ""[hh]:mm""
   )
)
"),"05:35")</f>
        <v>05:35</v>
      </c>
      <c r="AJ834" s="55">
        <f t="shared" si="16"/>
        <v>0</v>
      </c>
      <c r="AK834" s="28" t="str">
        <f t="shared" si="17"/>
        <v>Pass</v>
      </c>
    </row>
    <row r="835">
      <c r="A835" s="45">
        <v>45974.0</v>
      </c>
      <c r="B835" s="49">
        <v>0.3715277777777778</v>
      </c>
      <c r="C835" s="45">
        <v>45974.0</v>
      </c>
      <c r="D835" s="49">
        <v>0.3701388888888889</v>
      </c>
      <c r="E835" s="21" t="s">
        <v>6463</v>
      </c>
      <c r="F835" s="21" t="s">
        <v>3344</v>
      </c>
      <c r="G835" s="21" t="s">
        <v>6464</v>
      </c>
      <c r="H835" s="21" t="s">
        <v>1468</v>
      </c>
      <c r="I835" s="21" t="s">
        <v>856</v>
      </c>
      <c r="J835" s="21" t="s">
        <v>1084</v>
      </c>
      <c r="K835" s="21" t="s">
        <v>1998</v>
      </c>
      <c r="L835" s="21" t="s">
        <v>6465</v>
      </c>
      <c r="M835" s="21" t="s">
        <v>5768</v>
      </c>
      <c r="N835" s="21" t="s">
        <v>1468</v>
      </c>
      <c r="O835" s="48" t="s">
        <v>6466</v>
      </c>
      <c r="P835" s="21" t="s">
        <v>48</v>
      </c>
      <c r="Q835" s="24" t="s">
        <v>198</v>
      </c>
      <c r="R835" s="21" t="s">
        <v>6467</v>
      </c>
      <c r="S835" s="21" t="s">
        <v>51</v>
      </c>
      <c r="T835" s="21" t="s">
        <v>52</v>
      </c>
      <c r="U835" s="21" t="s">
        <v>52</v>
      </c>
      <c r="V835" s="21" t="s">
        <v>52</v>
      </c>
      <c r="W835" s="45">
        <v>45977.0</v>
      </c>
      <c r="X835" s="49">
        <v>0.4166666666666667</v>
      </c>
      <c r="Y835" s="45">
        <v>45977.0</v>
      </c>
      <c r="Z835" s="49">
        <v>0.4041666666666667</v>
      </c>
      <c r="AA835" s="49">
        <v>0.5</v>
      </c>
      <c r="AB835" s="25">
        <v>0.6041666666666666</v>
      </c>
      <c r="AC835" s="25">
        <v>0.6458333333333334</v>
      </c>
      <c r="AD835" s="25">
        <v>0.6458333333333334</v>
      </c>
      <c r="AE835" s="45">
        <v>45977.0</v>
      </c>
      <c r="AF835" s="21" t="s">
        <v>2730</v>
      </c>
      <c r="AG835" s="21" t="s">
        <v>583</v>
      </c>
      <c r="AH835" s="21" t="s">
        <v>6468</v>
      </c>
      <c r="AI835" s="62" t="str">
        <f>IFERROR(__xludf.DUMMYFUNCTION("IF(OR(W835="""",X835="""",AE835="""",AD835=""""),"""",
   TEXT(
     (
       (AE835+AD835 + IF(AE835+AD835 &lt; W835+X835,1,0)) - (W835+X835)
     )
     - IF(AND(AB835&lt;&gt;"""",AC835&lt;&gt;""""), 
          SUM(ARRAYFORMULA(SPLIT(AC835,"","") - SPLIT(AB835,"",""))"&amp;"), 
          0
       ),
     ""[hh]:mm""
   )
)
"),"04:30")</f>
        <v>04:30</v>
      </c>
      <c r="AJ835" s="27">
        <f t="shared" si="16"/>
        <v>0</v>
      </c>
      <c r="AK835" s="63" t="str">
        <f t="shared" si="17"/>
        <v>Pass</v>
      </c>
    </row>
    <row r="836">
      <c r="A836" s="45">
        <v>45974.0</v>
      </c>
      <c r="B836" s="49">
        <v>0.3284722222222222</v>
      </c>
      <c r="C836" s="45">
        <v>45974.0</v>
      </c>
      <c r="D836" s="49">
        <v>0.7381944444444445</v>
      </c>
      <c r="E836" s="21" t="s">
        <v>6469</v>
      </c>
      <c r="F836" s="21" t="s">
        <v>5817</v>
      </c>
      <c r="G836" s="21" t="s">
        <v>6470</v>
      </c>
      <c r="H836" s="21" t="s">
        <v>156</v>
      </c>
      <c r="I836" s="21" t="s">
        <v>2026</v>
      </c>
      <c r="J836" s="21" t="s">
        <v>3806</v>
      </c>
      <c r="K836" s="21" t="s">
        <v>43</v>
      </c>
      <c r="L836" s="21" t="s">
        <v>6471</v>
      </c>
      <c r="M836" s="21" t="s">
        <v>6472</v>
      </c>
      <c r="N836" s="21" t="s">
        <v>6473</v>
      </c>
      <c r="O836" s="48" t="s">
        <v>6474</v>
      </c>
      <c r="P836" s="21" t="s">
        <v>75</v>
      </c>
      <c r="Q836" s="24" t="s">
        <v>49</v>
      </c>
      <c r="R836" s="21" t="s">
        <v>6475</v>
      </c>
      <c r="S836" s="21" t="s">
        <v>51</v>
      </c>
      <c r="T836" s="21" t="s">
        <v>657</v>
      </c>
      <c r="U836" s="21" t="s">
        <v>6476</v>
      </c>
      <c r="V836" s="21" t="s">
        <v>6472</v>
      </c>
      <c r="W836" s="45">
        <v>45977.0</v>
      </c>
      <c r="X836" s="49">
        <v>0.6666666666666666</v>
      </c>
      <c r="Y836" s="45">
        <v>45977.0</v>
      </c>
      <c r="Z836" s="49">
        <v>0.7416666666666667</v>
      </c>
      <c r="AA836" s="49">
        <v>0.7465277777777778</v>
      </c>
      <c r="AB836" s="29"/>
      <c r="AC836" s="29"/>
      <c r="AD836" s="25">
        <v>0.7916666666666666</v>
      </c>
      <c r="AE836" s="45">
        <v>45977.0</v>
      </c>
      <c r="AF836" s="21" t="s">
        <v>2744</v>
      </c>
      <c r="AG836" s="21" t="s">
        <v>583</v>
      </c>
      <c r="AH836" s="21" t="s">
        <v>6477</v>
      </c>
      <c r="AI836" s="62" t="str">
        <f>IFERROR(__xludf.DUMMYFUNCTION("IF(OR(W836="""",X836="""",AE836="""",AD836=""""),"""",
   TEXT(
     (
       (AE836+AD836 + IF(AE836+AD836 &lt; W836+X836,1,0)) - (W836+X836)
     )
     - IF(AND(AB836&lt;&gt;"""",AC836&lt;&gt;""""), 
          SUM(ARRAYFORMULA(SPLIT(AC836,"","") - SPLIT(AB836,"",""))"&amp;"), 
          0
       ),
     ""[hh]:mm""
   )
)
"),"03:00")</f>
        <v>03:00</v>
      </c>
      <c r="AJ836" s="27">
        <f t="shared" si="16"/>
        <v>0</v>
      </c>
      <c r="AK836" s="63" t="str">
        <f t="shared" si="17"/>
        <v>Pass</v>
      </c>
    </row>
    <row r="837">
      <c r="A837" s="45">
        <v>45976.0</v>
      </c>
      <c r="B837" s="49">
        <v>0.7729166666666667</v>
      </c>
      <c r="C837" s="45">
        <v>45976.0</v>
      </c>
      <c r="D837" s="49">
        <v>0.7756944444444445</v>
      </c>
      <c r="E837" s="21" t="s">
        <v>6478</v>
      </c>
      <c r="F837" s="21" t="s">
        <v>3344</v>
      </c>
      <c r="G837" s="21" t="s">
        <v>3345</v>
      </c>
      <c r="H837" s="21" t="s">
        <v>566</v>
      </c>
      <c r="I837" s="21" t="s">
        <v>95</v>
      </c>
      <c r="J837" s="21" t="s">
        <v>95</v>
      </c>
      <c r="K837" s="21" t="s">
        <v>143</v>
      </c>
      <c r="L837" s="21" t="s">
        <v>3175</v>
      </c>
      <c r="M837" s="21" t="s">
        <v>6479</v>
      </c>
      <c r="N837" s="21" t="s">
        <v>6480</v>
      </c>
      <c r="O837" s="48" t="s">
        <v>6481</v>
      </c>
      <c r="P837" s="21" t="s">
        <v>48</v>
      </c>
      <c r="Q837" s="24" t="s">
        <v>49</v>
      </c>
      <c r="R837" s="21" t="s">
        <v>6482</v>
      </c>
      <c r="S837" s="21" t="s">
        <v>51</v>
      </c>
      <c r="T837" s="21" t="s">
        <v>52</v>
      </c>
      <c r="U837" s="21" t="s">
        <v>52</v>
      </c>
      <c r="V837" s="21" t="s">
        <v>52</v>
      </c>
      <c r="W837" s="45">
        <v>45977.0</v>
      </c>
      <c r="X837" s="49">
        <v>0.3645833333333333</v>
      </c>
      <c r="Y837" s="45">
        <v>45977.0</v>
      </c>
      <c r="Z837" s="49">
        <v>0.4041666666666667</v>
      </c>
      <c r="AA837" s="49">
        <v>0.4097222222222222</v>
      </c>
      <c r="AB837" s="24" t="s">
        <v>6483</v>
      </c>
      <c r="AC837" s="24" t="s">
        <v>6484</v>
      </c>
      <c r="AD837" s="25">
        <v>0.4930555555555556</v>
      </c>
      <c r="AE837" s="45">
        <v>45977.0</v>
      </c>
      <c r="AF837" s="21" t="s">
        <v>5952</v>
      </c>
      <c r="AG837" s="21" t="s">
        <v>583</v>
      </c>
      <c r="AH837" s="21" t="s">
        <v>6468</v>
      </c>
      <c r="AI837" s="26" t="str">
        <f>IFERROR(__xludf.DUMMYFUNCTION("IF(OR(W837="""",X837="""",AE837="""",AD837=""""),"""",
   TEXT(
     (
       (AE837+AD837 + IF(AE837+AD837 &lt; W837+X837,1,0)) - (W837+X837)
     )
     - IF(AND(AB837&lt;&gt;"""",AC837&lt;&gt;""""), 
          SUM(ARRAYFORMULA(SPLIT(AC837,"","") - SPLIT(AB837,"",""))"&amp;"), 
          0
       ),
     ""[hh]:mm""
   )
)
"),"01:55")</f>
        <v>01:55</v>
      </c>
      <c r="AJ837" s="55">
        <f t="shared" si="16"/>
        <v>0</v>
      </c>
      <c r="AK837" s="28" t="str">
        <f t="shared" si="17"/>
        <v>Pass</v>
      </c>
    </row>
    <row r="838">
      <c r="A838" s="18">
        <v>45976.0</v>
      </c>
      <c r="B838" s="20">
        <v>0.8180555555555555</v>
      </c>
      <c r="C838" s="18">
        <v>45976.0</v>
      </c>
      <c r="D838" s="20">
        <v>0.8256944444444444</v>
      </c>
      <c r="E838" s="22" t="s">
        <v>6485</v>
      </c>
      <c r="F838" s="22" t="s">
        <v>3291</v>
      </c>
      <c r="G838" s="22" t="s">
        <v>3292</v>
      </c>
      <c r="H838" s="22" t="s">
        <v>142</v>
      </c>
      <c r="I838" s="22" t="s">
        <v>95</v>
      </c>
      <c r="J838" s="22" t="s">
        <v>95</v>
      </c>
      <c r="K838" s="22" t="s">
        <v>143</v>
      </c>
      <c r="L838" s="22" t="s">
        <v>3175</v>
      </c>
      <c r="M838" s="22" t="s">
        <v>6486</v>
      </c>
      <c r="N838" s="22" t="s">
        <v>6487</v>
      </c>
      <c r="O838" s="23" t="s">
        <v>6488</v>
      </c>
      <c r="P838" s="22" t="s">
        <v>48</v>
      </c>
      <c r="Q838" s="50" t="s">
        <v>49</v>
      </c>
      <c r="R838" s="22" t="s">
        <v>6489</v>
      </c>
      <c r="S838" s="22" t="s">
        <v>51</v>
      </c>
      <c r="T838" s="22" t="s">
        <v>52</v>
      </c>
      <c r="U838" s="22" t="s">
        <v>52</v>
      </c>
      <c r="V838" s="22" t="s">
        <v>52</v>
      </c>
      <c r="W838" s="18">
        <v>45977.0</v>
      </c>
      <c r="X838" s="20">
        <v>0.375</v>
      </c>
      <c r="Y838" s="18">
        <v>45977.0</v>
      </c>
      <c r="Z838" s="20">
        <v>0.4166666666666667</v>
      </c>
      <c r="AA838" s="20">
        <v>0.4201388888888889</v>
      </c>
      <c r="AB838" s="54"/>
      <c r="AC838" s="54"/>
      <c r="AD838" s="51">
        <v>0.4409722222222222</v>
      </c>
      <c r="AE838" s="18">
        <v>45977.0</v>
      </c>
      <c r="AF838" s="22" t="s">
        <v>2744</v>
      </c>
      <c r="AG838" s="22" t="s">
        <v>313</v>
      </c>
      <c r="AH838" s="22" t="s">
        <v>6490</v>
      </c>
      <c r="AI838" s="26" t="str">
        <f>IFERROR(__xludf.DUMMYFUNCTION("IF(OR(W838="""",X838="""",AE838="""",AD838=""""),"""",
   TEXT(
     (
       (AE838+AD838 + IF(AE838+AD838 &lt; W838+X838,1,0)) - (W838+X838)
     )
     - IF(AND(AB838&lt;&gt;"""",AC838&lt;&gt;""""), 
          SUM(ARRAYFORMULA(SPLIT(AC838,"","") - SPLIT(AB838,"",""))"&amp;"), 
          0
       ),
     ""[hh]:mm""
   )
)
"),"01:35")</f>
        <v>01:35</v>
      </c>
      <c r="AJ838" s="55">
        <f t="shared" si="16"/>
        <v>0</v>
      </c>
      <c r="AK838" s="28" t="str">
        <f t="shared" si="17"/>
        <v>Pass</v>
      </c>
    </row>
    <row r="839">
      <c r="A839" s="45">
        <v>45976.0</v>
      </c>
      <c r="B839" s="49">
        <v>0.9145833333333333</v>
      </c>
      <c r="C839" s="45">
        <v>45977.0</v>
      </c>
      <c r="D839" s="80">
        <v>0.3729166666666667</v>
      </c>
      <c r="E839" s="21" t="s">
        <v>6491</v>
      </c>
      <c r="F839" s="21" t="s">
        <v>1151</v>
      </c>
      <c r="G839" s="21" t="s">
        <v>1152</v>
      </c>
      <c r="H839" s="21" t="s">
        <v>2337</v>
      </c>
      <c r="I839" s="21" t="s">
        <v>3990</v>
      </c>
      <c r="J839" s="21" t="s">
        <v>3991</v>
      </c>
      <c r="K839" s="21" t="s">
        <v>43</v>
      </c>
      <c r="L839" s="21" t="s">
        <v>120</v>
      </c>
      <c r="M839" s="21" t="s">
        <v>4936</v>
      </c>
      <c r="N839" s="21" t="s">
        <v>6492</v>
      </c>
      <c r="O839" s="48" t="s">
        <v>6493</v>
      </c>
      <c r="P839" s="21" t="s">
        <v>75</v>
      </c>
      <c r="Q839" s="24" t="s">
        <v>65</v>
      </c>
      <c r="R839" s="21" t="s">
        <v>6494</v>
      </c>
      <c r="S839" s="21" t="s">
        <v>51</v>
      </c>
      <c r="T839" s="21" t="s">
        <v>3991</v>
      </c>
      <c r="U839" s="21" t="s">
        <v>6495</v>
      </c>
      <c r="V839" s="21" t="s">
        <v>4936</v>
      </c>
      <c r="W839" s="45">
        <v>45977.0</v>
      </c>
      <c r="X839" s="49">
        <v>0.3729166666666667</v>
      </c>
      <c r="Y839" s="45">
        <v>45977.0</v>
      </c>
      <c r="Z839" s="49">
        <v>0.4375</v>
      </c>
      <c r="AA839" s="49">
        <v>0.4409722222222222</v>
      </c>
      <c r="AB839" s="25">
        <v>0.4375</v>
      </c>
      <c r="AC839" s="25">
        <v>0.51875</v>
      </c>
      <c r="AD839" s="25">
        <v>0.5305555555555556</v>
      </c>
      <c r="AE839" s="45">
        <v>45977.0</v>
      </c>
      <c r="AF839" s="21" t="s">
        <v>2744</v>
      </c>
      <c r="AG839" s="21" t="s">
        <v>293</v>
      </c>
      <c r="AH839" s="21" t="s">
        <v>6496</v>
      </c>
      <c r="AI839" s="26" t="str">
        <f>IFERROR(__xludf.DUMMYFUNCTION("IF(OR(W839="""",X839="""",AE839="""",AD839=""""),"""",
   TEXT(
     (
       (AE839+AD839 + IF(AE839+AD839 &lt; W839+X839,1,0)) - (W839+X839)
     )
     - IF(AND(AB839&lt;&gt;"""",AC839&lt;&gt;""""), 
          SUM(ARRAYFORMULA(SPLIT(AC839,"","") - SPLIT(AB839,"",""))"&amp;"), 
          0
       ),
     ""[hh]:mm""
   )
)
"),"01:50")</f>
        <v>01:50</v>
      </c>
      <c r="AJ839" s="55">
        <f t="shared" si="16"/>
        <v>0</v>
      </c>
      <c r="AK839" s="28" t="str">
        <f t="shared" si="17"/>
        <v>Pass</v>
      </c>
    </row>
    <row r="840">
      <c r="A840" s="45">
        <v>45977.0</v>
      </c>
      <c r="B840" s="49">
        <v>0.6902777777777778</v>
      </c>
      <c r="C840" s="45">
        <v>45977.0</v>
      </c>
      <c r="D840" s="49">
        <v>0.6902777777777778</v>
      </c>
      <c r="E840" s="21" t="s">
        <v>6497</v>
      </c>
      <c r="F840" s="21" t="s">
        <v>710</v>
      </c>
      <c r="G840" s="21" t="s">
        <v>711</v>
      </c>
      <c r="H840" s="21" t="s">
        <v>142</v>
      </c>
      <c r="I840" s="21" t="s">
        <v>60</v>
      </c>
      <c r="J840" s="21" t="s">
        <v>3806</v>
      </c>
      <c r="K840" s="21" t="s">
        <v>43</v>
      </c>
      <c r="L840" s="21" t="s">
        <v>6498</v>
      </c>
      <c r="M840" s="21" t="s">
        <v>6499</v>
      </c>
      <c r="N840" s="21" t="s">
        <v>6500</v>
      </c>
      <c r="O840" s="48" t="s">
        <v>6501</v>
      </c>
      <c r="P840" s="21" t="s">
        <v>75</v>
      </c>
      <c r="Q840" s="24" t="s">
        <v>65</v>
      </c>
      <c r="R840" s="21" t="s">
        <v>6502</v>
      </c>
      <c r="S840" s="21" t="s">
        <v>51</v>
      </c>
      <c r="T840" s="21" t="s">
        <v>52</v>
      </c>
      <c r="U840" s="21" t="s">
        <v>52</v>
      </c>
      <c r="V840" s="21" t="s">
        <v>52</v>
      </c>
      <c r="W840" s="45">
        <v>45977.0</v>
      </c>
      <c r="X840" s="49">
        <v>0.9791666666666666</v>
      </c>
      <c r="Y840" s="45">
        <v>45977.0</v>
      </c>
      <c r="Z840" s="49">
        <v>0.9875</v>
      </c>
      <c r="AA840" s="49">
        <v>0.04027777777777778</v>
      </c>
      <c r="AB840" s="29"/>
      <c r="AC840" s="29"/>
      <c r="AD840" s="25">
        <v>0.3333333333333333</v>
      </c>
      <c r="AE840" s="45">
        <v>45978.0</v>
      </c>
      <c r="AF840" s="21" t="s">
        <v>3327</v>
      </c>
      <c r="AG840" s="21" t="s">
        <v>6503</v>
      </c>
      <c r="AH840" s="21" t="s">
        <v>6504</v>
      </c>
      <c r="AI840" s="26" t="str">
        <f>IFERROR(__xludf.DUMMYFUNCTION("IF(OR(W840="""",X840="""",AE840="""",AD840=""""),"""",
   TEXT(
     (
       (AE840+AD840 + IF(AE840+AD840 &lt; W840+X840,1,0)) - (W840+X840)
     )
     - IF(AND(AB840&lt;&gt;"""",AC840&lt;&gt;""""), 
          SUM(ARRAYFORMULA(SPLIT(AC840,"","") - SPLIT(AB840,"",""))"&amp;"), 
          0
       ),
     ""[hh]:mm""
   )
)
"),"08:30")</f>
        <v>08:30</v>
      </c>
      <c r="AJ840" s="55">
        <f t="shared" si="16"/>
        <v>0</v>
      </c>
      <c r="AK840" s="28" t="str">
        <f t="shared" si="17"/>
        <v>Pass</v>
      </c>
    </row>
    <row r="841">
      <c r="A841" s="45">
        <v>45977.0</v>
      </c>
      <c r="B841" s="49">
        <v>0.6902777777777778</v>
      </c>
      <c r="C841" s="45">
        <v>45977.0</v>
      </c>
      <c r="D841" s="49">
        <v>0.6902777777777778</v>
      </c>
      <c r="E841" s="21" t="s">
        <v>6505</v>
      </c>
      <c r="F841" s="21" t="s">
        <v>710</v>
      </c>
      <c r="G841" s="21" t="s">
        <v>711</v>
      </c>
      <c r="H841" s="21" t="s">
        <v>142</v>
      </c>
      <c r="I841" s="21" t="s">
        <v>234</v>
      </c>
      <c r="J841" s="21" t="s">
        <v>3806</v>
      </c>
      <c r="K841" s="21" t="s">
        <v>43</v>
      </c>
      <c r="L841" s="21" t="s">
        <v>6506</v>
      </c>
      <c r="M841" s="21" t="s">
        <v>6507</v>
      </c>
      <c r="N841" s="21" t="s">
        <v>6508</v>
      </c>
      <c r="O841" s="48" t="s">
        <v>6509</v>
      </c>
      <c r="P841" s="21" t="s">
        <v>75</v>
      </c>
      <c r="Q841" s="24" t="s">
        <v>65</v>
      </c>
      <c r="R841" s="21" t="s">
        <v>6510</v>
      </c>
      <c r="S841" s="21" t="s">
        <v>51</v>
      </c>
      <c r="T841" s="21" t="s">
        <v>52</v>
      </c>
      <c r="U841" s="21" t="s">
        <v>52</v>
      </c>
      <c r="V841" s="21" t="s">
        <v>52</v>
      </c>
      <c r="W841" s="45">
        <v>45977.0</v>
      </c>
      <c r="X841" s="49">
        <v>0.9791666666666666</v>
      </c>
      <c r="Y841" s="45">
        <v>45977.0</v>
      </c>
      <c r="Z841" s="49">
        <v>0.9875</v>
      </c>
      <c r="AA841" s="49">
        <v>0.04027777777777778</v>
      </c>
      <c r="AB841" s="29"/>
      <c r="AC841" s="29"/>
      <c r="AD841" s="25">
        <v>0.3333333333333333</v>
      </c>
      <c r="AE841" s="45">
        <v>45978.0</v>
      </c>
      <c r="AF841" s="21" t="s">
        <v>3327</v>
      </c>
      <c r="AG841" s="21" t="s">
        <v>6503</v>
      </c>
      <c r="AH841" s="21" t="s">
        <v>6504</v>
      </c>
      <c r="AI841" s="26" t="str">
        <f>IFERROR(__xludf.DUMMYFUNCTION("IF(OR(W841="""",X841="""",AE841="""",AD841=""""),"""",
   TEXT(
     (
       (AE841+AD841 + IF(AE841+AD841 &lt; W841+X841,1,0)) - (W841+X841)
     )
     - IF(AND(AB841&lt;&gt;"""",AC841&lt;&gt;""""), 
          SUM(ARRAYFORMULA(SPLIT(AC841,"","") - SPLIT(AB841,"",""))"&amp;"), 
          0
       ),
     ""[hh]:mm""
   )
)
"),"08:30")</f>
        <v>08:30</v>
      </c>
      <c r="AJ841" s="55">
        <f t="shared" si="16"/>
        <v>0</v>
      </c>
      <c r="AK841" s="28" t="str">
        <f t="shared" si="17"/>
        <v>Pass</v>
      </c>
    </row>
    <row r="842">
      <c r="A842" s="45">
        <v>45976.0</v>
      </c>
      <c r="B842" s="49">
        <v>0.8895833333333333</v>
      </c>
      <c r="C842" s="45">
        <v>45976.0</v>
      </c>
      <c r="D842" s="49">
        <v>0.8944444444444445</v>
      </c>
      <c r="E842" s="21" t="s">
        <v>6511</v>
      </c>
      <c r="F842" s="21" t="s">
        <v>3999</v>
      </c>
      <c r="G842" s="21" t="s">
        <v>4000</v>
      </c>
      <c r="H842" s="21" t="s">
        <v>4070</v>
      </c>
      <c r="I842" s="21" t="s">
        <v>567</v>
      </c>
      <c r="J842" s="21" t="s">
        <v>567</v>
      </c>
      <c r="K842" s="21" t="s">
        <v>568</v>
      </c>
      <c r="L842" s="21" t="s">
        <v>2902</v>
      </c>
      <c r="M842" s="21" t="s">
        <v>4810</v>
      </c>
      <c r="N842" s="21" t="s">
        <v>6512</v>
      </c>
      <c r="O842" s="48" t="s">
        <v>6513</v>
      </c>
      <c r="P842" s="21" t="s">
        <v>75</v>
      </c>
      <c r="Q842" s="24" t="s">
        <v>65</v>
      </c>
      <c r="R842" s="21" t="s">
        <v>6514</v>
      </c>
      <c r="S842" s="21" t="s">
        <v>51</v>
      </c>
      <c r="T842" s="21" t="s">
        <v>52</v>
      </c>
      <c r="U842" s="21" t="s">
        <v>52</v>
      </c>
      <c r="V842" s="21" t="s">
        <v>52</v>
      </c>
      <c r="W842" s="45">
        <v>45978.0</v>
      </c>
      <c r="X842" s="49">
        <v>0.51875</v>
      </c>
      <c r="Y842" s="45">
        <v>45978.0</v>
      </c>
      <c r="Z842" s="49">
        <v>0.6138888888888889</v>
      </c>
      <c r="AA842" s="49">
        <v>0.6180555555555556</v>
      </c>
      <c r="AB842" s="29"/>
      <c r="AC842" s="29"/>
      <c r="AD842" s="25">
        <v>0.6555555555555556</v>
      </c>
      <c r="AE842" s="45">
        <v>45978.0</v>
      </c>
      <c r="AF842" s="21" t="s">
        <v>3327</v>
      </c>
      <c r="AG842" s="21" t="s">
        <v>1511</v>
      </c>
      <c r="AH842" s="21" t="s">
        <v>6515</v>
      </c>
      <c r="AI842" s="26" t="str">
        <f>IFERROR(__xludf.DUMMYFUNCTION("IF(OR(W842="""",X842="""",AE842="""",AD842=""""),"""",
   TEXT(
     (
       (AE842+AD842 + IF(AE842+AD842 &lt; W842+X842,1,0)) - (W842+X842)
     )
     - IF(AND(AB842&lt;&gt;"""",AC842&lt;&gt;""""), 
          SUM(ARRAYFORMULA(SPLIT(AC842,"","") - SPLIT(AB842,"",""))"&amp;"), 
          0
       ),
     ""[hh]:mm""
   )
)
"),"03:17")</f>
        <v>03:17</v>
      </c>
      <c r="AJ842" s="55">
        <f t="shared" si="16"/>
        <v>0</v>
      </c>
      <c r="AK842" s="28" t="str">
        <f t="shared" si="17"/>
        <v>Pass</v>
      </c>
    </row>
    <row r="843">
      <c r="A843" s="45">
        <v>45977.0</v>
      </c>
      <c r="B843" s="49">
        <v>0.38472222222222224</v>
      </c>
      <c r="C843" s="45">
        <v>45977.0</v>
      </c>
      <c r="D843" s="49">
        <v>0.5868055555555556</v>
      </c>
      <c r="E843" s="21" t="s">
        <v>6516</v>
      </c>
      <c r="F843" s="22" t="s">
        <v>6517</v>
      </c>
      <c r="G843" s="21" t="s">
        <v>6518</v>
      </c>
      <c r="H843" s="21" t="s">
        <v>156</v>
      </c>
      <c r="I843" s="21" t="s">
        <v>234</v>
      </c>
      <c r="J843" s="21" t="s">
        <v>3806</v>
      </c>
      <c r="K843" s="21" t="s">
        <v>43</v>
      </c>
      <c r="L843" s="21" t="s">
        <v>805</v>
      </c>
      <c r="M843" s="21" t="s">
        <v>6519</v>
      </c>
      <c r="N843" s="21" t="s">
        <v>6520</v>
      </c>
      <c r="O843" s="48" t="s">
        <v>6521</v>
      </c>
      <c r="P843" s="21" t="s">
        <v>75</v>
      </c>
      <c r="Q843" s="24" t="s">
        <v>65</v>
      </c>
      <c r="R843" s="21" t="s">
        <v>6522</v>
      </c>
      <c r="S843" s="21" t="s">
        <v>51</v>
      </c>
      <c r="T843" s="21" t="s">
        <v>2032</v>
      </c>
      <c r="U843" s="21" t="s">
        <v>3094</v>
      </c>
      <c r="V843" s="21" t="s">
        <v>6519</v>
      </c>
      <c r="W843" s="45">
        <v>45978.0</v>
      </c>
      <c r="X843" s="49">
        <v>0.3680555555555556</v>
      </c>
      <c r="Y843" s="45">
        <v>45978.0</v>
      </c>
      <c r="Z843" s="49">
        <v>0.4444444444444444</v>
      </c>
      <c r="AA843" s="49">
        <v>0.4513888888888889</v>
      </c>
      <c r="AB843" s="25">
        <v>0.4722222222222222</v>
      </c>
      <c r="AC843" s="25">
        <v>0.4861111111111111</v>
      </c>
      <c r="AD843" s="25">
        <v>0.4861111111111111</v>
      </c>
      <c r="AE843" s="45">
        <v>45978.0</v>
      </c>
      <c r="AF843" s="21" t="s">
        <v>2971</v>
      </c>
      <c r="AG843" s="21" t="s">
        <v>1731</v>
      </c>
      <c r="AH843" s="21" t="s">
        <v>6523</v>
      </c>
      <c r="AI843" s="26" t="str">
        <f>IFERROR(__xludf.DUMMYFUNCTION("IF(OR(W843="""",X843="""",AE843="""",AD843=""""),"""",
   TEXT(
     (
       (AE843+AD843 + IF(AE843+AD843 &lt; W843+X843,1,0)) - (W843+X843)
     )
     - IF(AND(AB843&lt;&gt;"""",AC843&lt;&gt;""""), 
          SUM(ARRAYFORMULA(SPLIT(AC843,"","") - SPLIT(AB843,"",""))"&amp;"), 
          0
       ),
     ""[hh]:mm""
   )
)
"),"02:30")</f>
        <v>02:30</v>
      </c>
      <c r="AJ843" s="55">
        <f t="shared" si="16"/>
        <v>0</v>
      </c>
      <c r="AK843" s="28" t="str">
        <f t="shared" si="17"/>
        <v>Pass</v>
      </c>
    </row>
    <row r="844">
      <c r="A844" s="45">
        <v>45977.0</v>
      </c>
      <c r="B844" s="49">
        <v>0.7631944444444444</v>
      </c>
      <c r="C844" s="45">
        <v>45977.0</v>
      </c>
      <c r="D844" s="49">
        <v>0.7743055555555556</v>
      </c>
      <c r="E844" s="21" t="s">
        <v>6524</v>
      </c>
      <c r="F844" s="21" t="s">
        <v>242</v>
      </c>
      <c r="G844" s="21" t="s">
        <v>243</v>
      </c>
      <c r="H844" s="21" t="s">
        <v>1610</v>
      </c>
      <c r="I844" s="21" t="s">
        <v>1612</v>
      </c>
      <c r="J844" s="21" t="s">
        <v>1612</v>
      </c>
      <c r="K844" s="22" t="s">
        <v>143</v>
      </c>
      <c r="L844" s="22" t="s">
        <v>1613</v>
      </c>
      <c r="M844" s="21" t="s">
        <v>6525</v>
      </c>
      <c r="N844" s="21" t="s">
        <v>6526</v>
      </c>
      <c r="O844" s="48" t="s">
        <v>6527</v>
      </c>
      <c r="P844" s="21" t="s">
        <v>187</v>
      </c>
      <c r="Q844" s="24" t="s">
        <v>65</v>
      </c>
      <c r="R844" s="21" t="s">
        <v>6528</v>
      </c>
      <c r="S844" s="21" t="s">
        <v>51</v>
      </c>
      <c r="T844" s="21" t="s">
        <v>52</v>
      </c>
      <c r="U844" s="21" t="s">
        <v>52</v>
      </c>
      <c r="V844" s="21" t="s">
        <v>52</v>
      </c>
      <c r="W844" s="45">
        <v>45978.0</v>
      </c>
      <c r="X844" s="49">
        <v>0.4479166666666667</v>
      </c>
      <c r="Y844" s="45">
        <v>45978.0</v>
      </c>
      <c r="Z844" s="49">
        <v>0.46111111111111114</v>
      </c>
      <c r="AA844" s="49">
        <v>0.46319444444444446</v>
      </c>
      <c r="AB844" s="29"/>
      <c r="AC844" s="29"/>
      <c r="AD844" s="25">
        <v>0.6111111111111112</v>
      </c>
      <c r="AE844" s="45">
        <v>45978.0</v>
      </c>
      <c r="AF844" s="21" t="s">
        <v>2738</v>
      </c>
      <c r="AG844" s="21" t="s">
        <v>6108</v>
      </c>
      <c r="AH844" s="21" t="s">
        <v>6529</v>
      </c>
      <c r="AI844" s="26" t="str">
        <f>IFERROR(__xludf.DUMMYFUNCTION("IF(OR(W844="""",X844="""",AE844="""",AD844=""""),"""",
   TEXT(
     (
       (AE844+AD844 + IF(AE844+AD844 &lt; W844+X844,1,0)) - (W844+X844)
     )
     - IF(AND(AB844&lt;&gt;"""",AC844&lt;&gt;""""), 
          SUM(ARRAYFORMULA(SPLIT(AC844,"","") - SPLIT(AB844,"",""))"&amp;"), 
          0
       ),
     ""[hh]:mm""
   )
)
"),"03:55")</f>
        <v>03:55</v>
      </c>
      <c r="AJ844" s="55">
        <f t="shared" si="16"/>
        <v>0</v>
      </c>
      <c r="AK844" s="28" t="str">
        <f t="shared" si="17"/>
        <v>Pass</v>
      </c>
    </row>
    <row r="845">
      <c r="A845" s="18">
        <v>45977.0</v>
      </c>
      <c r="B845" s="20">
        <v>0.8388888888888889</v>
      </c>
      <c r="C845" s="18">
        <v>45977.0</v>
      </c>
      <c r="D845" s="20">
        <v>0.8493055555555555</v>
      </c>
      <c r="E845" s="22" t="s">
        <v>6530</v>
      </c>
      <c r="F845" s="22" t="s">
        <v>1315</v>
      </c>
      <c r="G845" s="22" t="s">
        <v>1316</v>
      </c>
      <c r="H845" s="22" t="s">
        <v>156</v>
      </c>
      <c r="I845" s="22" t="s">
        <v>616</v>
      </c>
      <c r="J845" s="22" t="s">
        <v>3806</v>
      </c>
      <c r="K845" s="22" t="s">
        <v>43</v>
      </c>
      <c r="L845" s="22">
        <v>7600.0</v>
      </c>
      <c r="M845" s="22" t="s">
        <v>6531</v>
      </c>
      <c r="N845" s="22" t="s">
        <v>6532</v>
      </c>
      <c r="O845" s="23" t="s">
        <v>6533</v>
      </c>
      <c r="P845" s="22" t="s">
        <v>75</v>
      </c>
      <c r="Q845" s="50" t="s">
        <v>65</v>
      </c>
      <c r="R845" s="22" t="s">
        <v>6534</v>
      </c>
      <c r="S845" s="22" t="s">
        <v>51</v>
      </c>
      <c r="T845" s="22" t="s">
        <v>52</v>
      </c>
      <c r="U845" s="22" t="s">
        <v>52</v>
      </c>
      <c r="V845" s="22" t="s">
        <v>52</v>
      </c>
      <c r="W845" s="18">
        <v>45978.0</v>
      </c>
      <c r="X845" s="20">
        <v>0.3333333333333333</v>
      </c>
      <c r="Y845" s="18">
        <v>45978.0</v>
      </c>
      <c r="Z845" s="20">
        <v>0.4423611111111111</v>
      </c>
      <c r="AA845" s="20">
        <v>0.4652777777777778</v>
      </c>
      <c r="AB845" s="51">
        <v>0.4444444444444444</v>
      </c>
      <c r="AC845" s="51">
        <v>0.4652777777777778</v>
      </c>
      <c r="AD845" s="51">
        <v>0.4791666666666667</v>
      </c>
      <c r="AE845" s="18">
        <v>45978.0</v>
      </c>
      <c r="AF845" s="22" t="s">
        <v>2738</v>
      </c>
      <c r="AG845" s="22" t="s">
        <v>102</v>
      </c>
      <c r="AH845" s="22" t="s">
        <v>6535</v>
      </c>
      <c r="AI845" s="26" t="str">
        <f>IFERROR(__xludf.DUMMYFUNCTION("IF(OR(W845="""",X845="""",AE845="""",AD845=""""),"""",
   TEXT(
     (
       (AE845+AD845 + IF(AE845+AD845 &lt; W845+X845,1,0)) - (W845+X845)
     )
     - IF(AND(AB845&lt;&gt;"""",AC845&lt;&gt;""""), 
          SUM(ARRAYFORMULA(SPLIT(AC845,"","") - SPLIT(AB845,"",""))"&amp;"), 
          0
       ),
     ""[hh]:mm""
   )
)
"),"03:00")</f>
        <v>03:00</v>
      </c>
      <c r="AJ845" s="55">
        <f t="shared" si="16"/>
        <v>0</v>
      </c>
      <c r="AK845" s="28" t="str">
        <f t="shared" si="17"/>
        <v>Pass</v>
      </c>
    </row>
    <row r="846">
      <c r="A846" s="45">
        <v>45978.0</v>
      </c>
      <c r="B846" s="49">
        <v>0.3145833333333333</v>
      </c>
      <c r="C846" s="45">
        <v>45978.0</v>
      </c>
      <c r="D846" s="49">
        <v>0.37222222222222223</v>
      </c>
      <c r="E846" s="21" t="s">
        <v>6536</v>
      </c>
      <c r="F846" s="21" t="s">
        <v>6537</v>
      </c>
      <c r="G846" s="21" t="s">
        <v>6538</v>
      </c>
      <c r="H846" s="21" t="s">
        <v>3471</v>
      </c>
      <c r="I846" s="21" t="s">
        <v>815</v>
      </c>
      <c r="J846" s="21" t="s">
        <v>1084</v>
      </c>
      <c r="K846" s="21" t="s">
        <v>1936</v>
      </c>
      <c r="L846" s="21" t="s">
        <v>52</v>
      </c>
      <c r="M846" s="21" t="s">
        <v>52</v>
      </c>
      <c r="N846" s="21" t="s">
        <v>6539</v>
      </c>
      <c r="O846" s="48" t="s">
        <v>6540</v>
      </c>
      <c r="P846" s="21" t="s">
        <v>48</v>
      </c>
      <c r="Q846" s="24" t="s">
        <v>198</v>
      </c>
      <c r="R846" s="21" t="s">
        <v>6541</v>
      </c>
      <c r="S846" s="21" t="s">
        <v>51</v>
      </c>
      <c r="T846" s="21" t="s">
        <v>52</v>
      </c>
      <c r="U846" s="21" t="s">
        <v>52</v>
      </c>
      <c r="V846" s="21" t="s">
        <v>52</v>
      </c>
      <c r="W846" s="45">
        <v>45978.0</v>
      </c>
      <c r="X846" s="49">
        <v>0.37222222222222223</v>
      </c>
      <c r="Y846" s="45">
        <v>45978.0</v>
      </c>
      <c r="Z846" s="49">
        <v>0.5833333333333334</v>
      </c>
      <c r="AA846" s="49">
        <v>0.625</v>
      </c>
      <c r="AB846" s="25">
        <v>0.5833333333333334</v>
      </c>
      <c r="AC846" s="25">
        <v>0.625</v>
      </c>
      <c r="AD846" s="25">
        <v>0.6458333333333334</v>
      </c>
      <c r="AE846" s="45">
        <v>45978.0</v>
      </c>
      <c r="AF846" s="21" t="s">
        <v>6542</v>
      </c>
      <c r="AG846" s="21" t="s">
        <v>54</v>
      </c>
      <c r="AH846" s="21" t="s">
        <v>6543</v>
      </c>
      <c r="AI846" s="26" t="str">
        <f>IFERROR(__xludf.DUMMYFUNCTION("IF(OR(W846="""",X846="""",AE846="""",AD846=""""),"""",
   TEXT(
     (
       (AE846+AD846 + IF(AE846+AD846 &lt; W846+X846,1,0)) - (W846+X846)
     )
     - IF(AND(AB846&lt;&gt;"""",AC846&lt;&gt;""""), 
          SUM(ARRAYFORMULA(SPLIT(AC846,"","") - SPLIT(AB846,"",""))"&amp;"), 
          0
       ),
     ""[hh]:mm""
   )
)
"),"05:34")</f>
        <v>05:34</v>
      </c>
      <c r="AJ846" s="55">
        <f t="shared" si="16"/>
        <v>0</v>
      </c>
      <c r="AK846" s="28" t="str">
        <f t="shared" si="17"/>
        <v>Pass</v>
      </c>
    </row>
    <row r="847">
      <c r="A847" s="45">
        <v>45978.0</v>
      </c>
      <c r="B847" s="49">
        <v>0.3368055555555556</v>
      </c>
      <c r="C847" s="45">
        <v>45978.0</v>
      </c>
      <c r="D847" s="49">
        <v>0.36875</v>
      </c>
      <c r="E847" s="21" t="s">
        <v>6544</v>
      </c>
      <c r="F847" s="21" t="s">
        <v>4832</v>
      </c>
      <c r="G847" s="21" t="s">
        <v>4833</v>
      </c>
      <c r="H847" s="21" t="s">
        <v>1422</v>
      </c>
      <c r="I847" s="21" t="s">
        <v>991</v>
      </c>
      <c r="J847" s="21" t="s">
        <v>385</v>
      </c>
      <c r="K847" s="21" t="s">
        <v>6545</v>
      </c>
      <c r="L847" s="21" t="s">
        <v>6546</v>
      </c>
      <c r="M847" s="21" t="s">
        <v>6547</v>
      </c>
      <c r="N847" s="21" t="s">
        <v>6548</v>
      </c>
      <c r="O847" s="48" t="s">
        <v>6549</v>
      </c>
      <c r="P847" s="21" t="s">
        <v>48</v>
      </c>
      <c r="Q847" s="24" t="s">
        <v>49</v>
      </c>
      <c r="R847" s="21" t="s">
        <v>6550</v>
      </c>
      <c r="S847" s="21" t="s">
        <v>51</v>
      </c>
      <c r="T847" s="21" t="s">
        <v>52</v>
      </c>
      <c r="U847" s="21" t="s">
        <v>52</v>
      </c>
      <c r="V847" s="21" t="s">
        <v>52</v>
      </c>
      <c r="W847" s="45">
        <v>45978.0</v>
      </c>
      <c r="X847" s="49">
        <v>0.39166666666666666</v>
      </c>
      <c r="Y847" s="45">
        <v>45978.0</v>
      </c>
      <c r="Z847" s="49">
        <v>0.4444444444444444</v>
      </c>
      <c r="AA847" s="49">
        <v>0.44513888888888886</v>
      </c>
      <c r="AB847" s="29"/>
      <c r="AC847" s="29"/>
      <c r="AD847" s="25">
        <v>0.4791666666666667</v>
      </c>
      <c r="AE847" s="45">
        <v>45978.0</v>
      </c>
      <c r="AF847" s="21" t="s">
        <v>2744</v>
      </c>
      <c r="AG847" s="21" t="s">
        <v>67</v>
      </c>
      <c r="AH847" s="21" t="s">
        <v>4838</v>
      </c>
      <c r="AI847" s="26" t="str">
        <f>IFERROR(__xludf.DUMMYFUNCTION("IF(OR(W847="""",X847="""",AE847="""",AD847=""""),"""",
   TEXT(
     (
       (AE847+AD847 + IF(AE847+AD847 &lt; W847+X847,1,0)) - (W847+X847)
     )
     - IF(AND(AB847&lt;&gt;"""",AC847&lt;&gt;""""), 
          SUM(ARRAYFORMULA(SPLIT(AC847,"","") - SPLIT(AB847,"",""))"&amp;"), 
          0
       ),
     ""[hh]:mm""
   )
)
"),"02:06")</f>
        <v>02:06</v>
      </c>
      <c r="AJ847" s="55">
        <f t="shared" si="16"/>
        <v>0</v>
      </c>
      <c r="AK847" s="28" t="str">
        <f t="shared" si="17"/>
        <v>Pass</v>
      </c>
    </row>
    <row r="848">
      <c r="A848" s="45">
        <v>45978.0</v>
      </c>
      <c r="B848" s="49">
        <v>0.34652777777777777</v>
      </c>
      <c r="C848" s="45">
        <v>45978.0</v>
      </c>
      <c r="D848" s="49">
        <v>0.37430555555555556</v>
      </c>
      <c r="E848" s="21" t="s">
        <v>6551</v>
      </c>
      <c r="F848" s="21" t="s">
        <v>5137</v>
      </c>
      <c r="G848" s="21" t="s">
        <v>6552</v>
      </c>
      <c r="H848" s="21" t="s">
        <v>156</v>
      </c>
      <c r="I848" s="21" t="s">
        <v>131</v>
      </c>
      <c r="J848" s="21" t="s">
        <v>3806</v>
      </c>
      <c r="K848" s="22" t="s">
        <v>43</v>
      </c>
      <c r="L848" s="21" t="s">
        <v>2663</v>
      </c>
      <c r="M848" s="21" t="s">
        <v>5149</v>
      </c>
      <c r="N848" s="21" t="s">
        <v>6553</v>
      </c>
      <c r="O848" s="48" t="s">
        <v>6554</v>
      </c>
      <c r="P848" s="21" t="s">
        <v>75</v>
      </c>
      <c r="Q848" s="24" t="s">
        <v>65</v>
      </c>
      <c r="R848" s="21" t="s">
        <v>188</v>
      </c>
      <c r="S848" s="21" t="s">
        <v>51</v>
      </c>
      <c r="T848" s="21" t="s">
        <v>52</v>
      </c>
      <c r="U848" s="21" t="s">
        <v>52</v>
      </c>
      <c r="V848" s="21" t="s">
        <v>52</v>
      </c>
      <c r="W848" s="45">
        <v>45978.0</v>
      </c>
      <c r="X848" s="49">
        <v>0.37430555555555556</v>
      </c>
      <c r="Y848" s="45">
        <v>45978.0</v>
      </c>
      <c r="Z848" s="49">
        <v>0.5229166666666667</v>
      </c>
      <c r="AA848" s="49">
        <v>0.5277777777777778</v>
      </c>
      <c r="AB848" s="29"/>
      <c r="AC848" s="29"/>
      <c r="AD848" s="25">
        <v>0.5625</v>
      </c>
      <c r="AE848" s="45">
        <v>45978.0</v>
      </c>
      <c r="AF848" s="21" t="s">
        <v>2744</v>
      </c>
      <c r="AG848" s="21" t="s">
        <v>102</v>
      </c>
      <c r="AH848" s="21" t="s">
        <v>6555</v>
      </c>
      <c r="AI848" s="26" t="str">
        <f>IFERROR(__xludf.DUMMYFUNCTION("IF(OR(W848="""",X848="""",AE848="""",AD848=""""),"""",
   TEXT(
     (
       (AE848+AD848 + IF(AE848+AD848 &lt; W848+X848,1,0)) - (W848+X848)
     )
     - IF(AND(AB848&lt;&gt;"""",AC848&lt;&gt;""""), 
          SUM(ARRAYFORMULA(SPLIT(AC848,"","") - SPLIT(AB848,"",""))"&amp;"), 
          0
       ),
     ""[hh]:mm""
   )
)
"),"04:31")</f>
        <v>04:31</v>
      </c>
      <c r="AJ848" s="55">
        <f t="shared" si="16"/>
        <v>0</v>
      </c>
      <c r="AK848" s="28" t="str">
        <f t="shared" si="17"/>
        <v>Pass</v>
      </c>
    </row>
    <row r="849">
      <c r="A849" s="45">
        <v>45978.0</v>
      </c>
      <c r="B849" s="49">
        <v>0.41944444444444445</v>
      </c>
      <c r="C849" s="45">
        <v>45978.0</v>
      </c>
      <c r="D849" s="49">
        <v>0.4215277777777778</v>
      </c>
      <c r="E849" s="21" t="s">
        <v>6556</v>
      </c>
      <c r="F849" s="21" t="s">
        <v>2193</v>
      </c>
      <c r="G849" s="21" t="s">
        <v>2194</v>
      </c>
      <c r="H849" s="21" t="s">
        <v>756</v>
      </c>
      <c r="I849" s="21" t="s">
        <v>60</v>
      </c>
      <c r="J849" s="21" t="s">
        <v>3806</v>
      </c>
      <c r="K849" s="22" t="s">
        <v>43</v>
      </c>
      <c r="L849" s="21" t="s">
        <v>204</v>
      </c>
      <c r="M849" s="21" t="s">
        <v>5097</v>
      </c>
      <c r="N849" s="21" t="s">
        <v>6557</v>
      </c>
      <c r="O849" s="48" t="s">
        <v>6558</v>
      </c>
      <c r="P849" s="21" t="s">
        <v>75</v>
      </c>
      <c r="Q849" s="24" t="s">
        <v>65</v>
      </c>
      <c r="R849" s="21" t="s">
        <v>6559</v>
      </c>
      <c r="S849" s="21" t="s">
        <v>51</v>
      </c>
      <c r="T849" s="21" t="s">
        <v>52</v>
      </c>
      <c r="U849" s="21" t="s">
        <v>52</v>
      </c>
      <c r="V849" s="21" t="s">
        <v>52</v>
      </c>
      <c r="W849" s="45">
        <v>45978.0</v>
      </c>
      <c r="X849" s="49">
        <v>0.4215277777777778</v>
      </c>
      <c r="Y849" s="45">
        <v>45978.0</v>
      </c>
      <c r="Z849" s="49">
        <v>0.6034722222222222</v>
      </c>
      <c r="AA849" s="49">
        <v>0.6041666666666666</v>
      </c>
      <c r="AB849" s="25">
        <v>0.65625</v>
      </c>
      <c r="AC849" s="25">
        <v>0.7430555555555556</v>
      </c>
      <c r="AD849" s="25">
        <v>0.7534722222222222</v>
      </c>
      <c r="AE849" s="45">
        <v>45978.0</v>
      </c>
      <c r="AF849" s="21" t="s">
        <v>2971</v>
      </c>
      <c r="AG849" s="21" t="s">
        <v>1975</v>
      </c>
      <c r="AH849" s="21" t="s">
        <v>5101</v>
      </c>
      <c r="AI849" s="26" t="str">
        <f>IFERROR(__xludf.DUMMYFUNCTION("IF(OR(W849="""",X849="""",AE849="""",AD849=""""),"""",
   TEXT(
     (
       (AE849+AD849 + IF(AE849+AD849 &lt; W849+X849,1,0)) - (W849+X849)
     )
     - IF(AND(AB849&lt;&gt;"""",AC849&lt;&gt;""""), 
          SUM(ARRAYFORMULA(SPLIT(AC849,"","") - SPLIT(AB849,"",""))"&amp;"), 
          0
       ),
     ""[hh]:mm""
   )
)
"),"05:53")</f>
        <v>05:53</v>
      </c>
      <c r="AJ849" s="55">
        <f t="shared" si="16"/>
        <v>0</v>
      </c>
      <c r="AK849" s="28" t="str">
        <f t="shared" si="17"/>
        <v>Pass</v>
      </c>
    </row>
    <row r="850">
      <c r="A850" s="45">
        <v>45978.0</v>
      </c>
      <c r="B850" s="49">
        <v>0.46875</v>
      </c>
      <c r="C850" s="45">
        <v>45978.0</v>
      </c>
      <c r="D850" s="49">
        <v>0.4756944444444444</v>
      </c>
      <c r="E850" s="21" t="s">
        <v>6560</v>
      </c>
      <c r="F850" s="21" t="s">
        <v>81</v>
      </c>
      <c r="G850" s="21" t="s">
        <v>6561</v>
      </c>
      <c r="H850" s="21" t="s">
        <v>130</v>
      </c>
      <c r="I850" s="21" t="s">
        <v>60</v>
      </c>
      <c r="J850" s="21" t="s">
        <v>3813</v>
      </c>
      <c r="K850" s="22" t="s">
        <v>61</v>
      </c>
      <c r="L850" s="21" t="s">
        <v>183</v>
      </c>
      <c r="M850" s="21" t="s">
        <v>6562</v>
      </c>
      <c r="N850" s="21" t="s">
        <v>6563</v>
      </c>
      <c r="O850" s="48" t="s">
        <v>6564</v>
      </c>
      <c r="P850" s="21" t="s">
        <v>75</v>
      </c>
      <c r="Q850" s="24" t="s">
        <v>65</v>
      </c>
      <c r="R850" s="21" t="s">
        <v>6565</v>
      </c>
      <c r="S850" s="21" t="s">
        <v>51</v>
      </c>
      <c r="T850" s="21" t="s">
        <v>6566</v>
      </c>
      <c r="U850" s="21" t="s">
        <v>6567</v>
      </c>
      <c r="V850" s="21" t="s">
        <v>6568</v>
      </c>
      <c r="W850" s="45">
        <v>45978.0</v>
      </c>
      <c r="X850" s="49">
        <v>0.4756944444444444</v>
      </c>
      <c r="Y850" s="45">
        <v>45978.0</v>
      </c>
      <c r="Z850" s="49">
        <v>0.6506944444444445</v>
      </c>
      <c r="AA850" s="49">
        <v>0.6527777777777778</v>
      </c>
      <c r="AB850" s="25">
        <v>0.7111111111111111</v>
      </c>
      <c r="AC850" s="25">
        <v>0.8027777777777778</v>
      </c>
      <c r="AD850" s="25">
        <v>0.8194444444444444</v>
      </c>
      <c r="AE850" s="45">
        <v>45978.0</v>
      </c>
      <c r="AF850" s="21" t="s">
        <v>2744</v>
      </c>
      <c r="AG850" s="21" t="s">
        <v>5541</v>
      </c>
      <c r="AH850" s="21" t="s">
        <v>6569</v>
      </c>
      <c r="AI850" s="26" t="str">
        <f>IFERROR(__xludf.DUMMYFUNCTION("IF(OR(W850="""",X850="""",AE850="""",AD850=""""),"""",
   TEXT(
     (
       (AE850+AD850 + IF(AE850+AD850 &lt; W850+X850,1,0)) - (W850+X850)
     )
     - IF(AND(AB850&lt;&gt;"""",AC850&lt;&gt;""""), 
          SUM(ARRAYFORMULA(SPLIT(AC850,"","") - SPLIT(AB850,"",""))"&amp;"), 
          0
       ),
     ""[hh]:mm""
   )
)
"),"06:03")</f>
        <v>06:03</v>
      </c>
      <c r="AJ850" s="55">
        <f t="shared" si="16"/>
        <v>0</v>
      </c>
      <c r="AK850" s="28" t="str">
        <f t="shared" si="17"/>
        <v>Pass</v>
      </c>
    </row>
    <row r="851">
      <c r="A851" s="45">
        <v>45978.0</v>
      </c>
      <c r="B851" s="49">
        <v>0.5215277777777778</v>
      </c>
      <c r="C851" s="45">
        <v>45978.0</v>
      </c>
      <c r="D851" s="49">
        <v>0.5277777777777778</v>
      </c>
      <c r="E851" s="21" t="s">
        <v>6570</v>
      </c>
      <c r="F851" s="21" t="s">
        <v>1545</v>
      </c>
      <c r="G851" s="21" t="s">
        <v>6571</v>
      </c>
      <c r="H851" s="21" t="s">
        <v>130</v>
      </c>
      <c r="I851" s="21" t="s">
        <v>194</v>
      </c>
      <c r="J851" s="21" t="s">
        <v>482</v>
      </c>
      <c r="K851" s="21" t="s">
        <v>411</v>
      </c>
      <c r="L851" s="21" t="s">
        <v>6572</v>
      </c>
      <c r="M851" s="21" t="s">
        <v>1709</v>
      </c>
      <c r="N851" s="21" t="s">
        <v>6573</v>
      </c>
      <c r="O851" s="48" t="s">
        <v>6574</v>
      </c>
      <c r="P851" s="21" t="s">
        <v>75</v>
      </c>
      <c r="Q851" s="24" t="s">
        <v>65</v>
      </c>
      <c r="R851" s="21" t="s">
        <v>6575</v>
      </c>
      <c r="S851" s="21" t="s">
        <v>51</v>
      </c>
      <c r="T851" s="21" t="s">
        <v>964</v>
      </c>
      <c r="U851" s="21" t="s">
        <v>6576</v>
      </c>
      <c r="V851" s="21" t="s">
        <v>1709</v>
      </c>
      <c r="W851" s="45">
        <v>45978.0</v>
      </c>
      <c r="X851" s="49">
        <v>0.5277777777777778</v>
      </c>
      <c r="Y851" s="45">
        <v>45978.0</v>
      </c>
      <c r="Z851" s="49">
        <v>0.5944444444444444</v>
      </c>
      <c r="AA851" s="49">
        <v>0.5944444444444444</v>
      </c>
      <c r="AB851" s="24" t="s">
        <v>6577</v>
      </c>
      <c r="AC851" s="24" t="s">
        <v>6578</v>
      </c>
      <c r="AD851" s="25">
        <v>0.65625</v>
      </c>
      <c r="AE851" s="45">
        <v>45978.0</v>
      </c>
      <c r="AF851" s="21" t="s">
        <v>2744</v>
      </c>
      <c r="AG851" s="21" t="s">
        <v>239</v>
      </c>
      <c r="AH851" s="21" t="s">
        <v>6579</v>
      </c>
      <c r="AI851" s="26" t="str">
        <f>IFERROR(__xludf.DUMMYFUNCTION("IF(OR(W851="""",X851="""",AE851="""",AD851=""""),"""",
   TEXT(
     (
       (AE851+AD851 + IF(AE851+AD851 &lt; W851+X851,1,0)) - (W851+X851)
     )
     - IF(AND(AB851&lt;&gt;"""",AC851&lt;&gt;""""), 
          SUM(ARRAYFORMULA(SPLIT(AC851,"","") - SPLIT(AB851,"",""))"&amp;"), 
          0
       ),
     ""[hh]:mm""
   )
)
"),"01:53")</f>
        <v>01:53</v>
      </c>
      <c r="AJ851" s="55">
        <f t="shared" si="16"/>
        <v>0</v>
      </c>
      <c r="AK851" s="28" t="str">
        <f t="shared" si="17"/>
        <v>Pass</v>
      </c>
    </row>
    <row r="852">
      <c r="A852" s="45">
        <v>45978.0</v>
      </c>
      <c r="B852" s="49">
        <v>0.65625</v>
      </c>
      <c r="C852" s="45">
        <v>45978.0</v>
      </c>
      <c r="D852" s="49">
        <v>0.65625</v>
      </c>
      <c r="E852" s="21" t="s">
        <v>6580</v>
      </c>
      <c r="F852" s="21" t="s">
        <v>1545</v>
      </c>
      <c r="G852" s="21" t="s">
        <v>6581</v>
      </c>
      <c r="H852" s="21" t="s">
        <v>156</v>
      </c>
      <c r="I852" s="21" t="s">
        <v>4174</v>
      </c>
      <c r="J852" s="21" t="s">
        <v>482</v>
      </c>
      <c r="K852" s="21" t="s">
        <v>411</v>
      </c>
      <c r="L852" s="21" t="s">
        <v>6572</v>
      </c>
      <c r="M852" s="21" t="s">
        <v>1709</v>
      </c>
      <c r="N852" s="21" t="s">
        <v>6582</v>
      </c>
      <c r="O852" s="48" t="s">
        <v>6583</v>
      </c>
      <c r="P852" s="21" t="s">
        <v>75</v>
      </c>
      <c r="Q852" s="24" t="s">
        <v>65</v>
      </c>
      <c r="R852" s="21" t="s">
        <v>6584</v>
      </c>
      <c r="S852" s="21" t="s">
        <v>51</v>
      </c>
      <c r="T852" s="21" t="s">
        <v>52</v>
      </c>
      <c r="U852" s="21" t="s">
        <v>52</v>
      </c>
      <c r="V852" s="21" t="s">
        <v>52</v>
      </c>
      <c r="W852" s="45">
        <v>45978.0</v>
      </c>
      <c r="X852" s="49">
        <v>0.65625</v>
      </c>
      <c r="Y852" s="45">
        <v>45978.0</v>
      </c>
      <c r="Z852" s="49">
        <v>0.65625</v>
      </c>
      <c r="AA852" s="49">
        <v>0.65625</v>
      </c>
      <c r="AB852" s="29"/>
      <c r="AC852" s="29"/>
      <c r="AD852" s="25">
        <v>0.6666666666666666</v>
      </c>
      <c r="AE852" s="45">
        <v>45978.0</v>
      </c>
      <c r="AF852" s="21" t="s">
        <v>33</v>
      </c>
      <c r="AG852" s="21" t="s">
        <v>239</v>
      </c>
      <c r="AH852" s="21" t="s">
        <v>6585</v>
      </c>
      <c r="AI852" s="26" t="str">
        <f>IFERROR(__xludf.DUMMYFUNCTION("IF(OR(W852="""",X852="""",AE852="""",AD852=""""),"""",
   TEXT(
     (
       (AE852+AD852 + IF(AE852+AD852 &lt; W852+X852,1,0)) - (W852+X852)
     )
     - IF(AND(AB852&lt;&gt;"""",AC852&lt;&gt;""""), 
          SUM(ARRAYFORMULA(SPLIT(AC852,"","") - SPLIT(AB852,"",""))"&amp;"), 
          0
       ),
     ""[hh]:mm""
   )
)
"),"00:15")</f>
        <v>00:15</v>
      </c>
      <c r="AJ852" s="55">
        <f t="shared" si="16"/>
        <v>0</v>
      </c>
      <c r="AK852" s="28" t="str">
        <f t="shared" si="17"/>
        <v>Pass</v>
      </c>
    </row>
    <row r="853">
      <c r="A853" s="45">
        <v>45978.0</v>
      </c>
      <c r="B853" s="49">
        <v>0.7131944444444445</v>
      </c>
      <c r="C853" s="45">
        <v>45978.0</v>
      </c>
      <c r="D853" s="49">
        <v>0.7173611111111111</v>
      </c>
      <c r="E853" s="21" t="s">
        <v>6586</v>
      </c>
      <c r="F853" s="21" t="s">
        <v>6587</v>
      </c>
      <c r="G853" s="21" t="s">
        <v>6588</v>
      </c>
      <c r="H853" s="21" t="s">
        <v>566</v>
      </c>
      <c r="I853" s="21" t="s">
        <v>815</v>
      </c>
      <c r="J853" s="21" t="s">
        <v>1084</v>
      </c>
      <c r="K853" s="21" t="s">
        <v>2912</v>
      </c>
      <c r="L853" s="21" t="s">
        <v>4131</v>
      </c>
      <c r="M853" s="21">
        <v>8.61585040691246E14</v>
      </c>
      <c r="N853" s="21" t="s">
        <v>6589</v>
      </c>
      <c r="O853" s="48" t="s">
        <v>6590</v>
      </c>
      <c r="P853" s="21" t="s">
        <v>75</v>
      </c>
      <c r="Q853" s="24" t="s">
        <v>65</v>
      </c>
      <c r="R853" s="21" t="s">
        <v>6591</v>
      </c>
      <c r="S853" s="21" t="s">
        <v>51</v>
      </c>
      <c r="T853" s="21" t="s">
        <v>52</v>
      </c>
      <c r="U853" s="21" t="s">
        <v>52</v>
      </c>
      <c r="V853" s="21" t="s">
        <v>52</v>
      </c>
      <c r="W853" s="45">
        <v>45978.0</v>
      </c>
      <c r="X853" s="49">
        <v>0.7173611111111111</v>
      </c>
      <c r="Y853" s="45">
        <v>45978.0</v>
      </c>
      <c r="Z853" s="49">
        <v>0.8020833333333334</v>
      </c>
      <c r="AA853" s="49">
        <v>0.8020833333333334</v>
      </c>
      <c r="AB853" s="25">
        <v>0.8020833333333334</v>
      </c>
      <c r="AC853" s="25">
        <v>0.81875</v>
      </c>
      <c r="AD853" s="25">
        <v>0.8541666666666666</v>
      </c>
      <c r="AE853" s="45">
        <v>45978.0</v>
      </c>
      <c r="AF853" s="21" t="s">
        <v>6542</v>
      </c>
      <c r="AG853" s="21" t="s">
        <v>239</v>
      </c>
      <c r="AH853" s="21" t="s">
        <v>6592</v>
      </c>
      <c r="AI853" s="26" t="str">
        <f>IFERROR(__xludf.DUMMYFUNCTION("IF(OR(W853="""",X853="""",AE853="""",AD853=""""),"""",
   TEXT(
     (
       (AE853+AD853 + IF(AE853+AD853 &lt; W853+X853,1,0)) - (W853+X853)
     )
     - IF(AND(AB853&lt;&gt;"""",AC853&lt;&gt;""""), 
          SUM(ARRAYFORMULA(SPLIT(AC853,"","") - SPLIT(AB853,"",""))"&amp;"), 
          0
       ),
     ""[hh]:mm""
   )
)
"),"02:53")</f>
        <v>02:53</v>
      </c>
      <c r="AJ853" s="55">
        <f t="shared" si="16"/>
        <v>0</v>
      </c>
      <c r="AK853" s="28" t="str">
        <f t="shared" si="17"/>
        <v>Pass</v>
      </c>
    </row>
    <row r="854">
      <c r="A854" s="45">
        <v>45979.0</v>
      </c>
      <c r="B854" s="49">
        <v>0.4395833333333333</v>
      </c>
      <c r="C854" s="45">
        <v>45979.0</v>
      </c>
      <c r="D854" s="49">
        <v>0.44513888888888886</v>
      </c>
      <c r="E854" s="21" t="s">
        <v>6593</v>
      </c>
      <c r="F854" s="21" t="s">
        <v>710</v>
      </c>
      <c r="G854" s="21" t="s">
        <v>711</v>
      </c>
      <c r="H854" s="21" t="s">
        <v>1881</v>
      </c>
      <c r="I854" s="21" t="s">
        <v>95</v>
      </c>
      <c r="J854" s="21" t="s">
        <v>95</v>
      </c>
      <c r="K854" s="21" t="s">
        <v>143</v>
      </c>
      <c r="L854" s="21" t="s">
        <v>606</v>
      </c>
      <c r="M854" s="21" t="s">
        <v>712</v>
      </c>
      <c r="N854" s="21" t="s">
        <v>6594</v>
      </c>
      <c r="O854" s="48" t="s">
        <v>6595</v>
      </c>
      <c r="P854" s="21" t="s">
        <v>187</v>
      </c>
      <c r="Q854" s="24" t="s">
        <v>49</v>
      </c>
      <c r="R854" s="21" t="s">
        <v>6596</v>
      </c>
      <c r="S854" s="21" t="s">
        <v>51</v>
      </c>
      <c r="T854" s="21" t="s">
        <v>52</v>
      </c>
      <c r="U854" s="21" t="s">
        <v>52</v>
      </c>
      <c r="V854" s="21" t="s">
        <v>52</v>
      </c>
      <c r="W854" s="45">
        <v>45979.0</v>
      </c>
      <c r="X854" s="49">
        <v>0.44513888888888886</v>
      </c>
      <c r="Y854" s="45">
        <v>45979.0</v>
      </c>
      <c r="Z854" s="49">
        <v>0.5208333333333334</v>
      </c>
      <c r="AA854" s="49">
        <v>0.5243055555555556</v>
      </c>
      <c r="AB854" s="25">
        <v>0.5416666666666666</v>
      </c>
      <c r="AC854" s="25">
        <v>0.6458333333333334</v>
      </c>
      <c r="AD854" s="25">
        <v>0.6458333333333334</v>
      </c>
      <c r="AE854" s="45">
        <v>45979.0</v>
      </c>
      <c r="AF854" s="21" t="s">
        <v>2719</v>
      </c>
      <c r="AG854" s="21" t="s">
        <v>775</v>
      </c>
      <c r="AH854" s="21" t="s">
        <v>6597</v>
      </c>
      <c r="AI854" s="62" t="str">
        <f>IFERROR(__xludf.DUMMYFUNCTION("IF(OR(W854="""",X854="""",AE854="""",AD854=""""),"""",
   TEXT(
     (
       (AE854+AD854 + IF(AE854+AD854 &lt; W854+X854,1,0)) - (W854+X854)
     )
     - IF(AND(AB854&lt;&gt;"""",AC854&lt;&gt;""""), 
          SUM(ARRAYFORMULA(SPLIT(AC854,"","") - SPLIT(AB854,"",""))"&amp;"), 
          0
       ),
     ""[hh]:mm""
   )
)
"),"02:19")</f>
        <v>02:19</v>
      </c>
      <c r="AJ854" s="27">
        <f t="shared" si="16"/>
        <v>0</v>
      </c>
      <c r="AK854" s="63" t="str">
        <f t="shared" si="17"/>
        <v>Pass</v>
      </c>
    </row>
    <row r="855">
      <c r="A855" s="18">
        <v>45979.0</v>
      </c>
      <c r="B855" s="20">
        <v>0.4673611111111111</v>
      </c>
      <c r="C855" s="18">
        <v>45979.0</v>
      </c>
      <c r="D855" s="20">
        <v>0.46875</v>
      </c>
      <c r="E855" s="22" t="s">
        <v>6598</v>
      </c>
      <c r="F855" s="22" t="s">
        <v>2369</v>
      </c>
      <c r="G855" s="22" t="s">
        <v>6599</v>
      </c>
      <c r="H855" s="22" t="s">
        <v>2337</v>
      </c>
      <c r="I855" s="22" t="s">
        <v>1095</v>
      </c>
      <c r="J855" s="22" t="s">
        <v>169</v>
      </c>
      <c r="K855" s="22" t="s">
        <v>61</v>
      </c>
      <c r="L855" s="22" t="s">
        <v>183</v>
      </c>
      <c r="M855" s="22" t="s">
        <v>6600</v>
      </c>
      <c r="N855" s="22" t="s">
        <v>6601</v>
      </c>
      <c r="O855" s="23" t="s">
        <v>6602</v>
      </c>
      <c r="P855" s="22" t="s">
        <v>75</v>
      </c>
      <c r="Q855" s="50" t="s">
        <v>65</v>
      </c>
      <c r="R855" s="22" t="s">
        <v>188</v>
      </c>
      <c r="S855" s="22" t="s">
        <v>51</v>
      </c>
      <c r="T855" s="22" t="s">
        <v>52</v>
      </c>
      <c r="U855" s="22" t="s">
        <v>52</v>
      </c>
      <c r="V855" s="22" t="s">
        <v>52</v>
      </c>
      <c r="W855" s="18">
        <v>45979.0</v>
      </c>
      <c r="X855" s="20">
        <v>0.46875</v>
      </c>
      <c r="Y855" s="18">
        <v>45979.0</v>
      </c>
      <c r="Z855" s="20">
        <v>0.5756944444444444</v>
      </c>
      <c r="AA855" s="20">
        <v>0.5798611111111112</v>
      </c>
      <c r="AB855" s="51">
        <v>0.6118055555555556</v>
      </c>
      <c r="AC855" s="51">
        <v>0.6909722222222222</v>
      </c>
      <c r="AD855" s="51">
        <v>0.7083333333333334</v>
      </c>
      <c r="AE855" s="18">
        <v>45979.0</v>
      </c>
      <c r="AF855" s="22" t="s">
        <v>2971</v>
      </c>
      <c r="AG855" s="22" t="s">
        <v>5541</v>
      </c>
      <c r="AH855" s="22" t="s">
        <v>6603</v>
      </c>
      <c r="AI855" s="62" t="str">
        <f>IFERROR(__xludf.DUMMYFUNCTION("IF(OR(W855="""",X855="""",AE855="""",AD855=""""),"""",
   TEXT(
     (
       (AE855+AD855 + IF(AE855+AD855 &lt; W855+X855,1,0)) - (W855+X855)
     )
     - IF(AND(AB855&lt;&gt;"""",AC855&lt;&gt;""""), 
          SUM(ARRAYFORMULA(SPLIT(AC855,"","") - SPLIT(AB855,"",""))"&amp;"), 
          0
       ),
     ""[hh]:mm""
   )
)
"),"03:51")</f>
        <v>03:51</v>
      </c>
      <c r="AJ855" s="27">
        <f t="shared" si="16"/>
        <v>0</v>
      </c>
      <c r="AK855" s="63" t="str">
        <f t="shared" si="17"/>
        <v>Pass</v>
      </c>
    </row>
    <row r="856">
      <c r="A856" s="45">
        <v>45979.0</v>
      </c>
      <c r="B856" s="49">
        <v>0.6666666666666666</v>
      </c>
      <c r="C856" s="45">
        <v>45979.0</v>
      </c>
      <c r="D856" s="49">
        <v>0.5819444444444445</v>
      </c>
      <c r="E856" s="21" t="s">
        <v>6604</v>
      </c>
      <c r="F856" s="21" t="s">
        <v>3024</v>
      </c>
      <c r="G856" s="21" t="s">
        <v>3025</v>
      </c>
      <c r="H856" s="21" t="s">
        <v>4040</v>
      </c>
      <c r="I856" s="21" t="s">
        <v>1854</v>
      </c>
      <c r="J856" s="21" t="s">
        <v>1056</v>
      </c>
      <c r="K856" s="21" t="s">
        <v>635</v>
      </c>
      <c r="L856" s="21" t="s">
        <v>1585</v>
      </c>
      <c r="M856" s="21" t="s">
        <v>6605</v>
      </c>
      <c r="N856" s="21" t="s">
        <v>6606</v>
      </c>
      <c r="O856" s="48" t="s">
        <v>6607</v>
      </c>
      <c r="P856" s="21" t="s">
        <v>48</v>
      </c>
      <c r="Q856" s="24" t="s">
        <v>65</v>
      </c>
      <c r="R856" s="21" t="s">
        <v>6608</v>
      </c>
      <c r="S856" s="21" t="s">
        <v>51</v>
      </c>
      <c r="T856" s="21" t="s">
        <v>52</v>
      </c>
      <c r="U856" s="21" t="s">
        <v>52</v>
      </c>
      <c r="V856" s="21" t="s">
        <v>52</v>
      </c>
      <c r="W856" s="45">
        <v>45979.0</v>
      </c>
      <c r="X856" s="49">
        <v>0.5819444444444445</v>
      </c>
      <c r="Y856" s="45">
        <v>45979.0</v>
      </c>
      <c r="Z856" s="49">
        <v>0.5819444444444445</v>
      </c>
      <c r="AA856" s="49">
        <v>0.5833333333333334</v>
      </c>
      <c r="AB856" s="29"/>
      <c r="AC856" s="29"/>
      <c r="AD856" s="25">
        <v>0.6041666666666666</v>
      </c>
      <c r="AE856" s="45">
        <v>45979.0</v>
      </c>
      <c r="AF856" s="21" t="s">
        <v>3007</v>
      </c>
      <c r="AG856" s="21" t="s">
        <v>2015</v>
      </c>
      <c r="AH856" s="21" t="s">
        <v>6609</v>
      </c>
      <c r="AI856" s="62" t="str">
        <f>IFERROR(__xludf.DUMMYFUNCTION("IF(OR(W856="""",X856="""",AE856="""",AD856=""""),"""",
   TEXT(
     (
       (AE856+AD856 + IF(AE856+AD856 &lt; W856+X856,1,0)) - (W856+X856)
     )
     - IF(AND(AB856&lt;&gt;"""",AC856&lt;&gt;""""), 
          SUM(ARRAYFORMULA(SPLIT(AC856,"","") - SPLIT(AB856,"",""))"&amp;"), 
          0
       ),
     ""[hh]:mm""
   )
)
"),"00:32")</f>
        <v>00:32</v>
      </c>
      <c r="AJ856" s="27">
        <f t="shared" si="16"/>
        <v>0</v>
      </c>
      <c r="AK856" s="63" t="str">
        <f t="shared" si="17"/>
        <v>Pass</v>
      </c>
    </row>
    <row r="857">
      <c r="A857" s="18">
        <v>45979.0</v>
      </c>
      <c r="B857" s="20">
        <v>0.6284722222222222</v>
      </c>
      <c r="C857" s="18">
        <v>45979.0</v>
      </c>
      <c r="D857" s="20">
        <v>0.6326388888888889</v>
      </c>
      <c r="E857" s="22" t="s">
        <v>6610</v>
      </c>
      <c r="F857" s="22" t="s">
        <v>4422</v>
      </c>
      <c r="G857" s="22" t="s">
        <v>6611</v>
      </c>
      <c r="H857" s="22" t="s">
        <v>318</v>
      </c>
      <c r="I857" s="22" t="s">
        <v>234</v>
      </c>
      <c r="J857" s="22" t="s">
        <v>3813</v>
      </c>
      <c r="K857" s="22" t="s">
        <v>61</v>
      </c>
      <c r="L857" s="22" t="s">
        <v>183</v>
      </c>
      <c r="M857" s="22" t="s">
        <v>6612</v>
      </c>
      <c r="N857" s="22" t="s">
        <v>6613</v>
      </c>
      <c r="O857" s="23" t="s">
        <v>6614</v>
      </c>
      <c r="P857" s="22" t="s">
        <v>187</v>
      </c>
      <c r="Q857" s="50" t="s">
        <v>65</v>
      </c>
      <c r="R857" s="22" t="s">
        <v>6615</v>
      </c>
      <c r="S857" s="22" t="s">
        <v>51</v>
      </c>
      <c r="T857" s="22" t="s">
        <v>52</v>
      </c>
      <c r="U857" s="22" t="s">
        <v>52</v>
      </c>
      <c r="V857" s="22" t="s">
        <v>52</v>
      </c>
      <c r="W857" s="18">
        <v>45979.0</v>
      </c>
      <c r="X857" s="20">
        <v>0.6326388888888889</v>
      </c>
      <c r="Y857" s="18">
        <v>45979.0</v>
      </c>
      <c r="Z857" s="20">
        <v>0.7638888888888888</v>
      </c>
      <c r="AA857" s="20">
        <v>0.7652777777777777</v>
      </c>
      <c r="AB857" s="54"/>
      <c r="AC857" s="54"/>
      <c r="AD857" s="51">
        <v>0.8416666666666667</v>
      </c>
      <c r="AE857" s="18">
        <v>45979.0</v>
      </c>
      <c r="AF857" s="22" t="s">
        <v>2744</v>
      </c>
      <c r="AG857" s="22" t="s">
        <v>162</v>
      </c>
      <c r="AH857" s="22" t="s">
        <v>6616</v>
      </c>
      <c r="AI857" s="62" t="str">
        <f>IFERROR(__xludf.DUMMYFUNCTION("IF(OR(W857="""",X857="""",AE857="""",AD857=""""),"""",
   TEXT(
     (
       (AE857+AD857 + IF(AE857+AD857 &lt; W857+X857,1,0)) - (W857+X857)
     )
     - IF(AND(AB857&lt;&gt;"""",AC857&lt;&gt;""""), 
          SUM(ARRAYFORMULA(SPLIT(AC857,"","") - SPLIT(AB857,"",""))"&amp;"), 
          0
       ),
     ""[hh]:mm""
   )
)
"),"05:01")</f>
        <v>05:01</v>
      </c>
      <c r="AJ857" s="27">
        <f t="shared" si="16"/>
        <v>0</v>
      </c>
      <c r="AK857" s="63" t="str">
        <f t="shared" si="17"/>
        <v>Pass</v>
      </c>
    </row>
    <row r="858">
      <c r="A858" s="45">
        <v>45979.0</v>
      </c>
      <c r="B858" s="49">
        <v>0.6986111111111111</v>
      </c>
      <c r="C858" s="18">
        <v>45979.0</v>
      </c>
      <c r="D858" s="49">
        <v>0.7118055555555556</v>
      </c>
      <c r="E858" s="21" t="s">
        <v>6617</v>
      </c>
      <c r="F858" s="21" t="s">
        <v>1176</v>
      </c>
      <c r="G858" s="21" t="s">
        <v>1177</v>
      </c>
      <c r="H858" s="21" t="s">
        <v>566</v>
      </c>
      <c r="I858" s="21" t="s">
        <v>95</v>
      </c>
      <c r="J858" s="21" t="s">
        <v>95</v>
      </c>
      <c r="K858" s="21" t="s">
        <v>143</v>
      </c>
      <c r="L858" s="21" t="s">
        <v>606</v>
      </c>
      <c r="M858" s="21" t="s">
        <v>6618</v>
      </c>
      <c r="N858" s="21" t="s">
        <v>6619</v>
      </c>
      <c r="O858" s="48" t="s">
        <v>6620</v>
      </c>
      <c r="P858" s="21" t="s">
        <v>48</v>
      </c>
      <c r="Q858" s="24" t="s">
        <v>49</v>
      </c>
      <c r="R858" s="21" t="s">
        <v>6621</v>
      </c>
      <c r="S858" s="21" t="s">
        <v>51</v>
      </c>
      <c r="T858" s="22" t="s">
        <v>52</v>
      </c>
      <c r="U858" s="22" t="s">
        <v>52</v>
      </c>
      <c r="V858" s="22" t="s">
        <v>52</v>
      </c>
      <c r="W858" s="18">
        <v>45979.0</v>
      </c>
      <c r="X858" s="49">
        <v>0.7118055555555556</v>
      </c>
      <c r="Y858" s="18">
        <v>45979.0</v>
      </c>
      <c r="Z858" s="49">
        <v>0.7222222222222222</v>
      </c>
      <c r="AA858" s="49">
        <v>0.7256944444444444</v>
      </c>
      <c r="AB858" s="25">
        <v>0.7777777777777778</v>
      </c>
      <c r="AC858" s="25">
        <v>0.7986111111111112</v>
      </c>
      <c r="AD858" s="25">
        <v>0.8055555555555556</v>
      </c>
      <c r="AE858" s="18">
        <v>45979.0</v>
      </c>
      <c r="AF858" s="21" t="s">
        <v>2711</v>
      </c>
      <c r="AG858" s="21" t="s">
        <v>54</v>
      </c>
      <c r="AH858" s="21" t="s">
        <v>2415</v>
      </c>
      <c r="AI858" s="62" t="str">
        <f>IFERROR(__xludf.DUMMYFUNCTION("IF(OR(W858="""",X858="""",AE858="""",AD858=""""),"""",
   TEXT(
     (
       (AE858+AD858 + IF(AE858+AD858 &lt; W858+X858,1,0)) - (W858+X858)
     )
     - IF(AND(AB858&lt;&gt;"""",AC858&lt;&gt;""""), 
          SUM(ARRAYFORMULA(SPLIT(AC858,"","") - SPLIT(AB858,"",""))"&amp;"), 
          0
       ),
     ""[hh]:mm""
   )
)
"),"01:45")</f>
        <v>01:45</v>
      </c>
      <c r="AJ858" s="27">
        <f t="shared" si="16"/>
        <v>0</v>
      </c>
      <c r="AK858" s="63" t="str">
        <f t="shared" si="17"/>
        <v>Pass</v>
      </c>
    </row>
    <row r="859">
      <c r="A859" s="45">
        <v>45979.0</v>
      </c>
      <c r="B859" s="49">
        <v>0.6986111111111111</v>
      </c>
      <c r="C859" s="18">
        <v>45979.0</v>
      </c>
      <c r="D859" s="49">
        <v>0.7118055555555556</v>
      </c>
      <c r="E859" s="21" t="s">
        <v>6622</v>
      </c>
      <c r="F859" s="21" t="s">
        <v>1176</v>
      </c>
      <c r="G859" s="21" t="s">
        <v>1177</v>
      </c>
      <c r="H859" s="21" t="s">
        <v>566</v>
      </c>
      <c r="I859" s="21" t="s">
        <v>1944</v>
      </c>
      <c r="J859" s="21" t="s">
        <v>2516</v>
      </c>
      <c r="K859" s="21" t="s">
        <v>143</v>
      </c>
      <c r="L859" s="21" t="s">
        <v>606</v>
      </c>
      <c r="M859" s="21" t="s">
        <v>6618</v>
      </c>
      <c r="N859" s="21" t="s">
        <v>6623</v>
      </c>
      <c r="O859" s="48" t="s">
        <v>6620</v>
      </c>
      <c r="P859" s="21" t="s">
        <v>48</v>
      </c>
      <c r="Q859" s="24" t="s">
        <v>49</v>
      </c>
      <c r="R859" s="21" t="s">
        <v>6621</v>
      </c>
      <c r="S859" s="21" t="s">
        <v>51</v>
      </c>
      <c r="T859" s="22" t="s">
        <v>52</v>
      </c>
      <c r="U859" s="22" t="s">
        <v>52</v>
      </c>
      <c r="V859" s="22" t="s">
        <v>52</v>
      </c>
      <c r="W859" s="18">
        <v>45979.0</v>
      </c>
      <c r="X859" s="49">
        <v>0.7118055555555556</v>
      </c>
      <c r="Y859" s="18">
        <v>45979.0</v>
      </c>
      <c r="Z859" s="49">
        <v>0.7222222222222222</v>
      </c>
      <c r="AA859" s="49">
        <v>0.7256944444444444</v>
      </c>
      <c r="AB859" s="25">
        <v>0.7777777777777778</v>
      </c>
      <c r="AC859" s="25">
        <v>0.7986111111111112</v>
      </c>
      <c r="AD859" s="25">
        <v>0.8055555555555556</v>
      </c>
      <c r="AE859" s="18">
        <v>45979.0</v>
      </c>
      <c r="AF859" s="21" t="s">
        <v>2711</v>
      </c>
      <c r="AG859" s="21" t="s">
        <v>54</v>
      </c>
      <c r="AH859" s="21" t="s">
        <v>2415</v>
      </c>
      <c r="AI859" s="62" t="str">
        <f>IFERROR(__xludf.DUMMYFUNCTION("IF(OR(W859="""",X859="""",AE859="""",AD859=""""),"""",
   TEXT(
     (
       (AE859+AD859 + IF(AE859+AD859 &lt; W859+X859,1,0)) - (W859+X859)
     )
     - IF(AND(AB859&lt;&gt;"""",AC859&lt;&gt;""""), 
          SUM(ARRAYFORMULA(SPLIT(AC859,"","") - SPLIT(AB859,"",""))"&amp;"), 
          0
       ),
     ""[hh]:mm""
   )
)
"),"01:45")</f>
        <v>01:45</v>
      </c>
      <c r="AJ859" s="27">
        <f t="shared" si="16"/>
        <v>0</v>
      </c>
      <c r="AK859" s="63" t="str">
        <f t="shared" si="17"/>
        <v>Pass</v>
      </c>
    </row>
    <row r="860">
      <c r="A860" s="45">
        <v>45977.0</v>
      </c>
      <c r="B860" s="49">
        <v>0.7513888888888889</v>
      </c>
      <c r="C860" s="45">
        <v>45977.0</v>
      </c>
      <c r="D860" s="49">
        <v>0.7597222222222222</v>
      </c>
      <c r="E860" s="21" t="s">
        <v>6624</v>
      </c>
      <c r="F860" s="21" t="s">
        <v>6625</v>
      </c>
      <c r="G860" s="21" t="s">
        <v>5365</v>
      </c>
      <c r="H860" s="21" t="s">
        <v>2337</v>
      </c>
      <c r="I860" s="21" t="s">
        <v>118</v>
      </c>
      <c r="J860" s="21" t="s">
        <v>3813</v>
      </c>
      <c r="K860" s="21" t="s">
        <v>61</v>
      </c>
      <c r="L860" s="21" t="s">
        <v>6626</v>
      </c>
      <c r="M860" s="21" t="s">
        <v>6627</v>
      </c>
      <c r="N860" s="21" t="s">
        <v>6628</v>
      </c>
      <c r="O860" s="48" t="s">
        <v>6629</v>
      </c>
      <c r="P860" s="21" t="s">
        <v>75</v>
      </c>
      <c r="Q860" s="24" t="s">
        <v>65</v>
      </c>
      <c r="R860" s="21" t="s">
        <v>6630</v>
      </c>
      <c r="S860" s="21" t="s">
        <v>51</v>
      </c>
      <c r="T860" s="21" t="s">
        <v>6631</v>
      </c>
      <c r="U860" s="21" t="s">
        <v>6632</v>
      </c>
      <c r="V860" s="21" t="s">
        <v>6633</v>
      </c>
      <c r="W860" s="45">
        <v>45980.0</v>
      </c>
      <c r="X860" s="49">
        <v>0.2916666666666667</v>
      </c>
      <c r="Y860" s="45">
        <v>45980.0</v>
      </c>
      <c r="Z860" s="49">
        <v>0.4847222222222222</v>
      </c>
      <c r="AA860" s="49">
        <v>0.4930555555555556</v>
      </c>
      <c r="AB860" s="29"/>
      <c r="AC860" s="29"/>
      <c r="AD860" s="25">
        <v>0.5694444444444444</v>
      </c>
      <c r="AE860" s="45">
        <v>45980.0</v>
      </c>
      <c r="AF860" s="21" t="s">
        <v>2839</v>
      </c>
      <c r="AG860" s="21" t="s">
        <v>775</v>
      </c>
      <c r="AH860" s="21" t="s">
        <v>6634</v>
      </c>
      <c r="AI860" s="62" t="str">
        <f>IFERROR(__xludf.DUMMYFUNCTION("IF(OR(W860="""",X860="""",AE860="""",AD860=""""),"""",
   TEXT(
     (
       (AE860+AD860 + IF(AE860+AD860 &lt; W860+X860,1,0)) - (W860+X860)
     )
     - IF(AND(AB860&lt;&gt;"""",AC860&lt;&gt;""""), 
          SUM(ARRAYFORMULA(SPLIT(AC860,"","") - SPLIT(AB860,"",""))"&amp;"), 
          0
       ),
     ""[hh]:mm""
   )
)
"),"06:40")</f>
        <v>06:40</v>
      </c>
      <c r="AJ860" s="27">
        <f t="shared" si="16"/>
        <v>0</v>
      </c>
      <c r="AK860" s="63" t="str">
        <f t="shared" si="17"/>
        <v>Pass</v>
      </c>
    </row>
    <row r="861">
      <c r="A861" s="45">
        <v>45977.0</v>
      </c>
      <c r="B861" s="49">
        <v>0.7513888888888889</v>
      </c>
      <c r="C861" s="45">
        <v>45977.0</v>
      </c>
      <c r="D861" s="49">
        <v>0.7597222222222222</v>
      </c>
      <c r="E861" s="21" t="s">
        <v>6635</v>
      </c>
      <c r="F861" s="21" t="s">
        <v>6625</v>
      </c>
      <c r="G861" s="21" t="s">
        <v>5365</v>
      </c>
      <c r="H861" s="21" t="s">
        <v>2337</v>
      </c>
      <c r="I861" s="21" t="s">
        <v>1814</v>
      </c>
      <c r="J861" s="21" t="s">
        <v>3813</v>
      </c>
      <c r="K861" s="21" t="s">
        <v>61</v>
      </c>
      <c r="L861" s="21" t="s">
        <v>6626</v>
      </c>
      <c r="M861" s="21" t="s">
        <v>6636</v>
      </c>
      <c r="N861" s="21" t="s">
        <v>6637</v>
      </c>
      <c r="O861" s="48" t="s">
        <v>6638</v>
      </c>
      <c r="P861" s="21" t="s">
        <v>75</v>
      </c>
      <c r="Q861" s="24" t="s">
        <v>65</v>
      </c>
      <c r="R861" s="21" t="s">
        <v>6630</v>
      </c>
      <c r="S861" s="21" t="s">
        <v>51</v>
      </c>
      <c r="T861" s="21" t="s">
        <v>6631</v>
      </c>
      <c r="U861" s="21" t="s">
        <v>6639</v>
      </c>
      <c r="V861" s="21" t="s">
        <v>6640</v>
      </c>
      <c r="W861" s="45">
        <v>45980.0</v>
      </c>
      <c r="X861" s="49">
        <v>0.2916666666666667</v>
      </c>
      <c r="Y861" s="45">
        <v>45980.0</v>
      </c>
      <c r="Z861" s="49">
        <v>0.4847222222222222</v>
      </c>
      <c r="AA861" s="49">
        <v>0.4930555555555556</v>
      </c>
      <c r="AB861" s="29"/>
      <c r="AC861" s="29"/>
      <c r="AD861" s="25">
        <v>0.5694444444444444</v>
      </c>
      <c r="AE861" s="45">
        <v>45980.0</v>
      </c>
      <c r="AF861" s="21" t="s">
        <v>2839</v>
      </c>
      <c r="AG861" s="21" t="s">
        <v>775</v>
      </c>
      <c r="AH861" s="21" t="s">
        <v>6634</v>
      </c>
      <c r="AI861" s="62" t="str">
        <f>IFERROR(__xludf.DUMMYFUNCTION("IF(OR(W861="""",X861="""",AE861="""",AD861=""""),"""",
   TEXT(
     (
       (AE861+AD861 + IF(AE861+AD861 &lt; W861+X861,1,0)) - (W861+X861)
     )
     - IF(AND(AB861&lt;&gt;"""",AC861&lt;&gt;""""), 
          SUM(ARRAYFORMULA(SPLIT(AC861,"","") - SPLIT(AB861,"",""))"&amp;"), 
          0
       ),
     ""[hh]:mm""
   )
)
"),"06:40")</f>
        <v>06:40</v>
      </c>
      <c r="AJ861" s="27">
        <f t="shared" si="16"/>
        <v>0</v>
      </c>
      <c r="AK861" s="63" t="str">
        <f t="shared" si="17"/>
        <v>Pass</v>
      </c>
    </row>
    <row r="862">
      <c r="A862" s="45">
        <v>45979.0</v>
      </c>
      <c r="B862" s="49">
        <v>0.7319444444444444</v>
      </c>
      <c r="C862" s="45">
        <v>45979.0</v>
      </c>
      <c r="D862" s="49">
        <v>0.7333333333333333</v>
      </c>
      <c r="E862" s="21" t="s">
        <v>6641</v>
      </c>
      <c r="F862" s="22" t="s">
        <v>3707</v>
      </c>
      <c r="G862" s="21" t="s">
        <v>3708</v>
      </c>
      <c r="H862" s="21" t="s">
        <v>1610</v>
      </c>
      <c r="I862" s="21" t="s">
        <v>1612</v>
      </c>
      <c r="J862" s="21" t="s">
        <v>1612</v>
      </c>
      <c r="K862" s="21" t="s">
        <v>143</v>
      </c>
      <c r="L862" s="21" t="s">
        <v>1613</v>
      </c>
      <c r="M862" s="21" t="s">
        <v>6642</v>
      </c>
      <c r="N862" s="21" t="s">
        <v>6643</v>
      </c>
      <c r="O862" s="48" t="s">
        <v>6644</v>
      </c>
      <c r="P862" s="21" t="s">
        <v>75</v>
      </c>
      <c r="Q862" s="24" t="s">
        <v>65</v>
      </c>
      <c r="R862" s="21" t="s">
        <v>6645</v>
      </c>
      <c r="S862" s="21" t="s">
        <v>51</v>
      </c>
      <c r="T862" s="21" t="s">
        <v>52</v>
      </c>
      <c r="U862" s="21" t="s">
        <v>52</v>
      </c>
      <c r="V862" s="21" t="s">
        <v>52</v>
      </c>
      <c r="W862" s="45">
        <v>45980.0</v>
      </c>
      <c r="X862" s="49">
        <v>0.375</v>
      </c>
      <c r="Y862" s="45">
        <v>45980.0</v>
      </c>
      <c r="Z862" s="99">
        <v>0.4583333333333333</v>
      </c>
      <c r="AA862" s="99">
        <v>0.4895833333333333</v>
      </c>
      <c r="AB862" s="100">
        <v>0.4583333333333333</v>
      </c>
      <c r="AC862" s="100">
        <v>0.4895833333333333</v>
      </c>
      <c r="AD862" s="100">
        <v>0.5277777777777778</v>
      </c>
      <c r="AE862" s="45">
        <v>45980.0</v>
      </c>
      <c r="AF862" s="21" t="s">
        <v>2931</v>
      </c>
      <c r="AG862" s="21" t="s">
        <v>78</v>
      </c>
      <c r="AH862" s="21" t="s">
        <v>6646</v>
      </c>
      <c r="AI862" s="62" t="str">
        <f>IFERROR(__xludf.DUMMYFUNCTION("IF(OR(W862="""",X862="""",AE862="""",AD862=""""),"""",
   TEXT(
     (
       (AE862+AD862 + IF(AE862+AD862 &lt; W862+X862,1,0)) - (W862+X862)
     )
     - IF(AND(AB862&lt;&gt;"""",AC862&lt;&gt;""""), 
          SUM(ARRAYFORMULA(SPLIT(AC862,"","") - SPLIT(AB862,"",""))"&amp;"), 
          0
       ),
     ""[hh]:mm""
   )
)
"),"02:55")</f>
        <v>02:55</v>
      </c>
      <c r="AJ862" s="27">
        <f t="shared" si="16"/>
        <v>0</v>
      </c>
      <c r="AK862" s="63" t="str">
        <f t="shared" si="17"/>
        <v>Pass</v>
      </c>
    </row>
    <row r="863">
      <c r="A863" s="45">
        <v>45980.0</v>
      </c>
      <c r="B863" s="49">
        <v>0.14722222222222223</v>
      </c>
      <c r="C863" s="45">
        <v>45980.0</v>
      </c>
      <c r="D863" s="49">
        <v>0.3034722222222222</v>
      </c>
      <c r="E863" s="21" t="s">
        <v>6647</v>
      </c>
      <c r="F863" s="21" t="s">
        <v>1466</v>
      </c>
      <c r="G863" s="21" t="s">
        <v>6648</v>
      </c>
      <c r="H863" s="21" t="s">
        <v>142</v>
      </c>
      <c r="I863" s="21" t="s">
        <v>644</v>
      </c>
      <c r="J863" s="21" t="s">
        <v>644</v>
      </c>
      <c r="K863" s="21" t="s">
        <v>143</v>
      </c>
      <c r="L863" s="21" t="s">
        <v>144</v>
      </c>
      <c r="M863" s="21" t="s">
        <v>6649</v>
      </c>
      <c r="N863" s="21" t="s">
        <v>6650</v>
      </c>
      <c r="O863" s="48" t="s">
        <v>6651</v>
      </c>
      <c r="P863" s="21" t="s">
        <v>187</v>
      </c>
      <c r="Q863" s="24" t="s">
        <v>65</v>
      </c>
      <c r="R863" s="21" t="s">
        <v>6652</v>
      </c>
      <c r="S863" s="21" t="s">
        <v>51</v>
      </c>
      <c r="T863" s="21" t="s">
        <v>52</v>
      </c>
      <c r="U863" s="21" t="s">
        <v>52</v>
      </c>
      <c r="V863" s="21" t="s">
        <v>52</v>
      </c>
      <c r="W863" s="45">
        <v>45980.0</v>
      </c>
      <c r="X863" s="49">
        <v>0.3034722222222222</v>
      </c>
      <c r="Y863" s="45">
        <v>45980.0</v>
      </c>
      <c r="Z863" s="49">
        <v>0.4444444444444444</v>
      </c>
      <c r="AA863" s="49">
        <v>0.4479166666666667</v>
      </c>
      <c r="AB863" s="24" t="s">
        <v>6653</v>
      </c>
      <c r="AC863" s="24" t="s">
        <v>6654</v>
      </c>
      <c r="AD863" s="25">
        <v>0.5555555555555556</v>
      </c>
      <c r="AE863" s="45">
        <v>45980.0</v>
      </c>
      <c r="AF863" s="21" t="s">
        <v>2931</v>
      </c>
      <c r="AG863" s="21" t="s">
        <v>293</v>
      </c>
      <c r="AH863" s="21" t="s">
        <v>6655</v>
      </c>
      <c r="AI863" s="62" t="str">
        <f>IFERROR(__xludf.DUMMYFUNCTION("IF(OR(W863="""",X863="""",AE863="""",AD863=""""),"""",
   TEXT(
     (
       (AE863+AD863 + IF(AE863+AD863 &lt; W863+X863,1,0)) - (W863+X863)
     )
     - IF(AND(AB863&lt;&gt;"""",AC863&lt;&gt;""""), 
          SUM(ARRAYFORMULA(SPLIT(AC863,"","") - SPLIT(AB863,"",""))"&amp;"), 
          0
       ),
     ""[hh]:mm""
   )
)
"),"05:18")</f>
        <v>05:18</v>
      </c>
      <c r="AJ863" s="27">
        <f t="shared" si="16"/>
        <v>0</v>
      </c>
      <c r="AK863" s="63" t="str">
        <f t="shared" si="17"/>
        <v>Pass</v>
      </c>
    </row>
    <row r="864">
      <c r="A864" s="45">
        <v>45980.0</v>
      </c>
      <c r="B864" s="49">
        <v>0.34305555555555556</v>
      </c>
      <c r="C864" s="45">
        <v>45980.0</v>
      </c>
      <c r="D864" s="49">
        <v>0.34930555555555554</v>
      </c>
      <c r="E864" s="21" t="s">
        <v>6656</v>
      </c>
      <c r="F864" s="21" t="s">
        <v>6657</v>
      </c>
      <c r="G864" s="21" t="s">
        <v>6658</v>
      </c>
      <c r="H864" s="21" t="s">
        <v>3471</v>
      </c>
      <c r="I864" s="21" t="s">
        <v>815</v>
      </c>
      <c r="J864" s="21" t="s">
        <v>2516</v>
      </c>
      <c r="K864" s="21" t="s">
        <v>3472</v>
      </c>
      <c r="L864" s="21" t="s">
        <v>6659</v>
      </c>
      <c r="M864" s="21">
        <v>2.0230815305E10</v>
      </c>
      <c r="N864" s="21" t="s">
        <v>6660</v>
      </c>
      <c r="O864" s="48" t="s">
        <v>6661</v>
      </c>
      <c r="P864" s="21" t="s">
        <v>48</v>
      </c>
      <c r="Q864" s="24" t="s">
        <v>65</v>
      </c>
      <c r="R864" s="21" t="s">
        <v>6662</v>
      </c>
      <c r="S864" s="21" t="s">
        <v>51</v>
      </c>
      <c r="T864" s="21" t="s">
        <v>52</v>
      </c>
      <c r="U864" s="21" t="s">
        <v>52</v>
      </c>
      <c r="V864" s="21" t="s">
        <v>52</v>
      </c>
      <c r="W864" s="45">
        <v>45980.0</v>
      </c>
      <c r="X864" s="49">
        <v>0.34930555555555554</v>
      </c>
      <c r="Y864" s="45">
        <v>45980.0</v>
      </c>
      <c r="Z864" s="49">
        <v>0.6145833333333334</v>
      </c>
      <c r="AA864" s="49">
        <v>0.625</v>
      </c>
      <c r="AB864" s="29"/>
      <c r="AC864" s="29"/>
      <c r="AD864" s="25">
        <v>0.6458333333333334</v>
      </c>
      <c r="AE864" s="45">
        <v>45980.0</v>
      </c>
      <c r="AF864" s="21" t="s">
        <v>2730</v>
      </c>
      <c r="AG864" s="21" t="s">
        <v>78</v>
      </c>
      <c r="AH864" s="21" t="s">
        <v>6663</v>
      </c>
      <c r="AI864" s="62" t="str">
        <f>IFERROR(__xludf.DUMMYFUNCTION("IF(OR(W864="""",X864="""",AE864="""",AD864=""""),"""",
   TEXT(
     (
       (AE864+AD864 + IF(AE864+AD864 &lt; W864+X864,1,0)) - (W864+X864)
     )
     - IF(AND(AB864&lt;&gt;"""",AC864&lt;&gt;""""), 
          SUM(ARRAYFORMULA(SPLIT(AC864,"","") - SPLIT(AB864,"",""))"&amp;"), 
          0
       ),
     ""[hh]:mm""
   )
)
"),"07:07")</f>
        <v>07:07</v>
      </c>
      <c r="AJ864" s="27">
        <f t="shared" si="16"/>
        <v>0</v>
      </c>
      <c r="AK864" s="63" t="str">
        <f t="shared" si="17"/>
        <v>Pass</v>
      </c>
    </row>
    <row r="865">
      <c r="A865" s="18">
        <v>45963.0</v>
      </c>
      <c r="B865" s="20">
        <v>0.7388888888888889</v>
      </c>
      <c r="C865" s="18">
        <v>45964.0</v>
      </c>
      <c r="D865" s="79">
        <v>0.5944444444444444</v>
      </c>
      <c r="E865" s="22" t="s">
        <v>6664</v>
      </c>
      <c r="F865" s="22" t="s">
        <v>316</v>
      </c>
      <c r="G865" s="22" t="s">
        <v>6665</v>
      </c>
      <c r="H865" s="22" t="s">
        <v>2461</v>
      </c>
      <c r="I865" s="22" t="s">
        <v>194</v>
      </c>
      <c r="J865" s="22" t="s">
        <v>5330</v>
      </c>
      <c r="K865" s="22" t="s">
        <v>3249</v>
      </c>
      <c r="L865" s="22" t="s">
        <v>5331</v>
      </c>
      <c r="M865" s="22" t="s">
        <v>6666</v>
      </c>
      <c r="N865" s="23" t="s">
        <v>6667</v>
      </c>
      <c r="O865" s="23" t="s">
        <v>6668</v>
      </c>
      <c r="P865" s="22" t="s">
        <v>48</v>
      </c>
      <c r="Q865" s="50" t="s">
        <v>65</v>
      </c>
      <c r="R865" s="22" t="s">
        <v>6669</v>
      </c>
      <c r="S865" s="22" t="s">
        <v>51</v>
      </c>
      <c r="T865" s="22" t="s">
        <v>52</v>
      </c>
      <c r="U865" s="22" t="s">
        <v>52</v>
      </c>
      <c r="V865" s="22" t="s">
        <v>52</v>
      </c>
      <c r="W865" s="18">
        <v>45980.0</v>
      </c>
      <c r="X865" s="20">
        <v>0.5076388888888889</v>
      </c>
      <c r="Y865" s="18">
        <v>45980.0</v>
      </c>
      <c r="Z865" s="20">
        <v>0.5722222222222222</v>
      </c>
      <c r="AA865" s="20">
        <v>0.5736111111111111</v>
      </c>
      <c r="AB865" s="54"/>
      <c r="AC865" s="54"/>
      <c r="AD865" s="77">
        <v>0.6833333333333333</v>
      </c>
      <c r="AE865" s="18">
        <v>45980.0</v>
      </c>
      <c r="AF865" s="22" t="s">
        <v>3054</v>
      </c>
      <c r="AG865" s="22" t="s">
        <v>6108</v>
      </c>
      <c r="AH865" s="22" t="s">
        <v>6670</v>
      </c>
      <c r="AI865" s="62" t="str">
        <f>IFERROR(__xludf.DUMMYFUNCTION("IF(OR(W865="""",X865="""",AE865="""",AD865=""""),"""",
   TEXT(
     (
       (AE865+AD865 + IF(AE865+AD865 &lt; W865+X865,1,0)) - (W865+X865)
     )
     - IF(AND(AB865&lt;&gt;"""",AC865&lt;&gt;""""), 
          SUM(ARRAYFORMULA(SPLIT(AC865,"","") - SPLIT(AB865,"",""))"&amp;"), 
          0
       ),
     ""[hh]:mm""
   )
)
"),"04:13")</f>
        <v>04:13</v>
      </c>
      <c r="AJ865" s="27">
        <f t="shared" si="16"/>
        <v>0</v>
      </c>
      <c r="AK865" s="63" t="str">
        <f t="shared" si="17"/>
        <v>Pass</v>
      </c>
    </row>
    <row r="866">
      <c r="A866" s="18">
        <v>45977.0</v>
      </c>
      <c r="B866" s="20">
        <v>0.5652777777777778</v>
      </c>
      <c r="C866" s="18">
        <v>45977.0</v>
      </c>
      <c r="D866" s="20">
        <v>0.6111111111111112</v>
      </c>
      <c r="E866" s="22" t="s">
        <v>6671</v>
      </c>
      <c r="F866" s="22" t="s">
        <v>6058</v>
      </c>
      <c r="G866" s="22" t="s">
        <v>6059</v>
      </c>
      <c r="H866" s="22" t="s">
        <v>4256</v>
      </c>
      <c r="I866" s="22" t="s">
        <v>131</v>
      </c>
      <c r="J866" s="22" t="s">
        <v>2253</v>
      </c>
      <c r="K866" s="22" t="s">
        <v>43</v>
      </c>
      <c r="L866" s="22" t="s">
        <v>805</v>
      </c>
      <c r="M866" s="22" t="s">
        <v>6672</v>
      </c>
      <c r="N866" s="22" t="s">
        <v>6673</v>
      </c>
      <c r="O866" s="23" t="s">
        <v>6674</v>
      </c>
      <c r="P866" s="22" t="s">
        <v>75</v>
      </c>
      <c r="Q866" s="50" t="s">
        <v>65</v>
      </c>
      <c r="R866" s="22" t="s">
        <v>6675</v>
      </c>
      <c r="S866" s="22" t="s">
        <v>51</v>
      </c>
      <c r="T866" s="22" t="s">
        <v>6676</v>
      </c>
      <c r="U866" s="22" t="s">
        <v>5629</v>
      </c>
      <c r="V866" s="22" t="s">
        <v>6672</v>
      </c>
      <c r="W866" s="18">
        <v>45980.0</v>
      </c>
      <c r="X866" s="20">
        <v>0.6111111111111112</v>
      </c>
      <c r="Y866" s="18">
        <v>45980.0</v>
      </c>
      <c r="Z866" s="20">
        <v>0.7027777777777777</v>
      </c>
      <c r="AA866" s="20">
        <v>0.7027777777777777</v>
      </c>
      <c r="AB866" s="54"/>
      <c r="AC866" s="54"/>
      <c r="AD866" s="51">
        <v>0.7076388888888889</v>
      </c>
      <c r="AE866" s="18">
        <v>45980.0</v>
      </c>
      <c r="AF866" s="22" t="s">
        <v>2989</v>
      </c>
      <c r="AG866" s="22" t="s">
        <v>162</v>
      </c>
      <c r="AH866" s="22" t="s">
        <v>6065</v>
      </c>
      <c r="AI866" s="62" t="str">
        <f>IFERROR(__xludf.DUMMYFUNCTION("IF(OR(W866="""",X866="""",AE866="""",AD866=""""),"""",
   TEXT(
     (
       (AE866+AD866 + IF(AE866+AD866 &lt; W866+X866,1,0)) - (W866+X866)
     )
     - IF(AND(AB866&lt;&gt;"""",AC866&lt;&gt;""""), 
          SUM(ARRAYFORMULA(SPLIT(AC866,"","") - SPLIT(AB866,"",""))"&amp;"), 
          0
       ),
     ""[hh]:mm""
   )
)
"),"02:19")</f>
        <v>02:19</v>
      </c>
      <c r="AJ866" s="27">
        <f t="shared" si="16"/>
        <v>0</v>
      </c>
      <c r="AK866" s="63" t="str">
        <f t="shared" si="17"/>
        <v>Pass</v>
      </c>
    </row>
    <row r="867">
      <c r="A867" s="18">
        <v>45980.0</v>
      </c>
      <c r="B867" s="20">
        <v>0.4583333333333333</v>
      </c>
      <c r="C867" s="18">
        <v>45980.0</v>
      </c>
      <c r="D867" s="20">
        <v>0.47638888888888886</v>
      </c>
      <c r="E867" s="22" t="s">
        <v>6677</v>
      </c>
      <c r="F867" s="22" t="s">
        <v>1285</v>
      </c>
      <c r="G867" s="22" t="s">
        <v>6678</v>
      </c>
      <c r="H867" s="22" t="s">
        <v>6679</v>
      </c>
      <c r="I867" s="22" t="s">
        <v>1223</v>
      </c>
      <c r="J867" s="22" t="s">
        <v>644</v>
      </c>
      <c r="K867" s="22" t="s">
        <v>333</v>
      </c>
      <c r="L867" s="22" t="s">
        <v>6680</v>
      </c>
      <c r="M867" s="22" t="s">
        <v>6681</v>
      </c>
      <c r="N867" s="22" t="s">
        <v>6682</v>
      </c>
      <c r="O867" s="23" t="s">
        <v>6683</v>
      </c>
      <c r="P867" s="22" t="s">
        <v>187</v>
      </c>
      <c r="Q867" s="50" t="s">
        <v>65</v>
      </c>
      <c r="R867" s="22" t="s">
        <v>6684</v>
      </c>
      <c r="S867" s="22" t="s">
        <v>51</v>
      </c>
      <c r="T867" s="22" t="s">
        <v>52</v>
      </c>
      <c r="U867" s="22" t="s">
        <v>52</v>
      </c>
      <c r="V867" s="22" t="s">
        <v>52</v>
      </c>
      <c r="W867" s="18">
        <v>45980.0</v>
      </c>
      <c r="X867" s="20">
        <v>0.47638888888888886</v>
      </c>
      <c r="Y867" s="18">
        <v>45980.0</v>
      </c>
      <c r="Z867" s="20">
        <v>0.61875</v>
      </c>
      <c r="AA867" s="20">
        <v>0.61875</v>
      </c>
      <c r="AB867" s="54"/>
      <c r="AC867" s="54"/>
      <c r="AD867" s="51">
        <v>0.6319444444444444</v>
      </c>
      <c r="AE867" s="18">
        <v>45980.0</v>
      </c>
      <c r="AF867" s="22" t="s">
        <v>3007</v>
      </c>
      <c r="AG867" s="22" t="s">
        <v>2086</v>
      </c>
      <c r="AH867" s="22" t="s">
        <v>6685</v>
      </c>
      <c r="AI867" s="62" t="str">
        <f>IFERROR(__xludf.DUMMYFUNCTION("IF(OR(W867="""",X867="""",AE867="""",AD867=""""),"""",
   TEXT(
     (
       (AE867+AD867 + IF(AE867+AD867 &lt; W867+X867,1,0)) - (W867+X867)
     )
     - IF(AND(AB867&lt;&gt;"""",AC867&lt;&gt;""""), 
          SUM(ARRAYFORMULA(SPLIT(AC867,"","") - SPLIT(AB867,"",""))"&amp;"), 
          0
       ),
     ""[hh]:mm""
   )
)
"),"03:44")</f>
        <v>03:44</v>
      </c>
      <c r="AJ867" s="27">
        <f t="shared" si="16"/>
        <v>0</v>
      </c>
      <c r="AK867" s="63" t="str">
        <f t="shared" si="17"/>
        <v>Pass</v>
      </c>
    </row>
    <row r="868">
      <c r="A868" s="18">
        <v>45980.0</v>
      </c>
      <c r="B868" s="20">
        <v>0.5715277777777777</v>
      </c>
      <c r="C868" s="18">
        <v>45980.0</v>
      </c>
      <c r="D868" s="20">
        <v>0.5777777777777777</v>
      </c>
      <c r="E868" s="22" t="s">
        <v>6686</v>
      </c>
      <c r="F868" s="22" t="s">
        <v>6687</v>
      </c>
      <c r="G868" s="22" t="s">
        <v>6688</v>
      </c>
      <c r="H868" s="22" t="s">
        <v>756</v>
      </c>
      <c r="I868" s="22" t="s">
        <v>131</v>
      </c>
      <c r="J868" s="22" t="s">
        <v>2253</v>
      </c>
      <c r="K868" s="22" t="s">
        <v>43</v>
      </c>
      <c r="L868" s="22" t="s">
        <v>2663</v>
      </c>
      <c r="M868" s="22" t="s">
        <v>6689</v>
      </c>
      <c r="N868" s="22" t="s">
        <v>6690</v>
      </c>
      <c r="O868" s="23" t="s">
        <v>6691</v>
      </c>
      <c r="P868" s="22" t="s">
        <v>75</v>
      </c>
      <c r="Q868" s="50" t="s">
        <v>65</v>
      </c>
      <c r="R868" s="22" t="s">
        <v>6692</v>
      </c>
      <c r="S868" s="22" t="s">
        <v>51</v>
      </c>
      <c r="T868" s="22" t="s">
        <v>52</v>
      </c>
      <c r="U868" s="22" t="s">
        <v>52</v>
      </c>
      <c r="V868" s="22" t="s">
        <v>52</v>
      </c>
      <c r="W868" s="18">
        <v>45980.0</v>
      </c>
      <c r="X868" s="20">
        <v>0.5777777777777777</v>
      </c>
      <c r="Y868" s="18">
        <v>45980.0</v>
      </c>
      <c r="Z868" s="20">
        <v>0.8361111111111111</v>
      </c>
      <c r="AA868" s="20">
        <v>0.8375</v>
      </c>
      <c r="AB868" s="54"/>
      <c r="AC868" s="54"/>
      <c r="AD868" s="51">
        <v>0.8819444444444444</v>
      </c>
      <c r="AE868" s="18">
        <v>45980.0</v>
      </c>
      <c r="AF868" s="22" t="s">
        <v>2711</v>
      </c>
      <c r="AG868" s="22" t="s">
        <v>162</v>
      </c>
      <c r="AH868" s="22" t="s">
        <v>6693</v>
      </c>
      <c r="AI868" s="62" t="str">
        <f>IFERROR(__xludf.DUMMYFUNCTION("IF(OR(W868="""",X868="""",AE868="""",AD868=""""),"""",
   TEXT(
     (
       (AE868+AD868 + IF(AE868+AD868 &lt; W868+X868,1,0)) - (W868+X868)
     )
     - IF(AND(AB868&lt;&gt;"""",AC868&lt;&gt;""""), 
          SUM(ARRAYFORMULA(SPLIT(AC868,"","") - SPLIT(AB868,"",""))"&amp;"), 
          0
       ),
     ""[hh]:mm""
   )
)
"),"07:18")</f>
        <v>07:18</v>
      </c>
      <c r="AJ868" s="27">
        <f t="shared" si="16"/>
        <v>0</v>
      </c>
      <c r="AK868" s="63" t="str">
        <f t="shared" si="17"/>
        <v>Pass</v>
      </c>
    </row>
    <row r="869">
      <c r="A869" s="45">
        <v>45980.0</v>
      </c>
      <c r="B869" s="49">
        <v>0.7319444444444444</v>
      </c>
      <c r="C869" s="45">
        <v>45979.0</v>
      </c>
      <c r="D869" s="49">
        <v>0.7333333333333333</v>
      </c>
      <c r="E869" s="21" t="s">
        <v>6641</v>
      </c>
      <c r="F869" s="21" t="s">
        <v>3707</v>
      </c>
      <c r="G869" s="21" t="s">
        <v>3708</v>
      </c>
      <c r="H869" s="21" t="s">
        <v>1610</v>
      </c>
      <c r="I869" s="21" t="s">
        <v>1612</v>
      </c>
      <c r="J869" s="21" t="s">
        <v>1612</v>
      </c>
      <c r="K869" s="21" t="s">
        <v>143</v>
      </c>
      <c r="L869" s="21" t="s">
        <v>1613</v>
      </c>
      <c r="M869" s="21" t="s">
        <v>6694</v>
      </c>
      <c r="N869" s="21" t="s">
        <v>6643</v>
      </c>
      <c r="O869" s="48" t="s">
        <v>6695</v>
      </c>
      <c r="P869" s="21" t="s">
        <v>75</v>
      </c>
      <c r="Q869" s="24" t="s">
        <v>65</v>
      </c>
      <c r="R869" s="21" t="s">
        <v>6645</v>
      </c>
      <c r="S869" s="21" t="s">
        <v>51</v>
      </c>
      <c r="T869" s="21" t="s">
        <v>52</v>
      </c>
      <c r="U869" s="21" t="s">
        <v>52</v>
      </c>
      <c r="V869" s="21" t="s">
        <v>52</v>
      </c>
      <c r="W869" s="45">
        <v>45980.0</v>
      </c>
      <c r="X869" s="49">
        <v>0.375</v>
      </c>
      <c r="Y869" s="45">
        <v>45980.0</v>
      </c>
      <c r="Z869" s="49">
        <v>0.5416666666666666</v>
      </c>
      <c r="AA869" s="49">
        <v>0.5416666666666666</v>
      </c>
      <c r="AB869" s="85">
        <v>0.4583333333333333</v>
      </c>
      <c r="AC869" s="85">
        <v>0.5416666666666666</v>
      </c>
      <c r="AD869" s="25">
        <v>0.5833333333333334</v>
      </c>
      <c r="AE869" s="45">
        <v>45980.0</v>
      </c>
      <c r="AF869" s="21" t="s">
        <v>6696</v>
      </c>
      <c r="AG869" s="21" t="s">
        <v>78</v>
      </c>
      <c r="AH869" s="21" t="s">
        <v>6646</v>
      </c>
      <c r="AI869" s="62" t="str">
        <f>IFERROR(__xludf.DUMMYFUNCTION("IF(OR(W869="""",X869="""",AE869="""",AD869=""""),"""",
   TEXT(
     (
       (AE869+AD869 + IF(AE869+AD869 &lt; W869+X869,1,0)) - (W869+X869)
     )
     - IF(AND(AB869&lt;&gt;"""",AC869&lt;&gt;""""), 
          SUM(ARRAYFORMULA(SPLIT(AC869,"","") - SPLIT(AB869,"",""))"&amp;"), 
          0
       ),
     ""[hh]:mm""
   )
)
"),"03:00")</f>
        <v>03:00</v>
      </c>
      <c r="AJ869" s="27">
        <f t="shared" si="16"/>
        <v>0</v>
      </c>
      <c r="AK869" s="63" t="str">
        <f t="shared" si="17"/>
        <v>Pass</v>
      </c>
    </row>
    <row r="870">
      <c r="A870" s="18">
        <v>45980.0</v>
      </c>
      <c r="B870" s="20">
        <v>0.6423611111111112</v>
      </c>
      <c r="C870" s="18">
        <v>45980.0</v>
      </c>
      <c r="D870" s="20">
        <v>0.6465277777777778</v>
      </c>
      <c r="E870" s="22" t="s">
        <v>6697</v>
      </c>
      <c r="F870" s="22" t="s">
        <v>3057</v>
      </c>
      <c r="G870" s="22" t="s">
        <v>3058</v>
      </c>
      <c r="H870" s="22" t="s">
        <v>253</v>
      </c>
      <c r="I870" s="22" t="s">
        <v>234</v>
      </c>
      <c r="J870" s="22" t="s">
        <v>3813</v>
      </c>
      <c r="K870" s="22" t="s">
        <v>61</v>
      </c>
      <c r="L870" s="22" t="s">
        <v>183</v>
      </c>
      <c r="M870" s="22" t="s">
        <v>6698</v>
      </c>
      <c r="N870" s="22" t="s">
        <v>6699</v>
      </c>
      <c r="O870" s="23" t="s">
        <v>6700</v>
      </c>
      <c r="P870" s="22" t="s">
        <v>75</v>
      </c>
      <c r="Q870" s="50" t="s">
        <v>65</v>
      </c>
      <c r="R870" s="22" t="s">
        <v>6701</v>
      </c>
      <c r="S870" s="22" t="s">
        <v>51</v>
      </c>
      <c r="T870" s="22" t="s">
        <v>52</v>
      </c>
      <c r="U870" s="22" t="s">
        <v>52</v>
      </c>
      <c r="V870" s="22" t="s">
        <v>52</v>
      </c>
      <c r="W870" s="18">
        <v>45980.0</v>
      </c>
      <c r="X870" s="20">
        <v>0.6465277777777778</v>
      </c>
      <c r="Y870" s="18">
        <v>45980.0</v>
      </c>
      <c r="Z870" s="20">
        <v>0.6944444444444444</v>
      </c>
      <c r="AA870" s="20">
        <v>0.6979166666666666</v>
      </c>
      <c r="AB870" s="51">
        <v>0.7361111111111112</v>
      </c>
      <c r="AC870" s="51">
        <v>0.7569444444444444</v>
      </c>
      <c r="AD870" s="51">
        <v>0.7708333333333334</v>
      </c>
      <c r="AE870" s="18">
        <v>45980.0</v>
      </c>
      <c r="AF870" s="22" t="s">
        <v>5455</v>
      </c>
      <c r="AG870" s="22" t="s">
        <v>54</v>
      </c>
      <c r="AH870" s="22" t="s">
        <v>6702</v>
      </c>
      <c r="AI870" s="26" t="str">
        <f>IFERROR(__xludf.DUMMYFUNCTION("IF(OR(W870="""",X870="""",AE870="""",AD870=""""),"""",
   TEXT(
     (
       (AE870+AD870 + IF(AE870+AD870 &lt; W870+X870,1,0)) - (W870+X870)
     )
     - IF(AND(AB870&lt;&gt;"""",AC870&lt;&gt;""""), 
          SUM(ARRAYFORMULA(SPLIT(AC870,"","") - SPLIT(AB870,"",""))"&amp;"), 
          0
       ),
     ""[hh]:mm""
   )
)
"),"02:29")</f>
        <v>02:29</v>
      </c>
      <c r="AJ870" s="55">
        <f t="shared" si="16"/>
        <v>0</v>
      </c>
      <c r="AK870" s="28" t="str">
        <f t="shared" si="17"/>
        <v>Pass</v>
      </c>
    </row>
    <row r="871">
      <c r="A871" s="18">
        <v>45980.0</v>
      </c>
      <c r="B871" s="20">
        <v>0.6791666666666667</v>
      </c>
      <c r="C871" s="18">
        <v>45980.0</v>
      </c>
      <c r="D871" s="20">
        <v>0.6916666666666667</v>
      </c>
      <c r="E871" s="22" t="s">
        <v>6703</v>
      </c>
      <c r="F871" s="22" t="s">
        <v>989</v>
      </c>
      <c r="G871" s="22" t="s">
        <v>990</v>
      </c>
      <c r="H871" s="22" t="s">
        <v>59</v>
      </c>
      <c r="I871" s="22" t="s">
        <v>60</v>
      </c>
      <c r="J871" s="22" t="s">
        <v>3813</v>
      </c>
      <c r="K871" s="22" t="s">
        <v>61</v>
      </c>
      <c r="L871" s="22" t="s">
        <v>183</v>
      </c>
      <c r="M871" s="22" t="s">
        <v>6704</v>
      </c>
      <c r="N871" s="22" t="s">
        <v>2347</v>
      </c>
      <c r="O871" s="23" t="s">
        <v>6705</v>
      </c>
      <c r="P871" s="22" t="s">
        <v>75</v>
      </c>
      <c r="Q871" s="50" t="s">
        <v>65</v>
      </c>
      <c r="R871" s="22" t="s">
        <v>6706</v>
      </c>
      <c r="S871" s="22" t="s">
        <v>51</v>
      </c>
      <c r="T871" s="22" t="s">
        <v>52</v>
      </c>
      <c r="U871" s="22" t="s">
        <v>52</v>
      </c>
      <c r="V871" s="22" t="s">
        <v>52</v>
      </c>
      <c r="W871" s="18">
        <v>45980.0</v>
      </c>
      <c r="X871" s="20">
        <v>0.6916666666666667</v>
      </c>
      <c r="Y871" s="18">
        <v>45980.0</v>
      </c>
      <c r="Z871" s="20">
        <v>0.7736111111111111</v>
      </c>
      <c r="AA871" s="20">
        <v>0.7743055555555556</v>
      </c>
      <c r="AB871" s="54"/>
      <c r="AC871" s="54"/>
      <c r="AD871" s="51">
        <v>0.7881944444444444</v>
      </c>
      <c r="AE871" s="18">
        <v>45980.0</v>
      </c>
      <c r="AF871" s="22" t="s">
        <v>2971</v>
      </c>
      <c r="AG871" s="22" t="s">
        <v>5541</v>
      </c>
      <c r="AH871" s="22" t="s">
        <v>6707</v>
      </c>
      <c r="AI871" s="26" t="str">
        <f>IFERROR(__xludf.DUMMYFUNCTION("IF(OR(W871="""",X871="""",AE871="""",AD871=""""),"""",
   TEXT(
     (
       (AE871+AD871 + IF(AE871+AD871 &lt; W871+X871,1,0)) - (W871+X871)
     )
     - IF(AND(AB871&lt;&gt;"""",AC871&lt;&gt;""""), 
          SUM(ARRAYFORMULA(SPLIT(AC871,"","") - SPLIT(AB871,"",""))"&amp;"), 
          0
       ),
     ""[hh]:mm""
   )
)
"),"02:19")</f>
        <v>02:19</v>
      </c>
      <c r="AJ871" s="55">
        <f t="shared" si="16"/>
        <v>0</v>
      </c>
      <c r="AK871" s="28" t="str">
        <f t="shared" si="17"/>
        <v>Pass</v>
      </c>
    </row>
    <row r="872">
      <c r="A872" s="45">
        <v>45980.0</v>
      </c>
      <c r="B872" s="49">
        <v>0.9430555555555555</v>
      </c>
      <c r="C872" s="45">
        <v>45981.0</v>
      </c>
      <c r="D872" s="49">
        <v>0.3020833333333333</v>
      </c>
      <c r="E872" s="21" t="s">
        <v>6708</v>
      </c>
      <c r="F872" s="21" t="s">
        <v>6709</v>
      </c>
      <c r="G872" s="21" t="s">
        <v>6710</v>
      </c>
      <c r="H872" s="21" t="s">
        <v>1610</v>
      </c>
      <c r="I872" s="21" t="s">
        <v>1612</v>
      </c>
      <c r="J872" s="21" t="s">
        <v>1612</v>
      </c>
      <c r="K872" s="21" t="s">
        <v>143</v>
      </c>
      <c r="L872" s="21" t="s">
        <v>1613</v>
      </c>
      <c r="M872" s="21" t="s">
        <v>6711</v>
      </c>
      <c r="N872" s="21" t="s">
        <v>6712</v>
      </c>
      <c r="O872" s="48" t="s">
        <v>6713</v>
      </c>
      <c r="P872" s="21" t="s">
        <v>187</v>
      </c>
      <c r="Q872" s="24" t="s">
        <v>65</v>
      </c>
      <c r="R872" s="21" t="s">
        <v>6714</v>
      </c>
      <c r="S872" s="21" t="s">
        <v>51</v>
      </c>
      <c r="T872" s="21" t="s">
        <v>52</v>
      </c>
      <c r="U872" s="21" t="s">
        <v>52</v>
      </c>
      <c r="V872" s="21" t="s">
        <v>52</v>
      </c>
      <c r="W872" s="45">
        <v>45981.0</v>
      </c>
      <c r="X872" s="49">
        <v>0.3020833333333333</v>
      </c>
      <c r="Y872" s="45">
        <v>45981.0</v>
      </c>
      <c r="Z872" s="49">
        <v>0.4583333333333333</v>
      </c>
      <c r="AA872" s="49">
        <v>0.4618055555555556</v>
      </c>
      <c r="AB872" s="29"/>
      <c r="AC872" s="29"/>
      <c r="AD872" s="25">
        <v>0.5694444444444444</v>
      </c>
      <c r="AE872" s="45">
        <v>45981.0</v>
      </c>
      <c r="AF872" s="21" t="s">
        <v>2744</v>
      </c>
      <c r="AG872" s="21" t="s">
        <v>54</v>
      </c>
      <c r="AH872" s="21" t="s">
        <v>6715</v>
      </c>
      <c r="AI872" s="62" t="str">
        <f>IFERROR(__xludf.DUMMYFUNCTION("IF(OR(W872="""",X872="""",AE872="""",AD872=""""),"""",
   TEXT(
     (
       (AE872+AD872 + IF(AE872+AD872 &lt; W872+X872,1,0)) - (W872+X872)
     )
     - IF(AND(AB872&lt;&gt;"""",AC872&lt;&gt;""""), 
          SUM(ARRAYFORMULA(SPLIT(AC872,"","") - SPLIT(AB872,"",""))"&amp;"), 
          0
       ),
     ""[hh]:mm""
   )
)
"),"06:25")</f>
        <v>06:25</v>
      </c>
      <c r="AJ872" s="27">
        <f t="shared" si="16"/>
        <v>0</v>
      </c>
      <c r="AK872" s="63" t="str">
        <f t="shared" si="17"/>
        <v>Pass</v>
      </c>
    </row>
    <row r="873">
      <c r="A873" s="18">
        <v>45980.0</v>
      </c>
      <c r="B873" s="20">
        <v>0.9923611111111111</v>
      </c>
      <c r="C873" s="18">
        <v>45981.0</v>
      </c>
      <c r="D873" s="20">
        <v>0.30486111111111114</v>
      </c>
      <c r="E873" s="22" t="s">
        <v>6716</v>
      </c>
      <c r="F873" s="22" t="s">
        <v>2831</v>
      </c>
      <c r="G873" s="22" t="s">
        <v>6717</v>
      </c>
      <c r="H873" s="22" t="s">
        <v>156</v>
      </c>
      <c r="I873" s="22" t="s">
        <v>616</v>
      </c>
      <c r="J873" s="22" t="s">
        <v>2253</v>
      </c>
      <c r="K873" s="22" t="s">
        <v>43</v>
      </c>
      <c r="L873" s="22" t="s">
        <v>6718</v>
      </c>
      <c r="M873" s="22" t="s">
        <v>2833</v>
      </c>
      <c r="N873" s="22" t="s">
        <v>6719</v>
      </c>
      <c r="O873" s="23" t="s">
        <v>6720</v>
      </c>
      <c r="P873" s="22" t="s">
        <v>75</v>
      </c>
      <c r="Q873" s="50" t="s">
        <v>65</v>
      </c>
      <c r="R873" s="22" t="s">
        <v>6721</v>
      </c>
      <c r="S873" s="22" t="s">
        <v>51</v>
      </c>
      <c r="T873" s="22" t="s">
        <v>52</v>
      </c>
      <c r="U873" s="22" t="s">
        <v>52</v>
      </c>
      <c r="V873" s="22" t="s">
        <v>52</v>
      </c>
      <c r="W873" s="18">
        <v>45981.0</v>
      </c>
      <c r="X873" s="20">
        <v>0.30486111111111114</v>
      </c>
      <c r="Y873" s="18">
        <v>45981.0</v>
      </c>
      <c r="Z873" s="20">
        <v>0.4513888888888889</v>
      </c>
      <c r="AA873" s="20">
        <v>0.45208333333333334</v>
      </c>
      <c r="AB873" s="54"/>
      <c r="AC873" s="54"/>
      <c r="AD873" s="51">
        <v>0.4722222222222222</v>
      </c>
      <c r="AE873" s="18">
        <v>45981.0</v>
      </c>
      <c r="AF873" s="22" t="s">
        <v>2971</v>
      </c>
      <c r="AG873" s="22" t="s">
        <v>2086</v>
      </c>
      <c r="AH873" s="22" t="s">
        <v>3680</v>
      </c>
      <c r="AI873" s="26" t="str">
        <f>IFERROR(__xludf.DUMMYFUNCTION("IF(OR(W873="""",X873="""",AE873="""",AD873=""""),"""",
   TEXT(
     (
       (AE873+AD873 + IF(AE873+AD873 &lt; W873+X873,1,0)) - (W873+X873)
     )
     - IF(AND(AB873&lt;&gt;"""",AC873&lt;&gt;""""), 
          SUM(ARRAYFORMULA(SPLIT(AC873,"","") - SPLIT(AB873,"",""))"&amp;"), 
          0
       ),
     ""[hh]:mm""
   )
)
"),"04:01")</f>
        <v>04:01</v>
      </c>
      <c r="AJ873" s="55">
        <f t="shared" si="16"/>
        <v>0</v>
      </c>
      <c r="AK873" s="28" t="str">
        <f t="shared" si="17"/>
        <v>Pass</v>
      </c>
    </row>
    <row r="874">
      <c r="A874" s="45">
        <v>45981.0</v>
      </c>
      <c r="B874" s="49">
        <v>1.0055555555555555</v>
      </c>
      <c r="C874" s="45">
        <v>45981.0</v>
      </c>
      <c r="D874" s="49">
        <v>0.30833333333333335</v>
      </c>
      <c r="E874" s="21" t="s">
        <v>6722</v>
      </c>
      <c r="F874" s="21" t="s">
        <v>1353</v>
      </c>
      <c r="G874" s="21" t="s">
        <v>1354</v>
      </c>
      <c r="H874" s="21" t="s">
        <v>244</v>
      </c>
      <c r="I874" s="21" t="s">
        <v>60</v>
      </c>
      <c r="J874" s="21" t="s">
        <v>3813</v>
      </c>
      <c r="K874" s="21" t="s">
        <v>61</v>
      </c>
      <c r="L874" s="21" t="s">
        <v>757</v>
      </c>
      <c r="M874" s="21" t="s">
        <v>6723</v>
      </c>
      <c r="N874" s="21" t="s">
        <v>6724</v>
      </c>
      <c r="O874" s="48" t="s">
        <v>6725</v>
      </c>
      <c r="P874" s="21" t="s">
        <v>48</v>
      </c>
      <c r="Q874" s="24" t="s">
        <v>65</v>
      </c>
      <c r="R874" s="21" t="s">
        <v>6139</v>
      </c>
      <c r="S874" s="21" t="s">
        <v>51</v>
      </c>
      <c r="T874" s="21" t="s">
        <v>52</v>
      </c>
      <c r="U874" s="21" t="s">
        <v>52</v>
      </c>
      <c r="V874" s="21" t="s">
        <v>52</v>
      </c>
      <c r="W874" s="45">
        <v>45981.0</v>
      </c>
      <c r="X874" s="49">
        <v>0.30833333333333335</v>
      </c>
      <c r="Y874" s="45">
        <v>45981.0</v>
      </c>
      <c r="Z874" s="49">
        <v>0.4583333333333333</v>
      </c>
      <c r="AA874" s="49">
        <v>0.4618055555555556</v>
      </c>
      <c r="AB874" s="25">
        <v>0.5208333333333334</v>
      </c>
      <c r="AC874" s="25">
        <v>0.6875</v>
      </c>
      <c r="AD874" s="25">
        <v>0.7083333333333334</v>
      </c>
      <c r="AE874" s="45">
        <v>45981.0</v>
      </c>
      <c r="AF874" s="21" t="s">
        <v>2931</v>
      </c>
      <c r="AG874" s="21" t="s">
        <v>78</v>
      </c>
      <c r="AH874" s="21" t="s">
        <v>3404</v>
      </c>
      <c r="AI874" s="62" t="str">
        <f>IFERROR(__xludf.DUMMYFUNCTION("IF(OR(W874="""",X874="""",AE874="""",AD874=""""),"""",
   TEXT(
     (
       (AE874+AD874 + IF(AE874+AD874 &lt; W874+X874,1,0)) - (W874+X874)
     )
     - IF(AND(AB874&lt;&gt;"""",AC874&lt;&gt;""""), 
          SUM(ARRAYFORMULA(SPLIT(AC874,"","") - SPLIT(AB874,"",""))"&amp;"), 
          0
       ),
     ""[hh]:mm""
   )
)
"),"05:36")</f>
        <v>05:36</v>
      </c>
      <c r="AJ874" s="27">
        <f t="shared" si="16"/>
        <v>0</v>
      </c>
      <c r="AK874" s="63" t="str">
        <f t="shared" si="17"/>
        <v>Pass</v>
      </c>
    </row>
    <row r="875">
      <c r="A875" s="45">
        <v>45981.0</v>
      </c>
      <c r="B875" s="49">
        <v>0.3541666666666667</v>
      </c>
      <c r="C875" s="45">
        <v>45981.0</v>
      </c>
      <c r="D875" s="49">
        <v>0.35833333333333334</v>
      </c>
      <c r="E875" s="21" t="s">
        <v>6726</v>
      </c>
      <c r="F875" s="21" t="s">
        <v>330</v>
      </c>
      <c r="G875" s="21" t="s">
        <v>331</v>
      </c>
      <c r="H875" s="21" t="s">
        <v>244</v>
      </c>
      <c r="I875" s="21" t="s">
        <v>234</v>
      </c>
      <c r="J875" s="21" t="s">
        <v>3806</v>
      </c>
      <c r="K875" s="21" t="s">
        <v>43</v>
      </c>
      <c r="L875" s="21" t="s">
        <v>44</v>
      </c>
      <c r="M875" s="21" t="s">
        <v>6727</v>
      </c>
      <c r="N875" s="21" t="s">
        <v>4551</v>
      </c>
      <c r="O875" s="48" t="s">
        <v>6728</v>
      </c>
      <c r="P875" s="21" t="s">
        <v>48</v>
      </c>
      <c r="Q875" s="24" t="s">
        <v>65</v>
      </c>
      <c r="R875" s="21" t="s">
        <v>5859</v>
      </c>
      <c r="S875" s="21" t="s">
        <v>51</v>
      </c>
      <c r="T875" s="21" t="s">
        <v>52</v>
      </c>
      <c r="U875" s="21" t="s">
        <v>52</v>
      </c>
      <c r="V875" s="21" t="s">
        <v>52</v>
      </c>
      <c r="W875" s="45">
        <v>45981.0</v>
      </c>
      <c r="X875" s="49">
        <v>0.35833333333333334</v>
      </c>
      <c r="Y875" s="45">
        <v>45981.0</v>
      </c>
      <c r="Z875" s="49">
        <v>0.4375</v>
      </c>
      <c r="AA875" s="49">
        <v>0.44305555555555554</v>
      </c>
      <c r="AB875" s="24" t="s">
        <v>6729</v>
      </c>
      <c r="AC875" s="24" t="s">
        <v>6654</v>
      </c>
      <c r="AD875" s="25">
        <v>0.5444444444444444</v>
      </c>
      <c r="AE875" s="45">
        <v>45981.0</v>
      </c>
      <c r="AF875" s="21" t="s">
        <v>2744</v>
      </c>
      <c r="AG875" s="21" t="s">
        <v>293</v>
      </c>
      <c r="AH875" s="21" t="s">
        <v>6730</v>
      </c>
      <c r="AI875" s="62" t="str">
        <f>IFERROR(__xludf.DUMMYFUNCTION("IF(OR(W875="""",X875="""",AE875="""",AD875=""""),"""",
   TEXT(
     (
       (AE875+AD875 + IF(AE875+AD875 &lt; W875+X875,1,0)) - (W875+X875)
     )
     - IF(AND(AB875&lt;&gt;"""",AC875&lt;&gt;""""), 
          SUM(ARRAYFORMULA(SPLIT(AC875,"","") - SPLIT(AB875,"",""))"&amp;"), 
          0
       ),
     ""[hh]:mm""
   )
)
"),"03:23")</f>
        <v>03:23</v>
      </c>
      <c r="AJ875" s="27">
        <f t="shared" si="16"/>
        <v>0</v>
      </c>
      <c r="AK875" s="63" t="str">
        <f t="shared" si="17"/>
        <v>Pass</v>
      </c>
    </row>
    <row r="876">
      <c r="A876" s="45">
        <v>45981.0</v>
      </c>
      <c r="B876" s="49">
        <v>0.35555555555555557</v>
      </c>
      <c r="C876" s="45">
        <v>45981.0</v>
      </c>
      <c r="D876" s="49">
        <v>0.3611111111111111</v>
      </c>
      <c r="E876" s="21" t="s">
        <v>6731</v>
      </c>
      <c r="F876" s="21" t="s">
        <v>6732</v>
      </c>
      <c r="G876" s="21" t="s">
        <v>6733</v>
      </c>
      <c r="H876" s="21" t="s">
        <v>2337</v>
      </c>
      <c r="I876" s="21" t="s">
        <v>118</v>
      </c>
      <c r="J876" s="21" t="s">
        <v>4198</v>
      </c>
      <c r="K876" s="21" t="s">
        <v>72</v>
      </c>
      <c r="L876" s="21" t="s">
        <v>1815</v>
      </c>
      <c r="M876" s="21" t="s">
        <v>6734</v>
      </c>
      <c r="N876" s="21" t="s">
        <v>6735</v>
      </c>
      <c r="O876" s="48" t="s">
        <v>6736</v>
      </c>
      <c r="P876" s="21" t="s">
        <v>75</v>
      </c>
      <c r="Q876" s="24" t="s">
        <v>65</v>
      </c>
      <c r="R876" s="21" t="s">
        <v>6737</v>
      </c>
      <c r="S876" s="21" t="s">
        <v>51</v>
      </c>
      <c r="T876" s="21" t="s">
        <v>52</v>
      </c>
      <c r="U876" s="21" t="s">
        <v>52</v>
      </c>
      <c r="V876" s="21" t="s">
        <v>52</v>
      </c>
      <c r="W876" s="45">
        <v>45981.0</v>
      </c>
      <c r="X876" s="49">
        <v>0.3611111111111111</v>
      </c>
      <c r="Y876" s="45">
        <v>45981.0</v>
      </c>
      <c r="Z876" s="49">
        <v>0.5298611111111111</v>
      </c>
      <c r="AA876" s="49">
        <v>0.5416666666666666</v>
      </c>
      <c r="AB876" s="29"/>
      <c r="AC876" s="29"/>
      <c r="AD876" s="25">
        <v>0.5625</v>
      </c>
      <c r="AE876" s="45">
        <v>45981.0</v>
      </c>
      <c r="AF876" s="21" t="s">
        <v>3218</v>
      </c>
      <c r="AG876" s="21" t="s">
        <v>2086</v>
      </c>
      <c r="AH876" s="21" t="s">
        <v>6738</v>
      </c>
      <c r="AI876" s="62" t="str">
        <f>IFERROR(__xludf.DUMMYFUNCTION("IF(OR(W876="""",X876="""",AE876="""",AD876=""""),"""",
   TEXT(
     (
       (AE876+AD876 + IF(AE876+AD876 &lt; W876+X876,1,0)) - (W876+X876)
     )
     - IF(AND(AB876&lt;&gt;"""",AC876&lt;&gt;""""), 
          SUM(ARRAYFORMULA(SPLIT(AC876,"","") - SPLIT(AB876,"",""))"&amp;"), 
          0
       ),
     ""[hh]:mm""
   )
)
"),"04:50")</f>
        <v>04:50</v>
      </c>
      <c r="AJ876" s="27">
        <f t="shared" si="16"/>
        <v>0</v>
      </c>
      <c r="AK876" s="63" t="str">
        <f t="shared" si="17"/>
        <v>Pass</v>
      </c>
    </row>
    <row r="877">
      <c r="A877" s="45">
        <v>45981.0</v>
      </c>
      <c r="B877" s="49">
        <v>0.36944444444444446</v>
      </c>
      <c r="C877" s="45">
        <v>45981.0</v>
      </c>
      <c r="D877" s="49">
        <v>0.3701388888888889</v>
      </c>
      <c r="E877" s="21" t="s">
        <v>6739</v>
      </c>
      <c r="F877" s="21" t="s">
        <v>6732</v>
      </c>
      <c r="G877" s="21" t="s">
        <v>6733</v>
      </c>
      <c r="H877" s="21" t="s">
        <v>214</v>
      </c>
      <c r="I877" s="21" t="s">
        <v>60</v>
      </c>
      <c r="J877" s="21" t="s">
        <v>3813</v>
      </c>
      <c r="K877" s="21" t="s">
        <v>61</v>
      </c>
      <c r="L877" s="21" t="s">
        <v>183</v>
      </c>
      <c r="M877" s="21" t="s">
        <v>6740</v>
      </c>
      <c r="N877" s="21" t="s">
        <v>6741</v>
      </c>
      <c r="O877" s="48" t="s">
        <v>6742</v>
      </c>
      <c r="P877" s="21" t="s">
        <v>75</v>
      </c>
      <c r="Q877" s="24" t="s">
        <v>65</v>
      </c>
      <c r="R877" s="21" t="s">
        <v>6743</v>
      </c>
      <c r="S877" s="21" t="s">
        <v>51</v>
      </c>
      <c r="T877" s="21" t="s">
        <v>52</v>
      </c>
      <c r="U877" s="21" t="s">
        <v>52</v>
      </c>
      <c r="V877" s="21" t="s">
        <v>52</v>
      </c>
      <c r="W877" s="45">
        <v>45981.0</v>
      </c>
      <c r="X877" s="49">
        <v>0.3701388888888889</v>
      </c>
      <c r="Y877" s="45">
        <v>45981.0</v>
      </c>
      <c r="Z877" s="49">
        <v>0.5298611111111111</v>
      </c>
      <c r="AA877" s="49">
        <v>0.5381944444444444</v>
      </c>
      <c r="AB877" s="29"/>
      <c r="AC877" s="29"/>
      <c r="AD877" s="25">
        <v>0.5625</v>
      </c>
      <c r="AE877" s="45">
        <v>45981.0</v>
      </c>
      <c r="AF877" s="21" t="s">
        <v>3218</v>
      </c>
      <c r="AG877" s="21" t="s">
        <v>2086</v>
      </c>
      <c r="AH877" s="21" t="s">
        <v>6738</v>
      </c>
      <c r="AI877" s="62" t="str">
        <f>IFERROR(__xludf.DUMMYFUNCTION("IF(OR(W877="""",X877="""",AE877="""",AD877=""""),"""",
   TEXT(
     (
       (AE877+AD877 + IF(AE877+AD877 &lt; W877+X877,1,0)) - (W877+X877)
     )
     - IF(AND(AB877&lt;&gt;"""",AC877&lt;&gt;""""), 
          SUM(ARRAYFORMULA(SPLIT(AC877,"","") - SPLIT(AB877,"",""))"&amp;"), 
          0
       ),
     ""[hh]:mm""
   )
)
"),"04:37")</f>
        <v>04:37</v>
      </c>
      <c r="AJ877" s="27">
        <f t="shared" si="16"/>
        <v>0</v>
      </c>
      <c r="AK877" s="63" t="str">
        <f t="shared" si="17"/>
        <v>Pass</v>
      </c>
    </row>
    <row r="878">
      <c r="A878" s="45">
        <v>45980.0</v>
      </c>
      <c r="B878" s="49">
        <v>0.3125</v>
      </c>
      <c r="C878" s="45">
        <v>45980.0</v>
      </c>
      <c r="D878" s="49">
        <v>0.3229166666666667</v>
      </c>
      <c r="E878" s="21" t="s">
        <v>6744</v>
      </c>
      <c r="F878" s="21" t="s">
        <v>6745</v>
      </c>
      <c r="G878" s="21" t="s">
        <v>6746</v>
      </c>
      <c r="H878" s="21" t="s">
        <v>142</v>
      </c>
      <c r="I878" s="21" t="s">
        <v>95</v>
      </c>
      <c r="J878" s="21" t="s">
        <v>95</v>
      </c>
      <c r="K878" s="21" t="s">
        <v>143</v>
      </c>
      <c r="L878" s="21" t="s">
        <v>6747</v>
      </c>
      <c r="M878" s="21" t="s">
        <v>6748</v>
      </c>
      <c r="N878" s="21" t="s">
        <v>6749</v>
      </c>
      <c r="O878" s="48" t="s">
        <v>6750</v>
      </c>
      <c r="P878" s="21" t="s">
        <v>48</v>
      </c>
      <c r="Q878" s="24" t="s">
        <v>49</v>
      </c>
      <c r="R878" s="21" t="s">
        <v>6751</v>
      </c>
      <c r="S878" s="21" t="s">
        <v>51</v>
      </c>
      <c r="T878" s="21" t="s">
        <v>52</v>
      </c>
      <c r="U878" s="21" t="s">
        <v>52</v>
      </c>
      <c r="V878" s="21" t="s">
        <v>52</v>
      </c>
      <c r="W878" s="45">
        <v>45981.0</v>
      </c>
      <c r="X878" s="49">
        <v>0.25</v>
      </c>
      <c r="Y878" s="45">
        <v>45981.0</v>
      </c>
      <c r="Z878" s="49">
        <v>0.2708333333333333</v>
      </c>
      <c r="AA878" s="49">
        <v>0.28125</v>
      </c>
      <c r="AB878" s="29"/>
      <c r="AC878" s="29"/>
      <c r="AD878" s="25">
        <v>0.3923611111111111</v>
      </c>
      <c r="AE878" s="45">
        <v>45981.0</v>
      </c>
      <c r="AF878" s="21" t="s">
        <v>2744</v>
      </c>
      <c r="AG878" s="21" t="s">
        <v>583</v>
      </c>
      <c r="AH878" s="21" t="s">
        <v>6752</v>
      </c>
      <c r="AI878" s="62" t="str">
        <f>IFERROR(__xludf.DUMMYFUNCTION("IF(OR(W878="""",X878="""",AE878="""",AD878=""""),"""",
   TEXT(
     (
       (AE878+AD878 + IF(AE878+AD878 &lt; W878+X878,1,0)) - (W878+X878)
     )
     - IF(AND(AB878&lt;&gt;"""",AC878&lt;&gt;""""), 
          SUM(ARRAYFORMULA(SPLIT(AC878,"","") - SPLIT(AB878,"",""))"&amp;"), 
          0
       ),
     ""[hh]:mm""
   )
)
"),"03:25")</f>
        <v>03:25</v>
      </c>
      <c r="AJ878" s="27">
        <f t="shared" si="16"/>
        <v>0</v>
      </c>
      <c r="AK878" s="63" t="str">
        <f t="shared" si="17"/>
        <v>Pass</v>
      </c>
    </row>
    <row r="879">
      <c r="A879" s="45">
        <v>45981.0</v>
      </c>
      <c r="B879" s="49">
        <v>0.6222222222222222</v>
      </c>
      <c r="C879" s="45">
        <v>45981.0</v>
      </c>
      <c r="D879" s="49">
        <v>0.6270833333333333</v>
      </c>
      <c r="E879" s="21" t="s">
        <v>6753</v>
      </c>
      <c r="F879" s="21" t="s">
        <v>2702</v>
      </c>
      <c r="G879" s="21" t="s">
        <v>2703</v>
      </c>
      <c r="H879" s="21" t="s">
        <v>566</v>
      </c>
      <c r="I879" s="21" t="s">
        <v>234</v>
      </c>
      <c r="J879" s="21" t="s">
        <v>3813</v>
      </c>
      <c r="K879" s="21" t="s">
        <v>61</v>
      </c>
      <c r="L879" s="21" t="s">
        <v>183</v>
      </c>
      <c r="M879" s="21" t="s">
        <v>5838</v>
      </c>
      <c r="N879" s="21" t="s">
        <v>6754</v>
      </c>
      <c r="O879" s="48" t="s">
        <v>6755</v>
      </c>
      <c r="P879" s="21" t="s">
        <v>48</v>
      </c>
      <c r="Q879" s="24" t="s">
        <v>65</v>
      </c>
      <c r="R879" s="21" t="s">
        <v>6756</v>
      </c>
      <c r="S879" s="21" t="s">
        <v>51</v>
      </c>
      <c r="T879" s="21" t="s">
        <v>52</v>
      </c>
      <c r="U879" s="21" t="s">
        <v>52</v>
      </c>
      <c r="V879" s="21" t="s">
        <v>52</v>
      </c>
      <c r="W879" s="45">
        <v>45981.0</v>
      </c>
      <c r="X879" s="49">
        <v>0.6270833333333333</v>
      </c>
      <c r="Y879" s="45">
        <v>45981.0</v>
      </c>
      <c r="Z879" s="49">
        <v>0.7305555555555555</v>
      </c>
      <c r="AA879" s="49">
        <v>0.7361111111111112</v>
      </c>
      <c r="AB879" s="29"/>
      <c r="AC879" s="29"/>
      <c r="AD879" s="25">
        <v>0.8680555555555556</v>
      </c>
      <c r="AE879" s="45">
        <v>45981.0</v>
      </c>
      <c r="AF879" s="21" t="s">
        <v>3218</v>
      </c>
      <c r="AG879" s="21" t="s">
        <v>1475</v>
      </c>
      <c r="AH879" s="21" t="s">
        <v>3543</v>
      </c>
      <c r="AI879" s="62" t="str">
        <f>IFERROR(__xludf.DUMMYFUNCTION("IF(OR(W879="""",X879="""",AE879="""",AD879=""""),"""",
   TEXT(
     (
       (AE879+AD879 + IF(AE879+AD879 &lt; W879+X879,1,0)) - (W879+X879)
     )
     - IF(AND(AB879&lt;&gt;"""",AC879&lt;&gt;""""), 
          SUM(ARRAYFORMULA(SPLIT(AC879,"","") - SPLIT(AB879,"",""))"&amp;"), 
          0
       ),
     ""[hh]:mm""
   )
)
"),"05:47")</f>
        <v>05:47</v>
      </c>
      <c r="AJ879" s="27">
        <f t="shared" si="16"/>
        <v>0</v>
      </c>
      <c r="AK879" s="63" t="str">
        <f t="shared" si="17"/>
        <v>Pass</v>
      </c>
    </row>
    <row r="880">
      <c r="A880" s="45">
        <v>45981.0</v>
      </c>
      <c r="B880" s="49">
        <v>0.8006944444444445</v>
      </c>
      <c r="C880" s="45">
        <v>45981.0</v>
      </c>
      <c r="D880" s="49">
        <v>0.8076388888888889</v>
      </c>
      <c r="E880" s="21" t="s">
        <v>6757</v>
      </c>
      <c r="F880" s="21" t="s">
        <v>3633</v>
      </c>
      <c r="G880" s="21" t="s">
        <v>6758</v>
      </c>
      <c r="H880" s="21" t="s">
        <v>156</v>
      </c>
      <c r="I880" s="21" t="s">
        <v>131</v>
      </c>
      <c r="J880" s="21" t="s">
        <v>2253</v>
      </c>
      <c r="K880" s="21" t="s">
        <v>43</v>
      </c>
      <c r="L880" s="21" t="s">
        <v>2714</v>
      </c>
      <c r="M880" s="21" t="s">
        <v>6043</v>
      </c>
      <c r="N880" s="21" t="s">
        <v>6759</v>
      </c>
      <c r="O880" s="48" t="s">
        <v>6760</v>
      </c>
      <c r="P880" s="21" t="s">
        <v>75</v>
      </c>
      <c r="Q880" s="24" t="s">
        <v>65</v>
      </c>
      <c r="R880" s="21" t="s">
        <v>6761</v>
      </c>
      <c r="S880" s="21" t="s">
        <v>51</v>
      </c>
      <c r="T880" s="21" t="s">
        <v>52</v>
      </c>
      <c r="U880" s="21" t="s">
        <v>52</v>
      </c>
      <c r="V880" s="21" t="s">
        <v>52</v>
      </c>
      <c r="W880" s="45">
        <v>45982.0</v>
      </c>
      <c r="X880" s="49">
        <v>0.2916666666666667</v>
      </c>
      <c r="Y880" s="45">
        <v>45982.0</v>
      </c>
      <c r="Z880" s="49">
        <v>0.44513888888888886</v>
      </c>
      <c r="AA880" s="49">
        <v>0.4486111111111111</v>
      </c>
      <c r="AB880" s="29"/>
      <c r="AC880" s="29"/>
      <c r="AD880" s="25">
        <v>0.4583333333333333</v>
      </c>
      <c r="AE880" s="45">
        <v>45982.0</v>
      </c>
      <c r="AF880" s="21" t="s">
        <v>3229</v>
      </c>
      <c r="AG880" s="21" t="s">
        <v>113</v>
      </c>
      <c r="AH880" s="21" t="s">
        <v>1529</v>
      </c>
      <c r="AI880" s="62" t="str">
        <f>IFERROR(__xludf.DUMMYFUNCTION("IF(OR(W880="""",X880="""",AE880="""",AD880=""""),"""",
   TEXT(
     (
       (AE880+AD880 + IF(AE880+AD880 &lt; W880+X880,1,0)) - (W880+X880)
     )
     - IF(AND(AB880&lt;&gt;"""",AC880&lt;&gt;""""), 
          SUM(ARRAYFORMULA(SPLIT(AC880,"","") - SPLIT(AB880,"",""))"&amp;"), 
          0
       ),
     ""[hh]:mm""
   )
)
"),"04:00")</f>
        <v>04:00</v>
      </c>
      <c r="AJ880" s="27">
        <f t="shared" si="16"/>
        <v>0</v>
      </c>
      <c r="AK880" s="63" t="str">
        <f t="shared" si="17"/>
        <v>Pass</v>
      </c>
    </row>
    <row r="881">
      <c r="A881" s="45">
        <v>45981.0</v>
      </c>
      <c r="B881" s="49">
        <v>0.7444444444444445</v>
      </c>
      <c r="C881" s="45">
        <v>45981.0</v>
      </c>
      <c r="D881" s="49">
        <v>0.9020833333333333</v>
      </c>
      <c r="E881" s="21" t="s">
        <v>6762</v>
      </c>
      <c r="F881" s="21" t="s">
        <v>296</v>
      </c>
      <c r="G881" s="21" t="s">
        <v>6763</v>
      </c>
      <c r="H881" s="21" t="s">
        <v>5696</v>
      </c>
      <c r="I881" s="21" t="s">
        <v>95</v>
      </c>
      <c r="J881" s="21" t="s">
        <v>95</v>
      </c>
      <c r="K881" s="21" t="s">
        <v>386</v>
      </c>
      <c r="L881" s="21" t="s">
        <v>2478</v>
      </c>
      <c r="M881" s="21" t="s">
        <v>6764</v>
      </c>
      <c r="N881" s="21" t="s">
        <v>6765</v>
      </c>
      <c r="O881" s="48" t="s">
        <v>6766</v>
      </c>
      <c r="P881" s="21" t="s">
        <v>187</v>
      </c>
      <c r="Q881" s="24" t="s">
        <v>65</v>
      </c>
      <c r="R881" s="21" t="s">
        <v>6767</v>
      </c>
      <c r="S881" s="21" t="s">
        <v>51</v>
      </c>
      <c r="T881" s="21" t="s">
        <v>52</v>
      </c>
      <c r="U881" s="21" t="s">
        <v>52</v>
      </c>
      <c r="V881" s="21" t="s">
        <v>52</v>
      </c>
      <c r="W881" s="45">
        <v>45982.0</v>
      </c>
      <c r="X881" s="49">
        <v>0.25</v>
      </c>
      <c r="Y881" s="45">
        <v>45982.0</v>
      </c>
      <c r="Z881" s="49">
        <v>0.2048611111111111</v>
      </c>
      <c r="AA881" s="49">
        <v>0.21875</v>
      </c>
      <c r="AB881" s="29"/>
      <c r="AC881" s="29"/>
      <c r="AD881" s="25">
        <v>0.3819444444444444</v>
      </c>
      <c r="AE881" s="45">
        <v>45982.0</v>
      </c>
      <c r="AF881" s="21" t="s">
        <v>2730</v>
      </c>
      <c r="AG881" s="21" t="s">
        <v>583</v>
      </c>
      <c r="AH881" s="21" t="s">
        <v>6768</v>
      </c>
      <c r="AI881" s="62" t="str">
        <f>IFERROR(__xludf.DUMMYFUNCTION("IF(OR(W881="""",X881="""",AE881="""",AD881=""""),"""",
   TEXT(
     (
       (AE881+AD881 + IF(AE881+AD881 &lt; W881+X881,1,0)) - (W881+X881)
     )
     - IF(AND(AB881&lt;&gt;"""",AC881&lt;&gt;""""), 
          SUM(ARRAYFORMULA(SPLIT(AC881,"","") - SPLIT(AB881,"",""))"&amp;"), 
          0
       ),
     ""[hh]:mm""
   )
)
"),"03:10")</f>
        <v>03:10</v>
      </c>
      <c r="AJ881" s="27">
        <f t="shared" si="16"/>
        <v>0</v>
      </c>
      <c r="AK881" s="63" t="str">
        <f t="shared" si="17"/>
        <v>Pass</v>
      </c>
    </row>
    <row r="882">
      <c r="A882" s="45">
        <v>45982.0</v>
      </c>
      <c r="B882" s="49">
        <v>0.6125</v>
      </c>
      <c r="C882" s="45">
        <v>45982.0</v>
      </c>
      <c r="D882" s="49">
        <v>0.6125</v>
      </c>
      <c r="E882" s="21" t="s">
        <v>6769</v>
      </c>
      <c r="F882" s="21" t="s">
        <v>251</v>
      </c>
      <c r="G882" s="21" t="s">
        <v>1717</v>
      </c>
      <c r="H882" s="21" t="s">
        <v>4040</v>
      </c>
      <c r="I882" s="21" t="s">
        <v>1055</v>
      </c>
      <c r="J882" s="21" t="s">
        <v>1056</v>
      </c>
      <c r="K882" s="21" t="s">
        <v>635</v>
      </c>
      <c r="L882" s="21" t="s">
        <v>1585</v>
      </c>
      <c r="M882" s="21" t="s">
        <v>3386</v>
      </c>
      <c r="N882" s="21" t="s">
        <v>6770</v>
      </c>
      <c r="O882" s="48" t="s">
        <v>6771</v>
      </c>
      <c r="P882" s="21" t="s">
        <v>48</v>
      </c>
      <c r="Q882" s="24" t="s">
        <v>65</v>
      </c>
      <c r="R882" s="21" t="s">
        <v>6772</v>
      </c>
      <c r="S882" s="21" t="s">
        <v>51</v>
      </c>
      <c r="T882" s="21" t="s">
        <v>52</v>
      </c>
      <c r="U882" s="21" t="s">
        <v>52</v>
      </c>
      <c r="V882" s="21" t="s">
        <v>52</v>
      </c>
      <c r="W882" s="45">
        <v>45982.0</v>
      </c>
      <c r="X882" s="49">
        <v>0.6125</v>
      </c>
      <c r="Y882" s="45">
        <v>45982.0</v>
      </c>
      <c r="Z882" s="49">
        <v>0.6125</v>
      </c>
      <c r="AA882" s="49">
        <v>0.6145833333333334</v>
      </c>
      <c r="AB882" s="29"/>
      <c r="AC882" s="29"/>
      <c r="AD882" s="25">
        <v>0.6388888888888888</v>
      </c>
      <c r="AE882" s="45">
        <v>45982.0</v>
      </c>
      <c r="AF882" s="21" t="s">
        <v>3007</v>
      </c>
      <c r="AG882" s="21" t="s">
        <v>313</v>
      </c>
      <c r="AH882" s="21" t="s">
        <v>6773</v>
      </c>
      <c r="AI882" s="62" t="str">
        <f>IFERROR(__xludf.DUMMYFUNCTION("IF(OR(W882="""",X882="""",AE882="""",AD882=""""),"""",
   TEXT(
     (
       (AE882+AD882 + IF(AE882+AD882 &lt; W882+X882,1,0)) - (W882+X882)
     )
     - IF(AND(AB882&lt;&gt;"""",AC882&lt;&gt;""""), 
          SUM(ARRAYFORMULA(SPLIT(AC882,"","") - SPLIT(AB882,"",""))"&amp;"), 
          0
       ),
     ""[hh]:mm""
   )
)
"),"00:38")</f>
        <v>00:38</v>
      </c>
      <c r="AJ882" s="27">
        <f t="shared" si="16"/>
        <v>0</v>
      </c>
      <c r="AK882" s="63" t="str">
        <f t="shared" si="17"/>
        <v>Pass</v>
      </c>
    </row>
    <row r="883">
      <c r="A883" s="45">
        <v>45982.0</v>
      </c>
      <c r="B883" s="49">
        <v>0.7125</v>
      </c>
      <c r="C883" s="45">
        <v>45982.0</v>
      </c>
      <c r="D883" s="49">
        <v>0.7159722222222222</v>
      </c>
      <c r="E883" s="21" t="s">
        <v>6774</v>
      </c>
      <c r="F883" s="21" t="s">
        <v>3200</v>
      </c>
      <c r="G883" s="21" t="s">
        <v>6775</v>
      </c>
      <c r="H883" s="21" t="s">
        <v>156</v>
      </c>
      <c r="I883" s="21" t="s">
        <v>5406</v>
      </c>
      <c r="J883" s="21" t="s">
        <v>3806</v>
      </c>
      <c r="K883" s="21" t="s">
        <v>43</v>
      </c>
      <c r="L883" s="21" t="s">
        <v>6718</v>
      </c>
      <c r="M883" s="21" t="s">
        <v>6776</v>
      </c>
      <c r="N883" s="21" t="s">
        <v>6777</v>
      </c>
      <c r="O883" s="48" t="s">
        <v>6778</v>
      </c>
      <c r="P883" s="21" t="s">
        <v>75</v>
      </c>
      <c r="Q883" s="24" t="s">
        <v>65</v>
      </c>
      <c r="R883" s="21" t="s">
        <v>6779</v>
      </c>
      <c r="S883" s="21" t="s">
        <v>51</v>
      </c>
      <c r="T883" s="21" t="s">
        <v>52</v>
      </c>
      <c r="U883" s="21" t="s">
        <v>52</v>
      </c>
      <c r="V883" s="21" t="s">
        <v>52</v>
      </c>
      <c r="W883" s="45">
        <v>45982.0</v>
      </c>
      <c r="X883" s="49">
        <v>0.7159722222222222</v>
      </c>
      <c r="Y883" s="45">
        <v>45982.0</v>
      </c>
      <c r="Z883" s="49">
        <v>0.8034722222222223</v>
      </c>
      <c r="AA883" s="49">
        <v>0.8041666666666667</v>
      </c>
      <c r="AB883" s="29"/>
      <c r="AC883" s="29"/>
      <c r="AD883" s="25">
        <v>0.8541666666666666</v>
      </c>
      <c r="AE883" s="45">
        <v>45982.0</v>
      </c>
      <c r="AF883" s="21" t="s">
        <v>2744</v>
      </c>
      <c r="AG883" s="21" t="s">
        <v>1475</v>
      </c>
      <c r="AH883" s="21" t="s">
        <v>6780</v>
      </c>
      <c r="AI883" s="62" t="str">
        <f>IFERROR(__xludf.DUMMYFUNCTION("IF(OR(W883="""",X883="""",AE883="""",AD883=""""),"""",
   TEXT(
     (
       (AE883+AD883 + IF(AE883+AD883 &lt; W883+X883,1,0)) - (W883+X883)
     )
     - IF(AND(AB883&lt;&gt;"""",AC883&lt;&gt;""""), 
          SUM(ARRAYFORMULA(SPLIT(AC883,"","") - SPLIT(AB883,"",""))"&amp;"), 
          0
       ),
     ""[hh]:mm""
   )
)
"),"03:19")</f>
        <v>03:19</v>
      </c>
      <c r="AJ883" s="27">
        <f t="shared" si="16"/>
        <v>0</v>
      </c>
      <c r="AK883" s="63" t="str">
        <f t="shared" si="17"/>
        <v>Pass</v>
      </c>
    </row>
    <row r="884">
      <c r="A884" s="45">
        <v>45981.0</v>
      </c>
      <c r="B884" s="49">
        <v>0.6645833333333333</v>
      </c>
      <c r="C884" s="45">
        <v>45981.0</v>
      </c>
      <c r="D884" s="49">
        <v>0.6708333333333333</v>
      </c>
      <c r="E884" s="21" t="s">
        <v>6781</v>
      </c>
      <c r="F884" s="21" t="s">
        <v>4101</v>
      </c>
      <c r="G884" s="21" t="s">
        <v>4102</v>
      </c>
      <c r="H884" s="21" t="s">
        <v>1610</v>
      </c>
      <c r="I884" s="21" t="s">
        <v>1612</v>
      </c>
      <c r="J884" s="21" t="s">
        <v>1612</v>
      </c>
      <c r="K884" s="21" t="s">
        <v>143</v>
      </c>
      <c r="L884" s="21" t="s">
        <v>6782</v>
      </c>
      <c r="M884" s="21" t="s">
        <v>6783</v>
      </c>
      <c r="N884" s="21" t="s">
        <v>6784</v>
      </c>
      <c r="O884" s="48" t="s">
        <v>6785</v>
      </c>
      <c r="P884" s="21" t="s">
        <v>75</v>
      </c>
      <c r="Q884" s="24" t="s">
        <v>65</v>
      </c>
      <c r="R884" s="21" t="s">
        <v>6786</v>
      </c>
      <c r="S884" s="21" t="s">
        <v>51</v>
      </c>
      <c r="T884" s="21" t="s">
        <v>52</v>
      </c>
      <c r="U884" s="21" t="s">
        <v>52</v>
      </c>
      <c r="V884" s="21" t="s">
        <v>52</v>
      </c>
      <c r="W884" s="45">
        <v>45983.0</v>
      </c>
      <c r="X884" s="49">
        <v>0.36944444444444446</v>
      </c>
      <c r="Y884" s="45">
        <v>45983.0</v>
      </c>
      <c r="Z884" s="49">
        <v>0.4326388888888889</v>
      </c>
      <c r="AA884" s="49">
        <v>0.4375</v>
      </c>
      <c r="AB884" s="29"/>
      <c r="AC884" s="29"/>
      <c r="AD884" s="25">
        <v>0.625</v>
      </c>
      <c r="AE884" s="45">
        <v>45983.0</v>
      </c>
      <c r="AF884" s="21" t="s">
        <v>5952</v>
      </c>
      <c r="AG884" s="21" t="s">
        <v>6787</v>
      </c>
      <c r="AH884" s="21" t="s">
        <v>6788</v>
      </c>
      <c r="AI884" s="62" t="str">
        <f>IFERROR(__xludf.DUMMYFUNCTION("IF(OR(W884="""",X884="""",AE884="""",AD884=""""),"""",
   TEXT(
     (
       (AE884+AD884 + IF(AE884+AD884 &lt; W884+X884,1,0)) - (W884+X884)
     )
     - IF(AND(AB884&lt;&gt;"""",AC884&lt;&gt;""""), 
          SUM(ARRAYFORMULA(SPLIT(AC884,"","") - SPLIT(AB884,"",""))"&amp;"), 
          0
       ),
     ""[hh]:mm""
   )
)
"),"06:08")</f>
        <v>06:08</v>
      </c>
      <c r="AJ884" s="27">
        <f t="shared" si="16"/>
        <v>0</v>
      </c>
      <c r="AK884" s="63" t="str">
        <f t="shared" si="17"/>
        <v>Pass</v>
      </c>
    </row>
    <row r="885">
      <c r="A885" s="45">
        <v>45982.0</v>
      </c>
      <c r="B885" s="49">
        <v>0.5916666666666667</v>
      </c>
      <c r="C885" s="45">
        <v>45982.0</v>
      </c>
      <c r="D885" s="49">
        <v>0.6020833333333333</v>
      </c>
      <c r="E885" s="21" t="s">
        <v>6789</v>
      </c>
      <c r="F885" s="21" t="s">
        <v>6745</v>
      </c>
      <c r="G885" s="21" t="s">
        <v>6790</v>
      </c>
      <c r="H885" s="21" t="s">
        <v>1468</v>
      </c>
      <c r="I885" s="21" t="s">
        <v>856</v>
      </c>
      <c r="J885" s="21" t="s">
        <v>1084</v>
      </c>
      <c r="K885" s="21" t="s">
        <v>816</v>
      </c>
      <c r="L885" s="21" t="s">
        <v>6791</v>
      </c>
      <c r="M885" s="21" t="s">
        <v>4356</v>
      </c>
      <c r="N885" s="21" t="s">
        <v>6792</v>
      </c>
      <c r="O885" s="48" t="s">
        <v>6793</v>
      </c>
      <c r="P885" s="21" t="s">
        <v>48</v>
      </c>
      <c r="Q885" s="24" t="s">
        <v>449</v>
      </c>
      <c r="R885" s="21" t="s">
        <v>6794</v>
      </c>
      <c r="S885" s="21" t="s">
        <v>51</v>
      </c>
      <c r="T885" s="21" t="s">
        <v>935</v>
      </c>
      <c r="U885" s="21" t="s">
        <v>4356</v>
      </c>
      <c r="V885" s="21" t="s">
        <v>6795</v>
      </c>
      <c r="W885" s="45">
        <v>45983.0</v>
      </c>
      <c r="X885" s="49">
        <v>0.3486111111111111</v>
      </c>
      <c r="Y885" s="45">
        <v>45983.0</v>
      </c>
      <c r="Z885" s="49">
        <v>0.3472222222222222</v>
      </c>
      <c r="AA885" s="49">
        <v>0.3541666666666667</v>
      </c>
      <c r="AB885" s="29"/>
      <c r="AC885" s="29"/>
      <c r="AD885" s="25">
        <v>0.6979166666666666</v>
      </c>
      <c r="AE885" s="45">
        <v>45983.0</v>
      </c>
      <c r="AF885" s="21" t="s">
        <v>6542</v>
      </c>
      <c r="AG885" s="21" t="s">
        <v>583</v>
      </c>
      <c r="AH885" s="21" t="s">
        <v>6796</v>
      </c>
      <c r="AI885" s="62" t="str">
        <f>IFERROR(__xludf.DUMMYFUNCTION("IF(OR(W885="""",X885="""",AE885="""",AD885=""""),"""",
   TEXT(
     (
       (AE885+AD885 + IF(AE885+AD885 &lt; W885+X885,1,0)) - (W885+X885)
     )
     - IF(AND(AB885&lt;&gt;"""",AC885&lt;&gt;""""), 
          SUM(ARRAYFORMULA(SPLIT(AC885,"","") - SPLIT(AB885,"",""))"&amp;"), 
          0
       ),
     ""[hh]:mm""
   )
)
"),"08:23")</f>
        <v>08:23</v>
      </c>
      <c r="AJ885" s="27">
        <f t="shared" si="16"/>
        <v>0</v>
      </c>
      <c r="AK885" s="63" t="str">
        <f t="shared" si="17"/>
        <v>Pass</v>
      </c>
    </row>
    <row r="886">
      <c r="A886" s="45">
        <v>45982.0</v>
      </c>
      <c r="B886" s="49">
        <v>0.85</v>
      </c>
      <c r="C886" s="45">
        <v>45982.0</v>
      </c>
      <c r="D886" s="49">
        <v>0.8527777777777777</v>
      </c>
      <c r="E886" s="21" t="s">
        <v>6797</v>
      </c>
      <c r="F886" s="21" t="s">
        <v>3791</v>
      </c>
      <c r="G886" s="21" t="s">
        <v>3792</v>
      </c>
      <c r="H886" s="21" t="s">
        <v>1610</v>
      </c>
      <c r="I886" s="21" t="s">
        <v>1612</v>
      </c>
      <c r="J886" s="21" t="s">
        <v>1612</v>
      </c>
      <c r="K886" s="21" t="s">
        <v>143</v>
      </c>
      <c r="L886" s="21" t="s">
        <v>1613</v>
      </c>
      <c r="M886" s="21" t="s">
        <v>6798</v>
      </c>
      <c r="N886" s="21" t="s">
        <v>6799</v>
      </c>
      <c r="O886" s="48" t="s">
        <v>6800</v>
      </c>
      <c r="P886" s="21" t="s">
        <v>75</v>
      </c>
      <c r="Q886" s="24" t="s">
        <v>65</v>
      </c>
      <c r="R886" s="21" t="s">
        <v>6801</v>
      </c>
      <c r="S886" s="21" t="s">
        <v>51</v>
      </c>
      <c r="T886" s="21" t="s">
        <v>52</v>
      </c>
      <c r="U886" s="21" t="s">
        <v>52</v>
      </c>
      <c r="V886" s="21" t="s">
        <v>52</v>
      </c>
      <c r="W886" s="45">
        <v>45983.0</v>
      </c>
      <c r="X886" s="49">
        <v>0.3680555555555556</v>
      </c>
      <c r="Y886" s="45">
        <v>45983.0</v>
      </c>
      <c r="Z886" s="49">
        <v>0.4375</v>
      </c>
      <c r="AA886" s="49">
        <v>0.4409722222222222</v>
      </c>
      <c r="AB886" s="24" t="s">
        <v>6802</v>
      </c>
      <c r="AC886" s="24" t="s">
        <v>6803</v>
      </c>
      <c r="AD886" s="25">
        <v>0.6777777777777778</v>
      </c>
      <c r="AE886" s="45">
        <v>45983.0</v>
      </c>
      <c r="AF886" s="21" t="s">
        <v>2744</v>
      </c>
      <c r="AG886" s="21" t="s">
        <v>293</v>
      </c>
      <c r="AH886" s="21" t="s">
        <v>6804</v>
      </c>
      <c r="AI886" s="62" t="str">
        <f>IFERROR(__xludf.DUMMYFUNCTION("IF(OR(W886="""",X886="""",AE886="""",AD886=""""),"""",
   TEXT(
     (
       (AE886+AD886 + IF(AE886+AD886 &lt; W886+X886,1,0)) - (W886+X886)
     )
     - IF(AND(AB886&lt;&gt;"""",AC886&lt;&gt;""""), 
          SUM(ARRAYFORMULA(SPLIT(AC886,"","") - SPLIT(AB886,"",""))"&amp;"), 
          0
       ),
     ""[hh]:mm""
   )
)
"),"04:41")</f>
        <v>04:41</v>
      </c>
      <c r="AJ886" s="27">
        <f t="shared" si="16"/>
        <v>0</v>
      </c>
      <c r="AK886" s="63" t="str">
        <f t="shared" si="17"/>
        <v>Pass</v>
      </c>
    </row>
    <row r="887">
      <c r="A887" s="18">
        <v>45983.0</v>
      </c>
      <c r="B887" s="20">
        <v>0.3402777777777778</v>
      </c>
      <c r="C887" s="18">
        <v>45983.0</v>
      </c>
      <c r="D887" s="20">
        <v>0.36527777777777776</v>
      </c>
      <c r="E887" s="22" t="s">
        <v>6805</v>
      </c>
      <c r="F887" s="22" t="s">
        <v>6806</v>
      </c>
      <c r="G887" s="22" t="s">
        <v>6807</v>
      </c>
      <c r="H887" s="22" t="s">
        <v>1610</v>
      </c>
      <c r="I887" s="22" t="s">
        <v>1612</v>
      </c>
      <c r="J887" s="22" t="s">
        <v>1612</v>
      </c>
      <c r="K887" s="22" t="s">
        <v>143</v>
      </c>
      <c r="L887" s="22" t="s">
        <v>1613</v>
      </c>
      <c r="M887" s="22" t="s">
        <v>6808</v>
      </c>
      <c r="N887" s="22" t="s">
        <v>6809</v>
      </c>
      <c r="O887" s="23" t="s">
        <v>6810</v>
      </c>
      <c r="P887" s="22" t="s">
        <v>187</v>
      </c>
      <c r="Q887" s="50" t="s">
        <v>65</v>
      </c>
      <c r="R887" s="22" t="s">
        <v>6086</v>
      </c>
      <c r="S887" s="22" t="s">
        <v>51</v>
      </c>
      <c r="T887" s="22" t="s">
        <v>52</v>
      </c>
      <c r="U887" s="22" t="s">
        <v>52</v>
      </c>
      <c r="V887" s="22" t="s">
        <v>52</v>
      </c>
      <c r="W887" s="18">
        <v>45983.0</v>
      </c>
      <c r="X887" s="20">
        <v>0.36527777777777776</v>
      </c>
      <c r="Y887" s="18">
        <v>45983.0</v>
      </c>
      <c r="Z887" s="20">
        <v>0.40694444444444444</v>
      </c>
      <c r="AA887" s="20">
        <v>0.4083333333333333</v>
      </c>
      <c r="AB887" s="54"/>
      <c r="AC887" s="54"/>
      <c r="AD887" s="51">
        <v>0.5083333333333333</v>
      </c>
      <c r="AE887" s="18">
        <v>45983.0</v>
      </c>
      <c r="AF887" s="22" t="s">
        <v>2711</v>
      </c>
      <c r="AG887" s="22" t="s">
        <v>4384</v>
      </c>
      <c r="AH887" s="22" t="s">
        <v>6811</v>
      </c>
      <c r="AI887" s="62" t="str">
        <f>IFERROR(__xludf.DUMMYFUNCTION("IF(OR(W887="""",X887="""",AE887="""",AD887=""""),"""",
   TEXT(
     (
       (AE887+AD887 + IF(AE887+AD887 &lt; W887+X887,1,0)) - (W887+X887)
     )
     - IF(AND(AB887&lt;&gt;"""",AC887&lt;&gt;""""), 
          SUM(ARRAYFORMULA(SPLIT(AC887,"","") - SPLIT(AB887,"",""))"&amp;"), 
          0
       ),
     ""[hh]:mm""
   )
)
"),"03:26")</f>
        <v>03:26</v>
      </c>
      <c r="AJ887" s="27">
        <f t="shared" si="16"/>
        <v>0</v>
      </c>
      <c r="AK887" s="63" t="str">
        <f t="shared" si="17"/>
        <v>Pass</v>
      </c>
    </row>
    <row r="888">
      <c r="A888" s="45">
        <v>45983.0</v>
      </c>
      <c r="B888" s="49">
        <v>0.38263888888888886</v>
      </c>
      <c r="C888" s="45">
        <v>45983.0</v>
      </c>
      <c r="D888" s="49">
        <v>0.40069444444444446</v>
      </c>
      <c r="E888" s="21" t="s">
        <v>6812</v>
      </c>
      <c r="F888" s="21" t="s">
        <v>6813</v>
      </c>
      <c r="G888" s="21" t="s">
        <v>6814</v>
      </c>
      <c r="H888" s="21" t="s">
        <v>4070</v>
      </c>
      <c r="I888" s="21" t="s">
        <v>567</v>
      </c>
      <c r="J888" s="21" t="s">
        <v>567</v>
      </c>
      <c r="K888" s="21" t="s">
        <v>6815</v>
      </c>
      <c r="L888" s="21" t="s">
        <v>568</v>
      </c>
      <c r="M888" s="21" t="s">
        <v>6816</v>
      </c>
      <c r="N888" s="21" t="s">
        <v>4388</v>
      </c>
      <c r="O888" s="48" t="s">
        <v>6817</v>
      </c>
      <c r="P888" s="21" t="s">
        <v>48</v>
      </c>
      <c r="Q888" s="24" t="s">
        <v>65</v>
      </c>
      <c r="R888" s="21" t="s">
        <v>6818</v>
      </c>
      <c r="S888" s="21" t="s">
        <v>51</v>
      </c>
      <c r="T888" s="21" t="s">
        <v>52</v>
      </c>
      <c r="U888" s="21" t="s">
        <v>52</v>
      </c>
      <c r="V888" s="21" t="s">
        <v>52</v>
      </c>
      <c r="W888" s="45">
        <v>45983.0</v>
      </c>
      <c r="X888" s="49">
        <v>0.40069444444444446</v>
      </c>
      <c r="Y888" s="45">
        <v>45983.0</v>
      </c>
      <c r="Z888" s="49">
        <v>0.4826388888888889</v>
      </c>
      <c r="AA888" s="49">
        <v>0.4895833333333333</v>
      </c>
      <c r="AB888" s="92"/>
      <c r="AC888" s="92"/>
      <c r="AD888" s="25">
        <v>0.5347222222222222</v>
      </c>
      <c r="AE888" s="45">
        <v>45983.0</v>
      </c>
      <c r="AF888" s="21" t="s">
        <v>6542</v>
      </c>
      <c r="AG888" s="21" t="s">
        <v>78</v>
      </c>
      <c r="AH888" s="21" t="s">
        <v>6819</v>
      </c>
      <c r="AI888" s="62" t="str">
        <f>IFERROR(__xludf.DUMMYFUNCTION("IF(OR(W888="""",X888="""",AE888="""",AD888=""""),"""",
   TEXT(
     (
       (AE888+AD888 + IF(AE888+AD888 &lt; W888+X888,1,0)) - (W888+X888)
     )
     - IF(AND(AB888&lt;&gt;"""",AC888&lt;&gt;""""), 
          SUM(ARRAYFORMULA(SPLIT(AC888,"","") - SPLIT(AB888,"",""))"&amp;"), 
          0
       ),
     ""[hh]:mm""
   )
)
"),"03:13")</f>
        <v>03:13</v>
      </c>
      <c r="AJ888" s="27">
        <f t="shared" si="16"/>
        <v>0</v>
      </c>
      <c r="AK888" s="63" t="str">
        <f t="shared" si="17"/>
        <v>Pass</v>
      </c>
    </row>
    <row r="889">
      <c r="A889" s="45">
        <v>45983.0</v>
      </c>
      <c r="B889" s="49">
        <v>0.5270833333333333</v>
      </c>
      <c r="C889" s="45">
        <v>45983.0</v>
      </c>
      <c r="D889" s="49">
        <v>0.5472222222222223</v>
      </c>
      <c r="E889" s="21" t="s">
        <v>6820</v>
      </c>
      <c r="F889" s="21" t="s">
        <v>6821</v>
      </c>
      <c r="G889" s="21" t="s">
        <v>6822</v>
      </c>
      <c r="H889" s="21" t="s">
        <v>4070</v>
      </c>
      <c r="I889" s="21" t="s">
        <v>567</v>
      </c>
      <c r="J889" s="21" t="s">
        <v>567</v>
      </c>
      <c r="K889" s="21" t="s">
        <v>568</v>
      </c>
      <c r="L889" s="21" t="s">
        <v>568</v>
      </c>
      <c r="M889" s="21" t="s">
        <v>6823</v>
      </c>
      <c r="N889" s="21" t="s">
        <v>6824</v>
      </c>
      <c r="O889" s="48" t="s">
        <v>6825</v>
      </c>
      <c r="P889" s="21" t="s">
        <v>48</v>
      </c>
      <c r="Q889" s="24" t="s">
        <v>65</v>
      </c>
      <c r="R889" s="21" t="s">
        <v>6826</v>
      </c>
      <c r="S889" s="21" t="s">
        <v>51</v>
      </c>
      <c r="T889" s="21" t="s">
        <v>52</v>
      </c>
      <c r="U889" s="21" t="s">
        <v>52</v>
      </c>
      <c r="V889" s="21" t="s">
        <v>52</v>
      </c>
      <c r="W889" s="45">
        <v>45983.0</v>
      </c>
      <c r="X889" s="49">
        <v>0.5472222222222223</v>
      </c>
      <c r="Y889" s="45">
        <v>45983.0</v>
      </c>
      <c r="Z889" s="49">
        <v>0.6111111111111112</v>
      </c>
      <c r="AA889" s="49">
        <v>0.6125</v>
      </c>
      <c r="AB889" s="29"/>
      <c r="AC889" s="29"/>
      <c r="AD889" s="25">
        <v>0.6388888888888888</v>
      </c>
      <c r="AE889" s="45">
        <v>45983.0</v>
      </c>
      <c r="AF889" s="21" t="s">
        <v>3327</v>
      </c>
      <c r="AG889" s="21" t="s">
        <v>4384</v>
      </c>
      <c r="AH889" s="21" t="s">
        <v>6827</v>
      </c>
      <c r="AI889" s="62" t="str">
        <f>IFERROR(__xludf.DUMMYFUNCTION("IF(OR(W889="""",X889="""",AE889="""",AD889=""""),"""",
   TEXT(
     (
       (AE889+AD889 + IF(AE889+AD889 &lt; W889+X889,1,0)) - (W889+X889)
     )
     - IF(AND(AB889&lt;&gt;"""",AC889&lt;&gt;""""), 
          SUM(ARRAYFORMULA(SPLIT(AC889,"","") - SPLIT(AB889,"",""))"&amp;"), 
          0
       ),
     ""[hh]:mm""
   )
)
"),"02:12")</f>
        <v>02:12</v>
      </c>
      <c r="AJ889" s="27">
        <f t="shared" si="16"/>
        <v>0</v>
      </c>
      <c r="AK889" s="63" t="str">
        <f t="shared" si="17"/>
        <v>Pass</v>
      </c>
    </row>
    <row r="890">
      <c r="A890" s="45">
        <v>45983.0</v>
      </c>
      <c r="B890" s="49">
        <v>0.5326388888888889</v>
      </c>
      <c r="C890" s="45">
        <v>45983.0</v>
      </c>
      <c r="D890" s="49">
        <v>0.5423611111111111</v>
      </c>
      <c r="E890" s="21" t="s">
        <v>6828</v>
      </c>
      <c r="F890" s="21" t="s">
        <v>6829</v>
      </c>
      <c r="G890" s="21" t="s">
        <v>6830</v>
      </c>
      <c r="H890" s="21" t="s">
        <v>4070</v>
      </c>
      <c r="I890" s="21" t="s">
        <v>567</v>
      </c>
      <c r="J890" s="21" t="s">
        <v>567</v>
      </c>
      <c r="K890" s="21" t="s">
        <v>568</v>
      </c>
      <c r="L890" s="21" t="s">
        <v>568</v>
      </c>
      <c r="M890" s="21" t="s">
        <v>6831</v>
      </c>
      <c r="N890" s="21" t="s">
        <v>6832</v>
      </c>
      <c r="O890" s="48" t="s">
        <v>6833</v>
      </c>
      <c r="P890" s="21" t="s">
        <v>48</v>
      </c>
      <c r="Q890" s="24" t="s">
        <v>65</v>
      </c>
      <c r="R890" s="21" t="s">
        <v>6834</v>
      </c>
      <c r="S890" s="21" t="s">
        <v>51</v>
      </c>
      <c r="T890" s="21" t="s">
        <v>52</v>
      </c>
      <c r="U890" s="21" t="s">
        <v>52</v>
      </c>
      <c r="V890" s="21" t="s">
        <v>52</v>
      </c>
      <c r="W890" s="45">
        <v>45983.0</v>
      </c>
      <c r="X890" s="49">
        <v>0.5423611111111111</v>
      </c>
      <c r="Y890" s="45">
        <v>45983.0</v>
      </c>
      <c r="Z890" s="49">
        <v>0.6277777777777778</v>
      </c>
      <c r="AA890" s="49">
        <v>0.6319444444444444</v>
      </c>
      <c r="AB890" s="29"/>
      <c r="AC890" s="29"/>
      <c r="AD890" s="25">
        <v>0.6736111111111112</v>
      </c>
      <c r="AE890" s="45">
        <v>45983.0</v>
      </c>
      <c r="AF890" s="21" t="s">
        <v>3327</v>
      </c>
      <c r="AG890" s="21" t="s">
        <v>6108</v>
      </c>
      <c r="AH890" s="21" t="s">
        <v>6835</v>
      </c>
      <c r="AI890" s="62" t="str">
        <f>IFERROR(__xludf.DUMMYFUNCTION("IF(OR(W890="""",X890="""",AE890="""",AD890=""""),"""",
   TEXT(
     (
       (AE890+AD890 + IF(AE890+AD890 &lt; W890+X890,1,0)) - (W890+X890)
     )
     - IF(AND(AB890&lt;&gt;"""",AC890&lt;&gt;""""), 
          SUM(ARRAYFORMULA(SPLIT(AC890,"","") - SPLIT(AB890,"",""))"&amp;"), 
          0
       ),
     ""[hh]:mm""
   )
)
"),"03:09")</f>
        <v>03:09</v>
      </c>
      <c r="AJ890" s="27">
        <f t="shared" si="16"/>
        <v>0</v>
      </c>
      <c r="AK890" s="63" t="str">
        <f t="shared" si="17"/>
        <v>Pass</v>
      </c>
    </row>
    <row r="891">
      <c r="A891" s="45">
        <v>45983.0</v>
      </c>
      <c r="B891" s="49">
        <v>0.6513888888888889</v>
      </c>
      <c r="C891" s="45">
        <v>45983.0</v>
      </c>
      <c r="D891" s="49">
        <v>0.6618055555555555</v>
      </c>
      <c r="E891" s="21" t="s">
        <v>6836</v>
      </c>
      <c r="F891" s="21" t="s">
        <v>2257</v>
      </c>
      <c r="G891" s="22" t="s">
        <v>2258</v>
      </c>
      <c r="H891" s="21" t="s">
        <v>2337</v>
      </c>
      <c r="I891" s="21" t="s">
        <v>118</v>
      </c>
      <c r="J891" s="21" t="s">
        <v>4198</v>
      </c>
      <c r="K891" s="21" t="s">
        <v>72</v>
      </c>
      <c r="L891" s="21" t="s">
        <v>1815</v>
      </c>
      <c r="M891" s="21" t="s">
        <v>6837</v>
      </c>
      <c r="N891" s="21" t="s">
        <v>6838</v>
      </c>
      <c r="O891" s="48" t="s">
        <v>6839</v>
      </c>
      <c r="P891" s="21" t="s">
        <v>75</v>
      </c>
      <c r="Q891" s="24" t="s">
        <v>65</v>
      </c>
      <c r="R891" s="21" t="s">
        <v>6840</v>
      </c>
      <c r="S891" s="21" t="s">
        <v>51</v>
      </c>
      <c r="T891" s="21" t="s">
        <v>77</v>
      </c>
      <c r="U891" s="21" t="s">
        <v>6841</v>
      </c>
      <c r="V891" s="21" t="s">
        <v>6837</v>
      </c>
      <c r="W891" s="45">
        <v>45983.0</v>
      </c>
      <c r="X891" s="49">
        <v>0.6618055555555555</v>
      </c>
      <c r="Y891" s="45">
        <v>45983.0</v>
      </c>
      <c r="Z891" s="49">
        <v>0.7979166666666667</v>
      </c>
      <c r="AA891" s="49">
        <v>0.8013888888888889</v>
      </c>
      <c r="AB891" s="25">
        <v>0.8076388888888889</v>
      </c>
      <c r="AC891" s="25">
        <v>0.84375</v>
      </c>
      <c r="AD891" s="25">
        <v>0.8763888888888889</v>
      </c>
      <c r="AE891" s="45">
        <v>45983.0</v>
      </c>
      <c r="AF891" s="21" t="s">
        <v>6842</v>
      </c>
      <c r="AG891" s="21" t="s">
        <v>6843</v>
      </c>
      <c r="AH891" s="21" t="s">
        <v>313</v>
      </c>
      <c r="AI891" s="62" t="str">
        <f>IFERROR(__xludf.DUMMYFUNCTION("IF(OR(W891="""",X891="""",AE891="""",AD891=""""),"""",
   TEXT(
     (
       (AE891+AD891 + IF(AE891+AD891 &lt; W891+X891,1,0)) - (W891+X891)
     )
     - IF(AND(AB891&lt;&gt;"""",AC891&lt;&gt;""""), 
          SUM(ARRAYFORMULA(SPLIT(AC891,"","") - SPLIT(AB891,"",""))"&amp;"), 
          0
       ),
     ""[hh]:mm""
   )
)
"),"04:17")</f>
        <v>04:17</v>
      </c>
      <c r="AJ891" s="27">
        <f t="shared" si="16"/>
        <v>0</v>
      </c>
      <c r="AK891" s="63" t="str">
        <f t="shared" si="17"/>
        <v>Pass</v>
      </c>
    </row>
    <row r="892">
      <c r="A892" s="18">
        <v>45983.0</v>
      </c>
      <c r="B892" s="20">
        <v>0.7729166666666667</v>
      </c>
      <c r="C892" s="18">
        <v>45983.0</v>
      </c>
      <c r="D892" s="20">
        <v>0.7743055555555556</v>
      </c>
      <c r="E892" s="22" t="s">
        <v>6844</v>
      </c>
      <c r="F892" s="22" t="s">
        <v>3232</v>
      </c>
      <c r="G892" s="22" t="s">
        <v>3233</v>
      </c>
      <c r="H892" s="22" t="s">
        <v>1450</v>
      </c>
      <c r="I892" s="22" t="s">
        <v>1836</v>
      </c>
      <c r="J892" s="22" t="s">
        <v>3806</v>
      </c>
      <c r="K892" s="22" t="s">
        <v>43</v>
      </c>
      <c r="L892" s="22" t="s">
        <v>204</v>
      </c>
      <c r="M892" s="22" t="s">
        <v>6845</v>
      </c>
      <c r="N892" s="22" t="s">
        <v>6846</v>
      </c>
      <c r="O892" s="23" t="s">
        <v>6847</v>
      </c>
      <c r="P892" s="22" t="s">
        <v>75</v>
      </c>
      <c r="Q892" s="50" t="s">
        <v>65</v>
      </c>
      <c r="R892" s="22" t="s">
        <v>6848</v>
      </c>
      <c r="S892" s="22" t="s">
        <v>51</v>
      </c>
      <c r="T892" s="22" t="s">
        <v>52</v>
      </c>
      <c r="U892" s="22" t="s">
        <v>52</v>
      </c>
      <c r="V892" s="22" t="s">
        <v>52</v>
      </c>
      <c r="W892" s="18">
        <v>45983.0</v>
      </c>
      <c r="X892" s="20">
        <v>0.7743055555555556</v>
      </c>
      <c r="Y892" s="18">
        <v>45983.0</v>
      </c>
      <c r="Z892" s="20">
        <v>0.8291666666666667</v>
      </c>
      <c r="AA892" s="20">
        <v>0.8333333333333334</v>
      </c>
      <c r="AB892" s="51">
        <v>0.8715277777777778</v>
      </c>
      <c r="AC892" s="51">
        <v>0.8888888888888888</v>
      </c>
      <c r="AD892" s="51">
        <v>0.8958333333333334</v>
      </c>
      <c r="AE892" s="18">
        <v>45983.0</v>
      </c>
      <c r="AF892" s="22" t="s">
        <v>3327</v>
      </c>
      <c r="AG892" s="22" t="s">
        <v>6849</v>
      </c>
      <c r="AH892" s="22" t="s">
        <v>6850</v>
      </c>
      <c r="AI892" s="62" t="str">
        <f>IFERROR(__xludf.DUMMYFUNCTION("IF(OR(W892="""",X892="""",AE892="""",AD892=""""),"""",
   TEXT(
     (
       (AE892+AD892 + IF(AE892+AD892 &lt; W892+X892,1,0)) - (W892+X892)
     )
     - IF(AND(AB892&lt;&gt;"""",AC892&lt;&gt;""""), 
          SUM(ARRAYFORMULA(SPLIT(AC892,"","") - SPLIT(AB892,"",""))"&amp;"), 
          0
       ),
     ""[hh]:mm""
   )
)
"),"02:30")</f>
        <v>02:30</v>
      </c>
      <c r="AJ892" s="27">
        <f t="shared" si="16"/>
        <v>0</v>
      </c>
      <c r="AK892" s="63" t="str">
        <f t="shared" si="17"/>
        <v>Pass</v>
      </c>
    </row>
    <row r="893">
      <c r="A893" s="18">
        <v>45983.0</v>
      </c>
      <c r="B893" s="20">
        <v>0.8465277777777778</v>
      </c>
      <c r="C893" s="18">
        <v>45983.0</v>
      </c>
      <c r="D893" s="20">
        <v>0.85</v>
      </c>
      <c r="E893" s="22" t="s">
        <v>6851</v>
      </c>
      <c r="F893" s="22" t="s">
        <v>3707</v>
      </c>
      <c r="G893" s="22" t="s">
        <v>6852</v>
      </c>
      <c r="H893" s="22" t="s">
        <v>156</v>
      </c>
      <c r="I893" s="22" t="s">
        <v>616</v>
      </c>
      <c r="J893" s="22" t="s">
        <v>3806</v>
      </c>
      <c r="K893" s="22" t="s">
        <v>43</v>
      </c>
      <c r="L893" s="22" t="s">
        <v>6718</v>
      </c>
      <c r="M893" s="22" t="s">
        <v>6853</v>
      </c>
      <c r="N893" s="22" t="s">
        <v>6854</v>
      </c>
      <c r="O893" s="23" t="s">
        <v>6855</v>
      </c>
      <c r="P893" s="22" t="s">
        <v>75</v>
      </c>
      <c r="Q893" s="50" t="s">
        <v>65</v>
      </c>
      <c r="R893" s="22" t="s">
        <v>6856</v>
      </c>
      <c r="S893" s="22" t="s">
        <v>51</v>
      </c>
      <c r="T893" s="22" t="s">
        <v>52</v>
      </c>
      <c r="U893" s="22" t="s">
        <v>52</v>
      </c>
      <c r="V893" s="22" t="s">
        <v>52</v>
      </c>
      <c r="W893" s="18">
        <v>45983.0</v>
      </c>
      <c r="X893" s="20">
        <v>0.8625</v>
      </c>
      <c r="Y893" s="18">
        <v>45983.0</v>
      </c>
      <c r="Z893" s="20">
        <v>0.9298611111111111</v>
      </c>
      <c r="AA893" s="20">
        <v>0.9340277777777778</v>
      </c>
      <c r="AB893" s="54"/>
      <c r="AC893" s="54"/>
      <c r="AD893" s="51">
        <v>0.9479166666666666</v>
      </c>
      <c r="AE893" s="18">
        <v>45983.0</v>
      </c>
      <c r="AF893" s="22" t="s">
        <v>3327</v>
      </c>
      <c r="AG893" s="22" t="s">
        <v>5541</v>
      </c>
      <c r="AH893" s="22" t="s">
        <v>6857</v>
      </c>
      <c r="AI893" s="26" t="str">
        <f>IFERROR(__xludf.DUMMYFUNCTION("IF(OR(W893="""",X893="""",AE893="""",AD893=""""),"""",
   TEXT(
     (
       (AE893+AD893 + IF(AE893+AD893 &lt; W893+X893,1,0)) - (W893+X893)
     )
     - IF(AND(AB893&lt;&gt;"""",AC893&lt;&gt;""""), 
          SUM(ARRAYFORMULA(SPLIT(AC893,"","") - SPLIT(AB893,"",""))"&amp;"), 
          0
       ),
     ""[hh]:mm""
   )
)
"),"02:03")</f>
        <v>02:03</v>
      </c>
      <c r="AJ893" s="55">
        <f t="shared" si="16"/>
        <v>0</v>
      </c>
      <c r="AK893" s="28" t="str">
        <f t="shared" si="17"/>
        <v>Pass</v>
      </c>
    </row>
    <row r="894">
      <c r="A894" s="18">
        <v>45982.0</v>
      </c>
      <c r="B894" s="20">
        <v>0.33402777777777776</v>
      </c>
      <c r="C894" s="18">
        <v>45982.0</v>
      </c>
      <c r="D894" s="20">
        <v>0.3472222222222222</v>
      </c>
      <c r="E894" s="22" t="s">
        <v>6858</v>
      </c>
      <c r="F894" s="22" t="s">
        <v>2143</v>
      </c>
      <c r="G894" s="22" t="s">
        <v>6859</v>
      </c>
      <c r="H894" s="22" t="s">
        <v>1468</v>
      </c>
      <c r="I894" s="22" t="s">
        <v>856</v>
      </c>
      <c r="J894" s="22" t="s">
        <v>1084</v>
      </c>
      <c r="K894" s="22" t="s">
        <v>1470</v>
      </c>
      <c r="L894" s="22" t="s">
        <v>6860</v>
      </c>
      <c r="M894" s="22">
        <v>8.63803030156536E14</v>
      </c>
      <c r="N894" s="22" t="s">
        <v>6861</v>
      </c>
      <c r="O894" s="23" t="s">
        <v>6862</v>
      </c>
      <c r="P894" s="22" t="s">
        <v>48</v>
      </c>
      <c r="Q894" s="50" t="s">
        <v>198</v>
      </c>
      <c r="R894" s="22" t="s">
        <v>6863</v>
      </c>
      <c r="S894" s="22" t="s">
        <v>51</v>
      </c>
      <c r="T894" s="22" t="s">
        <v>52</v>
      </c>
      <c r="U894" s="22" t="s">
        <v>52</v>
      </c>
      <c r="V894" s="22" t="s">
        <v>52</v>
      </c>
      <c r="W894" s="18">
        <v>45983.0</v>
      </c>
      <c r="X894" s="20">
        <v>0.4166666666666667</v>
      </c>
      <c r="Y894" s="18">
        <v>45983.0</v>
      </c>
      <c r="Z894" s="20">
        <v>0.7486111111111111</v>
      </c>
      <c r="AA894" s="20">
        <v>0.7638888888888888</v>
      </c>
      <c r="AB894" s="54"/>
      <c r="AC894" s="54"/>
      <c r="AD894" s="51">
        <v>0.9444444444444444</v>
      </c>
      <c r="AE894" s="18">
        <v>45983.0</v>
      </c>
      <c r="AF894" s="22" t="s">
        <v>2730</v>
      </c>
      <c r="AG894" s="22" t="s">
        <v>583</v>
      </c>
      <c r="AH894" s="22" t="s">
        <v>6864</v>
      </c>
      <c r="AI894" s="62" t="str">
        <f>IFERROR(__xludf.DUMMYFUNCTION("IF(OR(W894="""",X894="""",AE894="""",AD894=""""),"""",
   TEXT(
     (
       (AE894+AD894 + IF(AE894+AD894 &lt; W894+X894,1,0)) - (W894+X894)
     )
     - IF(AND(AB894&lt;&gt;"""",AC894&lt;&gt;""""), 
          SUM(ARRAYFORMULA(SPLIT(AC894,"","") - SPLIT(AB894,"",""))"&amp;"), 
          0
       ),
     ""[hh]:mm""
   )
)
"),"12:40")</f>
        <v>12:40</v>
      </c>
      <c r="AJ894" s="27">
        <f t="shared" si="16"/>
        <v>0</v>
      </c>
      <c r="AK894" s="63" t="str">
        <f t="shared" si="17"/>
        <v>Pass</v>
      </c>
    </row>
    <row r="895">
      <c r="A895" s="45">
        <v>45982.0</v>
      </c>
      <c r="B895" s="49">
        <v>0.325</v>
      </c>
      <c r="C895" s="45">
        <v>45982.0</v>
      </c>
      <c r="D895" s="49">
        <v>0.3298611111111111</v>
      </c>
      <c r="E895" s="21" t="s">
        <v>6865</v>
      </c>
      <c r="F895" s="21" t="s">
        <v>296</v>
      </c>
      <c r="G895" s="21" t="s">
        <v>6763</v>
      </c>
      <c r="H895" s="21" t="s">
        <v>1468</v>
      </c>
      <c r="I895" s="21" t="s">
        <v>856</v>
      </c>
      <c r="J895" s="21" t="s">
        <v>1084</v>
      </c>
      <c r="K895" s="21" t="s">
        <v>6866</v>
      </c>
      <c r="L895" s="21" t="s">
        <v>4131</v>
      </c>
      <c r="M895" s="21">
        <v>8.615850416088E12</v>
      </c>
      <c r="N895" s="21" t="s">
        <v>6867</v>
      </c>
      <c r="O895" s="48" t="s">
        <v>6868</v>
      </c>
      <c r="P895" s="21" t="s">
        <v>48</v>
      </c>
      <c r="Q895" s="24" t="s">
        <v>449</v>
      </c>
      <c r="R895" s="21" t="s">
        <v>6869</v>
      </c>
      <c r="S895" s="21" t="s">
        <v>51</v>
      </c>
      <c r="T895" s="21" t="s">
        <v>52</v>
      </c>
      <c r="U895" s="21" t="s">
        <v>52</v>
      </c>
      <c r="V895" s="21" t="s">
        <v>52</v>
      </c>
      <c r="W895" s="45">
        <v>45984.0</v>
      </c>
      <c r="X895" s="49">
        <v>0.4166666666666667</v>
      </c>
      <c r="Y895" s="45">
        <v>45984.0</v>
      </c>
      <c r="Z895" s="49">
        <v>0.43333333333333335</v>
      </c>
      <c r="AA895" s="49">
        <v>0.4513888888888889</v>
      </c>
      <c r="AB895" s="29"/>
      <c r="AC895" s="29"/>
      <c r="AD895" s="25">
        <v>0.5972222222222222</v>
      </c>
      <c r="AE895" s="45">
        <v>45984.0</v>
      </c>
      <c r="AF895" s="21" t="s">
        <v>2730</v>
      </c>
      <c r="AG895" s="21" t="s">
        <v>3118</v>
      </c>
      <c r="AH895" s="21" t="s">
        <v>6870</v>
      </c>
      <c r="AI895" s="62" t="str">
        <f>IFERROR(__xludf.DUMMYFUNCTION("IF(OR(W895="""",X895="""",AE895="""",AD895=""""),"""",
   TEXT(
     (
       (AE895+AD895 + IF(AE895+AD895 &lt; W895+X895,1,0)) - (W895+X895)
     )
     - IF(AND(AB895&lt;&gt;"""",AC895&lt;&gt;""""), 
          SUM(ARRAYFORMULA(SPLIT(AC895,"","") - SPLIT(AB895,"",""))"&amp;"), 
          0
       ),
     ""[hh]:mm""
   )
)
"),"04:20")</f>
        <v>04:20</v>
      </c>
      <c r="AJ895" s="27">
        <f t="shared" si="16"/>
        <v>0</v>
      </c>
      <c r="AK895" s="63" t="str">
        <f t="shared" si="17"/>
        <v>Pass</v>
      </c>
    </row>
    <row r="896">
      <c r="A896" s="18">
        <v>45982.0</v>
      </c>
      <c r="B896" s="20">
        <v>0.3541666666666667</v>
      </c>
      <c r="C896" s="18">
        <v>45982.0</v>
      </c>
      <c r="D896" s="20">
        <v>0.35694444444444445</v>
      </c>
      <c r="E896" s="22" t="s">
        <v>6871</v>
      </c>
      <c r="F896" s="22" t="s">
        <v>3571</v>
      </c>
      <c r="G896" s="22" t="s">
        <v>3572</v>
      </c>
      <c r="H896" s="22" t="s">
        <v>1468</v>
      </c>
      <c r="I896" s="22" t="s">
        <v>856</v>
      </c>
      <c r="J896" s="22" t="s">
        <v>1084</v>
      </c>
      <c r="K896" s="22" t="s">
        <v>52</v>
      </c>
      <c r="L896" s="22" t="s">
        <v>52</v>
      </c>
      <c r="M896" s="22" t="s">
        <v>52</v>
      </c>
      <c r="N896" s="22" t="s">
        <v>6861</v>
      </c>
      <c r="O896" s="23" t="s">
        <v>6872</v>
      </c>
      <c r="P896" s="22" t="s">
        <v>48</v>
      </c>
      <c r="Q896" s="50" t="s">
        <v>198</v>
      </c>
      <c r="R896" s="22" t="s">
        <v>6873</v>
      </c>
      <c r="S896" s="22" t="s">
        <v>51</v>
      </c>
      <c r="T896" s="22" t="s">
        <v>52</v>
      </c>
      <c r="U896" s="22" t="s">
        <v>52</v>
      </c>
      <c r="V896" s="22" t="s">
        <v>52</v>
      </c>
      <c r="W896" s="18">
        <v>45984.0</v>
      </c>
      <c r="X896" s="20">
        <v>0.4166666666666667</v>
      </c>
      <c r="Y896" s="18">
        <v>45984.0</v>
      </c>
      <c r="Z896" s="20">
        <v>0.7180555555555556</v>
      </c>
      <c r="AA896" s="20">
        <v>0.7222222222222222</v>
      </c>
      <c r="AB896" s="54"/>
      <c r="AC896" s="54"/>
      <c r="AD896" s="51">
        <v>0.9652777777777778</v>
      </c>
      <c r="AE896" s="18">
        <v>45984.0</v>
      </c>
      <c r="AF896" s="22" t="s">
        <v>2730</v>
      </c>
      <c r="AG896" s="22" t="s">
        <v>3118</v>
      </c>
      <c r="AH896" s="22" t="s">
        <v>6874</v>
      </c>
      <c r="AI896" s="26" t="str">
        <f>IFERROR(__xludf.DUMMYFUNCTION("IF(OR(W896="""",X896="""",AE896="""",AD896=""""),"""",
   TEXT(
     (
       (AE896+AD896 + IF(AE896+AD896 &lt; W896+X896,1,0)) - (W896+X896)
     )
     - IF(AND(AB896&lt;&gt;"""",AC896&lt;&gt;""""), 
          SUM(ARRAYFORMULA(SPLIT(AC896,"","") - SPLIT(AB896,"",""))"&amp;"), 
          0
       ),
     ""[hh]:mm""
   )
)
"),"13:10")</f>
        <v>13:10</v>
      </c>
      <c r="AJ896" s="55">
        <f t="shared" si="16"/>
        <v>0</v>
      </c>
      <c r="AK896" s="28" t="str">
        <f t="shared" si="17"/>
        <v>Pass</v>
      </c>
    </row>
    <row r="897">
      <c r="A897" s="45">
        <v>45981.0</v>
      </c>
      <c r="B897" s="49">
        <v>0.8881944444444444</v>
      </c>
      <c r="C897" s="45">
        <v>45981.0</v>
      </c>
      <c r="D897" s="49">
        <v>0.8930555555555556</v>
      </c>
      <c r="E897" s="21" t="s">
        <v>6875</v>
      </c>
      <c r="F897" s="21" t="s">
        <v>969</v>
      </c>
      <c r="G897" s="21" t="s">
        <v>2323</v>
      </c>
      <c r="H897" s="21" t="s">
        <v>156</v>
      </c>
      <c r="I897" s="21" t="s">
        <v>2026</v>
      </c>
      <c r="J897" s="21" t="s">
        <v>3806</v>
      </c>
      <c r="K897" s="21" t="s">
        <v>43</v>
      </c>
      <c r="L897" s="21" t="s">
        <v>6718</v>
      </c>
      <c r="M897" s="21" t="s">
        <v>6876</v>
      </c>
      <c r="N897" s="21" t="s">
        <v>6877</v>
      </c>
      <c r="O897" s="48" t="s">
        <v>6878</v>
      </c>
      <c r="P897" s="21" t="s">
        <v>75</v>
      </c>
      <c r="Q897" s="24" t="s">
        <v>49</v>
      </c>
      <c r="R897" s="21" t="s">
        <v>6879</v>
      </c>
      <c r="S897" s="21" t="s">
        <v>51</v>
      </c>
      <c r="T897" s="21" t="s">
        <v>52</v>
      </c>
      <c r="U897" s="21" t="s">
        <v>52</v>
      </c>
      <c r="V897" s="21" t="s">
        <v>52</v>
      </c>
      <c r="W897" s="45">
        <v>45984.0</v>
      </c>
      <c r="X897" s="49">
        <v>0.3819444444444444</v>
      </c>
      <c r="Y897" s="45">
        <v>45984.0</v>
      </c>
      <c r="Z897" s="49">
        <v>0.46111111111111114</v>
      </c>
      <c r="AA897" s="49">
        <v>0.5534722222222223</v>
      </c>
      <c r="AB897" s="25">
        <v>0.46111111111111114</v>
      </c>
      <c r="AC897" s="25">
        <v>0.5534722222222223</v>
      </c>
      <c r="AD897" s="25">
        <v>0.5638888888888889</v>
      </c>
      <c r="AE897" s="45">
        <v>45984.0</v>
      </c>
      <c r="AF897" s="21" t="s">
        <v>3327</v>
      </c>
      <c r="AG897" s="21" t="s">
        <v>162</v>
      </c>
      <c r="AH897" s="21" t="s">
        <v>1741</v>
      </c>
      <c r="AI897" s="62" t="str">
        <f>IFERROR(__xludf.DUMMYFUNCTION("IF(OR(W897="""",X897="""",AE897="""",AD897=""""),"""",
   TEXT(
     (
       (AE897+AD897 + IF(AE897+AD897 &lt; W897+X897,1,0)) - (W897+X897)
     )
     - IF(AND(AB897&lt;&gt;"""",AC897&lt;&gt;""""), 
          SUM(ARRAYFORMULA(SPLIT(AC897,"","") - SPLIT(AB897,"",""))"&amp;"), 
          0
       ),
     ""[hh]:mm""
   )
)
"),"02:09")</f>
        <v>02:09</v>
      </c>
      <c r="AJ897" s="27">
        <f t="shared" si="16"/>
        <v>0</v>
      </c>
      <c r="AK897" s="63" t="str">
        <f t="shared" si="17"/>
        <v>Pass</v>
      </c>
    </row>
    <row r="898">
      <c r="A898" s="45">
        <v>45984.0</v>
      </c>
      <c r="B898" s="49">
        <v>0.04652777777777778</v>
      </c>
      <c r="C898" s="45">
        <v>45984.0</v>
      </c>
      <c r="D898" s="49">
        <v>0.37430555555555556</v>
      </c>
      <c r="E898" s="21" t="s">
        <v>6880</v>
      </c>
      <c r="F898" s="21" t="s">
        <v>6657</v>
      </c>
      <c r="G898" s="21" t="s">
        <v>6881</v>
      </c>
      <c r="H898" s="21" t="s">
        <v>855</v>
      </c>
      <c r="I898" s="21" t="s">
        <v>644</v>
      </c>
      <c r="J898" s="21" t="s">
        <v>644</v>
      </c>
      <c r="K898" s="21" t="s">
        <v>143</v>
      </c>
      <c r="L898" s="21" t="s">
        <v>606</v>
      </c>
      <c r="M898" s="21" t="s">
        <v>6882</v>
      </c>
      <c r="N898" s="21" t="s">
        <v>6883</v>
      </c>
      <c r="O898" s="48" t="s">
        <v>6884</v>
      </c>
      <c r="P898" s="21" t="s">
        <v>48</v>
      </c>
      <c r="Q898" s="24" t="s">
        <v>65</v>
      </c>
      <c r="R898" s="21" t="s">
        <v>6885</v>
      </c>
      <c r="S898" s="21" t="s">
        <v>51</v>
      </c>
      <c r="T898" s="21" t="s">
        <v>52</v>
      </c>
      <c r="U898" s="21" t="s">
        <v>52</v>
      </c>
      <c r="V898" s="21" t="s">
        <v>52</v>
      </c>
      <c r="W898" s="45">
        <v>45984.0</v>
      </c>
      <c r="X898" s="49">
        <v>0.37430555555555556</v>
      </c>
      <c r="Y898" s="45">
        <v>45984.0</v>
      </c>
      <c r="Z898" s="49">
        <v>0.5541666666666667</v>
      </c>
      <c r="AA898" s="49">
        <v>0.5555555555555556</v>
      </c>
      <c r="AB898" s="29"/>
      <c r="AC898" s="29"/>
      <c r="AD898" s="25">
        <v>0.5763888888888888</v>
      </c>
      <c r="AE898" s="45">
        <v>45984.0</v>
      </c>
      <c r="AF898" s="21" t="s">
        <v>3358</v>
      </c>
      <c r="AG898" s="21" t="s">
        <v>239</v>
      </c>
      <c r="AH898" s="21" t="s">
        <v>6886</v>
      </c>
      <c r="AI898" s="62" t="str">
        <f>IFERROR(__xludf.DUMMYFUNCTION("IF(OR(W898="""",X898="""",AE898="""",AD898=""""),"""",
   TEXT(
     (
       (AE898+AD898 + IF(AE898+AD898 &lt; W898+X898,1,0)) - (W898+X898)
     )
     - IF(AND(AB898&lt;&gt;"""",AC898&lt;&gt;""""), 
          SUM(ARRAYFORMULA(SPLIT(AC898,"","") - SPLIT(AB898,"",""))"&amp;"), 
          0
       ),
     ""[hh]:mm""
   )
)
"),"04:51")</f>
        <v>04:51</v>
      </c>
      <c r="AJ898" s="27">
        <f t="shared" si="16"/>
        <v>0</v>
      </c>
      <c r="AK898" s="63" t="str">
        <f t="shared" si="17"/>
        <v>Pass</v>
      </c>
    </row>
    <row r="899">
      <c r="A899" s="18">
        <v>45984.0</v>
      </c>
      <c r="B899" s="20">
        <v>0.7986111111111112</v>
      </c>
      <c r="C899" s="18">
        <v>45984.0</v>
      </c>
      <c r="D899" s="20">
        <v>0.8069444444444445</v>
      </c>
      <c r="E899" s="22" t="s">
        <v>6887</v>
      </c>
      <c r="F899" s="22" t="s">
        <v>661</v>
      </c>
      <c r="G899" s="22" t="s">
        <v>662</v>
      </c>
      <c r="H899" s="22" t="s">
        <v>2248</v>
      </c>
      <c r="I899" s="22" t="s">
        <v>2026</v>
      </c>
      <c r="J899" s="22" t="s">
        <v>3806</v>
      </c>
      <c r="K899" s="22" t="s">
        <v>43</v>
      </c>
      <c r="L899" s="22" t="s">
        <v>6888</v>
      </c>
      <c r="M899" s="22" t="s">
        <v>6889</v>
      </c>
      <c r="N899" s="22" t="s">
        <v>6890</v>
      </c>
      <c r="O899" s="23" t="s">
        <v>6891</v>
      </c>
      <c r="P899" s="22" t="s">
        <v>75</v>
      </c>
      <c r="Q899" s="50" t="s">
        <v>49</v>
      </c>
      <c r="R899" s="22" t="s">
        <v>6892</v>
      </c>
      <c r="S899" s="22" t="s">
        <v>51</v>
      </c>
      <c r="T899" s="22" t="s">
        <v>52</v>
      </c>
      <c r="U899" s="22" t="s">
        <v>52</v>
      </c>
      <c r="V899" s="22" t="s">
        <v>52</v>
      </c>
      <c r="W899" s="18">
        <v>45984.0</v>
      </c>
      <c r="X899" s="20">
        <v>0.8069444444444445</v>
      </c>
      <c r="Y899" s="18">
        <v>45984.0</v>
      </c>
      <c r="Z899" s="20">
        <v>0.8840277777777777</v>
      </c>
      <c r="AA899" s="20">
        <v>0.8854166666666666</v>
      </c>
      <c r="AB899" s="54"/>
      <c r="AC899" s="54"/>
      <c r="AD899" s="51">
        <v>0.8958333333333334</v>
      </c>
      <c r="AE899" s="18">
        <v>45984.0</v>
      </c>
      <c r="AF899" s="22" t="s">
        <v>2839</v>
      </c>
      <c r="AG899" s="22" t="s">
        <v>6893</v>
      </c>
      <c r="AH899" s="22" t="s">
        <v>6894</v>
      </c>
      <c r="AI899" s="26" t="str">
        <f>IFERROR(__xludf.DUMMYFUNCTION("IF(OR(W899="""",X899="""",AE899="""",AD899=""""),"""",
   TEXT(
     (
       (AE899+AD899 + IF(AE899+AD899 &lt; W899+X899,1,0)) - (W899+X899)
     )
     - IF(AND(AB899&lt;&gt;"""",AC899&lt;&gt;""""), 
          SUM(ARRAYFORMULA(SPLIT(AC899,"","") - SPLIT(AB899,"",""))"&amp;"), 
          0
       ),
     ""[hh]:mm""
   )
)
"),"02:08")</f>
        <v>02:08</v>
      </c>
      <c r="AJ899" s="55">
        <f t="shared" si="16"/>
        <v>0</v>
      </c>
      <c r="AK899" s="28" t="str">
        <f t="shared" si="17"/>
        <v>Pass</v>
      </c>
    </row>
    <row r="900">
      <c r="A900" s="45">
        <v>45980.0</v>
      </c>
      <c r="B900" s="49">
        <v>0.78125</v>
      </c>
      <c r="C900" s="45">
        <v>45980.0</v>
      </c>
      <c r="D900" s="93" t="s">
        <v>4905</v>
      </c>
      <c r="E900" s="21" t="s">
        <v>6895</v>
      </c>
      <c r="F900" s="21" t="s">
        <v>1545</v>
      </c>
      <c r="G900" s="21" t="s">
        <v>1546</v>
      </c>
      <c r="H900" s="21" t="s">
        <v>4908</v>
      </c>
      <c r="I900" s="21" t="s">
        <v>95</v>
      </c>
      <c r="J900" s="21" t="s">
        <v>95</v>
      </c>
      <c r="K900" s="21" t="s">
        <v>143</v>
      </c>
      <c r="L900" s="21" t="s">
        <v>606</v>
      </c>
      <c r="M900" s="21" t="s">
        <v>6896</v>
      </c>
      <c r="N900" s="21" t="s">
        <v>6897</v>
      </c>
      <c r="O900" s="48" t="s">
        <v>6898</v>
      </c>
      <c r="P900" s="21" t="s">
        <v>75</v>
      </c>
      <c r="Q900" s="24" t="s">
        <v>198</v>
      </c>
      <c r="R900" s="21" t="s">
        <v>6899</v>
      </c>
      <c r="S900" s="21" t="s">
        <v>51</v>
      </c>
      <c r="T900" s="21" t="s">
        <v>1849</v>
      </c>
      <c r="U900" s="21" t="s">
        <v>6900</v>
      </c>
      <c r="V900" s="21" t="s">
        <v>6901</v>
      </c>
      <c r="W900" s="45">
        <v>45985.0</v>
      </c>
      <c r="X900" s="49">
        <v>1.0</v>
      </c>
      <c r="Y900" s="45">
        <v>45985.0</v>
      </c>
      <c r="Z900" s="49">
        <v>1.0208333333333333</v>
      </c>
      <c r="AA900" s="49">
        <v>0.041666666666666664</v>
      </c>
      <c r="AB900" s="24" t="s">
        <v>6902</v>
      </c>
      <c r="AC900" s="24" t="s">
        <v>6903</v>
      </c>
      <c r="AD900" s="25">
        <v>0.2361111111111111</v>
      </c>
      <c r="AE900" s="45">
        <v>45985.0</v>
      </c>
      <c r="AF900" s="21" t="s">
        <v>2989</v>
      </c>
      <c r="AG900" s="21" t="s">
        <v>3191</v>
      </c>
      <c r="AH900" s="101"/>
      <c r="AI900" s="62" t="str">
        <f>IFERROR(__xludf.DUMMYFUNCTION("IF(OR(W900="""",X900="""",AE900="""",AD900=""""),"""",
   TEXT(
     (
       (AE900+AD900 + IF(AE900+AD900 &lt; W900+X900,1,0)) - (W900+X900)
     )
     - IF(AND(AB900&lt;&gt;"""",AC900&lt;&gt;""""), 
          SUM(ARRAYFORMULA(SPLIT(AC900,"","") - SPLIT(AB900,"",""))"&amp;"), 
          0
       ),
     ""[hh]:mm""
   )
)
"),"02:53")</f>
        <v>02:53</v>
      </c>
      <c r="AJ900" s="27">
        <f t="shared" si="16"/>
        <v>0</v>
      </c>
      <c r="AK900" s="63" t="str">
        <f t="shared" si="17"/>
        <v>Pass</v>
      </c>
    </row>
    <row r="901">
      <c r="A901" s="45">
        <v>45982.0</v>
      </c>
      <c r="B901" s="49">
        <v>0.8770833333333333</v>
      </c>
      <c r="C901" s="45">
        <v>45982.0</v>
      </c>
      <c r="D901" s="49">
        <v>0.8833333333333333</v>
      </c>
      <c r="E901" s="21" t="s">
        <v>6904</v>
      </c>
      <c r="F901" s="21" t="s">
        <v>2267</v>
      </c>
      <c r="G901" s="21" t="s">
        <v>6905</v>
      </c>
      <c r="H901" s="21" t="s">
        <v>566</v>
      </c>
      <c r="I901" s="21" t="s">
        <v>60</v>
      </c>
      <c r="J901" s="21" t="s">
        <v>3813</v>
      </c>
      <c r="K901" s="21" t="s">
        <v>61</v>
      </c>
      <c r="L901" s="21" t="s">
        <v>183</v>
      </c>
      <c r="M901" s="21" t="s">
        <v>6906</v>
      </c>
      <c r="N901" s="21" t="s">
        <v>6907</v>
      </c>
      <c r="O901" s="48" t="s">
        <v>6908</v>
      </c>
      <c r="P901" s="21" t="s">
        <v>48</v>
      </c>
      <c r="Q901" s="24" t="s">
        <v>65</v>
      </c>
      <c r="R901" s="21" t="s">
        <v>6909</v>
      </c>
      <c r="S901" s="21" t="s">
        <v>51</v>
      </c>
      <c r="T901" s="21" t="s">
        <v>1809</v>
      </c>
      <c r="U901" s="21" t="s">
        <v>52</v>
      </c>
      <c r="V901" s="21" t="s">
        <v>52</v>
      </c>
      <c r="W901" s="45">
        <v>45985.0</v>
      </c>
      <c r="X901" s="49">
        <v>0.375</v>
      </c>
      <c r="Y901" s="45">
        <v>45985.0</v>
      </c>
      <c r="Z901" s="49">
        <v>0.5243055555555556</v>
      </c>
      <c r="AA901" s="49">
        <v>0.5298611111111111</v>
      </c>
      <c r="AB901" s="29"/>
      <c r="AC901" s="29"/>
      <c r="AD901" s="25">
        <v>0.5576388888888889</v>
      </c>
      <c r="AE901" s="45">
        <v>45985.0</v>
      </c>
      <c r="AF901" s="21" t="s">
        <v>2839</v>
      </c>
      <c r="AG901" s="21" t="s">
        <v>162</v>
      </c>
      <c r="AH901" s="21" t="s">
        <v>6910</v>
      </c>
      <c r="AI901" s="62" t="str">
        <f>IFERROR(__xludf.DUMMYFUNCTION("IF(OR(W901="""",X901="""",AE901="""",AD901=""""),"""",
   TEXT(
     (
       (AE901+AD901 + IF(AE901+AD901 &lt; W901+X901,1,0)) - (W901+X901)
     )
     - IF(AND(AB901&lt;&gt;"""",AC901&lt;&gt;""""), 
          SUM(ARRAYFORMULA(SPLIT(AC901,"","") - SPLIT(AB901,"",""))"&amp;"), 
          0
       ),
     ""[hh]:mm""
   )
)
"),"04:23")</f>
        <v>04:23</v>
      </c>
      <c r="AJ901" s="27">
        <f t="shared" si="16"/>
        <v>0</v>
      </c>
      <c r="AK901" s="63" t="str">
        <f t="shared" si="17"/>
        <v>Pass</v>
      </c>
    </row>
    <row r="902">
      <c r="A902" s="45">
        <v>45985.0</v>
      </c>
      <c r="B902" s="49">
        <v>0.5201388888888889</v>
      </c>
      <c r="C902" s="45">
        <v>45985.0</v>
      </c>
      <c r="D902" s="49">
        <v>0.3020833333333333</v>
      </c>
      <c r="E902" s="21" t="s">
        <v>6911</v>
      </c>
      <c r="F902" s="21" t="s">
        <v>786</v>
      </c>
      <c r="G902" s="21" t="s">
        <v>787</v>
      </c>
      <c r="H902" s="21" t="s">
        <v>746</v>
      </c>
      <c r="I902" s="21" t="s">
        <v>1162</v>
      </c>
      <c r="J902" s="21" t="s">
        <v>2655</v>
      </c>
      <c r="K902" s="22" t="s">
        <v>43</v>
      </c>
      <c r="L902" s="22" t="s">
        <v>6912</v>
      </c>
      <c r="M902" s="21">
        <v>2.02203289164E11</v>
      </c>
      <c r="N902" s="21" t="s">
        <v>6913</v>
      </c>
      <c r="O902" s="48" t="s">
        <v>6914</v>
      </c>
      <c r="P902" s="21" t="s">
        <v>75</v>
      </c>
      <c r="Q902" s="24" t="s">
        <v>65</v>
      </c>
      <c r="R902" s="21" t="s">
        <v>1412</v>
      </c>
      <c r="S902" s="21" t="s">
        <v>51</v>
      </c>
      <c r="T902" s="21" t="s">
        <v>6915</v>
      </c>
      <c r="U902" s="21" t="s">
        <v>52</v>
      </c>
      <c r="V902" s="21" t="s">
        <v>52</v>
      </c>
      <c r="W902" s="45">
        <v>45985.0</v>
      </c>
      <c r="X902" s="49">
        <v>0.3020833333333333</v>
      </c>
      <c r="Y902" s="45">
        <v>45985.0</v>
      </c>
      <c r="Z902" s="49">
        <v>0.4444444444444444</v>
      </c>
      <c r="AA902" s="49">
        <v>0.4548611111111111</v>
      </c>
      <c r="AB902" s="25">
        <v>0.4444444444444444</v>
      </c>
      <c r="AC902" s="25">
        <v>0.4527777777777778</v>
      </c>
      <c r="AD902" s="25">
        <v>0.4722222222222222</v>
      </c>
      <c r="AE902" s="45">
        <v>45985.0</v>
      </c>
      <c r="AF902" s="21" t="s">
        <v>3358</v>
      </c>
      <c r="AG902" s="21" t="s">
        <v>775</v>
      </c>
      <c r="AH902" s="21" t="s">
        <v>6916</v>
      </c>
      <c r="AI902" s="62" t="str">
        <f>IFERROR(__xludf.DUMMYFUNCTION("IF(OR(W902="""",X902="""",AE902="""",AD902=""""),"""",
   TEXT(
     (
       (AE902+AD902 + IF(AE902+AD902 &lt; W902+X902,1,0)) - (W902+X902)
     )
     - IF(AND(AB902&lt;&gt;"""",AC902&lt;&gt;""""), 
          SUM(ARRAYFORMULA(SPLIT(AC902,"","") - SPLIT(AB902,"",""))"&amp;"), 
          0
       ),
     ""[hh]:mm""
   )
)
"),"03:53")</f>
        <v>03:53</v>
      </c>
      <c r="AJ902" s="27">
        <f t="shared" si="16"/>
        <v>0</v>
      </c>
      <c r="AK902" s="63" t="str">
        <f t="shared" si="17"/>
        <v>Pass</v>
      </c>
    </row>
    <row r="903">
      <c r="A903" s="45">
        <v>45985.0</v>
      </c>
      <c r="B903" s="49">
        <v>0.5340277777777778</v>
      </c>
      <c r="C903" s="45">
        <v>45985.0</v>
      </c>
      <c r="D903" s="49">
        <v>0.30486111111111114</v>
      </c>
      <c r="E903" s="21" t="s">
        <v>6917</v>
      </c>
      <c r="F903" s="21" t="s">
        <v>6918</v>
      </c>
      <c r="G903" s="21" t="s">
        <v>6919</v>
      </c>
      <c r="H903" s="21" t="s">
        <v>1610</v>
      </c>
      <c r="I903" s="21" t="s">
        <v>1612</v>
      </c>
      <c r="J903" s="21" t="s">
        <v>1612</v>
      </c>
      <c r="K903" s="21" t="s">
        <v>143</v>
      </c>
      <c r="L903" s="21" t="s">
        <v>5189</v>
      </c>
      <c r="M903" s="21" t="s">
        <v>6920</v>
      </c>
      <c r="N903" s="21" t="s">
        <v>6921</v>
      </c>
      <c r="O903" s="48" t="s">
        <v>6922</v>
      </c>
      <c r="P903" s="21" t="s">
        <v>187</v>
      </c>
      <c r="Q903" s="24" t="s">
        <v>65</v>
      </c>
      <c r="R903" s="21" t="s">
        <v>6923</v>
      </c>
      <c r="S903" s="21" t="s">
        <v>51</v>
      </c>
      <c r="T903" s="21" t="s">
        <v>52</v>
      </c>
      <c r="U903" s="21" t="s">
        <v>52</v>
      </c>
      <c r="V903" s="21" t="s">
        <v>52</v>
      </c>
      <c r="W903" s="45">
        <v>45985.0</v>
      </c>
      <c r="X903" s="49">
        <v>0.30486111111111114</v>
      </c>
      <c r="Y903" s="45">
        <v>45985.0</v>
      </c>
      <c r="Z903" s="49">
        <v>0.47152777777777777</v>
      </c>
      <c r="AA903" s="49">
        <v>0.4861111111111111</v>
      </c>
      <c r="AB903" s="25">
        <v>0.47152777777777777</v>
      </c>
      <c r="AC903" s="25">
        <v>0.4861111111111111</v>
      </c>
      <c r="AD903" s="25">
        <v>0.5763888888888888</v>
      </c>
      <c r="AE903" s="45">
        <v>45985.0</v>
      </c>
      <c r="AF903" s="21" t="s">
        <v>2711</v>
      </c>
      <c r="AG903" s="21" t="s">
        <v>2086</v>
      </c>
      <c r="AH903" s="21" t="s">
        <v>6924</v>
      </c>
      <c r="AI903" s="62" t="str">
        <f>IFERROR(__xludf.DUMMYFUNCTION("IF(OR(W903="""",X903="""",AE903="""",AD903=""""),"""",
   TEXT(
     (
       (AE903+AD903 + IF(AE903+AD903 &lt; W903+X903,1,0)) - (W903+X903)
     )
     - IF(AND(AB903&lt;&gt;"""",AC903&lt;&gt;""""), 
          SUM(ARRAYFORMULA(SPLIT(AC903,"","") - SPLIT(AB903,"",""))"&amp;"), 
          0
       ),
     ""[hh]:mm""
   )
)
"),"06:10")</f>
        <v>06:10</v>
      </c>
      <c r="AJ903" s="27">
        <f t="shared" si="16"/>
        <v>0</v>
      </c>
      <c r="AK903" s="63" t="str">
        <f t="shared" si="17"/>
        <v>Pass</v>
      </c>
    </row>
    <row r="904">
      <c r="A904" s="45">
        <v>45982.0</v>
      </c>
      <c r="B904" s="49">
        <v>0.2798611111111111</v>
      </c>
      <c r="C904" s="45">
        <v>45982.0</v>
      </c>
      <c r="D904" s="49">
        <v>0.32083333333333336</v>
      </c>
      <c r="E904" s="21" t="s">
        <v>6925</v>
      </c>
      <c r="F904" s="21" t="s">
        <v>1833</v>
      </c>
      <c r="G904" s="21" t="s">
        <v>1834</v>
      </c>
      <c r="H904" s="21" t="s">
        <v>156</v>
      </c>
      <c r="I904" s="21" t="s">
        <v>131</v>
      </c>
      <c r="J904" s="21" t="s">
        <v>4708</v>
      </c>
      <c r="K904" s="21" t="s">
        <v>61</v>
      </c>
      <c r="L904" s="21" t="s">
        <v>3624</v>
      </c>
      <c r="M904" s="21" t="s">
        <v>6926</v>
      </c>
      <c r="N904" s="21" t="s">
        <v>6927</v>
      </c>
      <c r="O904" s="48" t="s">
        <v>6928</v>
      </c>
      <c r="P904" s="21" t="s">
        <v>75</v>
      </c>
      <c r="Q904" s="24" t="s">
        <v>65</v>
      </c>
      <c r="R904" s="21" t="s">
        <v>6929</v>
      </c>
      <c r="S904" s="21" t="s">
        <v>51</v>
      </c>
      <c r="T904" s="21" t="s">
        <v>52</v>
      </c>
      <c r="U904" s="21" t="s">
        <v>52</v>
      </c>
      <c r="V904" s="21" t="s">
        <v>52</v>
      </c>
      <c r="W904" s="45">
        <v>45985.0</v>
      </c>
      <c r="X904" s="49">
        <v>0.4027777777777778</v>
      </c>
      <c r="Y904" s="45">
        <v>45985.0</v>
      </c>
      <c r="Z904" s="49">
        <v>0.5069444444444444</v>
      </c>
      <c r="AA904" s="49">
        <v>0.5083333333333333</v>
      </c>
      <c r="AB904" s="29"/>
      <c r="AC904" s="29"/>
      <c r="AD904" s="25">
        <v>0.5277777777777778</v>
      </c>
      <c r="AE904" s="45">
        <v>45985.0</v>
      </c>
      <c r="AF904" s="21" t="s">
        <v>2931</v>
      </c>
      <c r="AG904" s="21" t="s">
        <v>67</v>
      </c>
      <c r="AH904" s="21" t="s">
        <v>6930</v>
      </c>
      <c r="AI904" s="62" t="str">
        <f>IFERROR(__xludf.DUMMYFUNCTION("IF(OR(W904="""",X904="""",AE904="""",AD904=""""),"""",
   TEXT(
     (
       (AE904+AD904 + IF(AE904+AD904 &lt; W904+X904,1,0)) - (W904+X904)
     )
     - IF(AND(AB904&lt;&gt;"""",AC904&lt;&gt;""""), 
          SUM(ARRAYFORMULA(SPLIT(AC904,"","") - SPLIT(AB904,"",""))"&amp;"), 
          0
       ),
     ""[hh]:mm""
   )
)
"),"03:00")</f>
        <v>03:00</v>
      </c>
      <c r="AJ904" s="27">
        <f t="shared" si="16"/>
        <v>0</v>
      </c>
      <c r="AK904" s="63" t="str">
        <f t="shared" si="17"/>
        <v>Pass</v>
      </c>
    </row>
    <row r="905">
      <c r="A905" s="18">
        <v>45985.0</v>
      </c>
      <c r="B905" s="20">
        <v>0.45</v>
      </c>
      <c r="C905" s="18">
        <v>45985.0</v>
      </c>
      <c r="D905" s="20">
        <v>0.46597222222222223</v>
      </c>
      <c r="E905" s="22" t="s">
        <v>6931</v>
      </c>
      <c r="F905" s="22" t="s">
        <v>426</v>
      </c>
      <c r="G905" s="22" t="s">
        <v>5322</v>
      </c>
      <c r="H905" s="22" t="s">
        <v>1287</v>
      </c>
      <c r="I905" s="22" t="s">
        <v>616</v>
      </c>
      <c r="J905" s="22" t="s">
        <v>2253</v>
      </c>
      <c r="K905" s="22" t="s">
        <v>43</v>
      </c>
      <c r="L905" s="22" t="s">
        <v>1171</v>
      </c>
      <c r="M905" s="22" t="s">
        <v>6932</v>
      </c>
      <c r="N905" s="22" t="s">
        <v>6933</v>
      </c>
      <c r="O905" s="23" t="s">
        <v>6934</v>
      </c>
      <c r="P905" s="22" t="s">
        <v>75</v>
      </c>
      <c r="Q905" s="50" t="s">
        <v>65</v>
      </c>
      <c r="R905" s="22" t="s">
        <v>6935</v>
      </c>
      <c r="S905" s="22" t="s">
        <v>51</v>
      </c>
      <c r="T905" s="22" t="s">
        <v>52</v>
      </c>
      <c r="U905" s="22" t="s">
        <v>52</v>
      </c>
      <c r="V905" s="22" t="s">
        <v>52</v>
      </c>
      <c r="W905" s="18">
        <v>45985.0</v>
      </c>
      <c r="X905" s="20">
        <v>0.46597222222222223</v>
      </c>
      <c r="Y905" s="18">
        <v>45985.0</v>
      </c>
      <c r="Z905" s="20">
        <v>0.5972222222222222</v>
      </c>
      <c r="AA905" s="20">
        <v>0.6006944444444444</v>
      </c>
      <c r="AB905" s="54"/>
      <c r="AC905" s="54"/>
      <c r="AD905" s="51">
        <v>0.6180555555555556</v>
      </c>
      <c r="AE905" s="18">
        <v>45985.0</v>
      </c>
      <c r="AF905" s="22" t="s">
        <v>53</v>
      </c>
      <c r="AG905" s="22" t="s">
        <v>3191</v>
      </c>
      <c r="AH905" s="22" t="s">
        <v>6936</v>
      </c>
      <c r="AI905" s="26" t="str">
        <f>IFERROR(__xludf.DUMMYFUNCTION("IF(OR(W905="""",X905="""",AE905="""",AD905=""""),"""",
   TEXT(
     (
       (AE905+AD905 + IF(AE905+AD905 &lt; W905+X905,1,0)) - (W905+X905)
     )
     - IF(AND(AB905&lt;&gt;"""",AC905&lt;&gt;""""), 
          SUM(ARRAYFORMULA(SPLIT(AC905,"","") - SPLIT(AB905,"",""))"&amp;"), 
          0
       ),
     ""[hh]:mm""
   )
)
"),"03:39")</f>
        <v>03:39</v>
      </c>
      <c r="AJ905" s="55">
        <f t="shared" si="16"/>
        <v>0</v>
      </c>
      <c r="AK905" s="28" t="str">
        <f t="shared" si="17"/>
        <v>Pass</v>
      </c>
    </row>
    <row r="906">
      <c r="A906" s="18">
        <v>45985.0</v>
      </c>
      <c r="B906" s="20">
        <v>0.5173611111111112</v>
      </c>
      <c r="C906" s="18">
        <v>45985.0</v>
      </c>
      <c r="D906" s="20">
        <v>0.5194444444444445</v>
      </c>
      <c r="E906" s="22" t="s">
        <v>6937</v>
      </c>
      <c r="F906" s="22" t="s">
        <v>6938</v>
      </c>
      <c r="G906" s="22" t="s">
        <v>6939</v>
      </c>
      <c r="H906" s="22" t="s">
        <v>130</v>
      </c>
      <c r="I906" s="22" t="s">
        <v>234</v>
      </c>
      <c r="J906" s="22" t="s">
        <v>3813</v>
      </c>
      <c r="K906" s="22" t="s">
        <v>61</v>
      </c>
      <c r="L906" s="22" t="s">
        <v>183</v>
      </c>
      <c r="M906" s="22" t="s">
        <v>6940</v>
      </c>
      <c r="N906" s="22" t="s">
        <v>6941</v>
      </c>
      <c r="O906" s="23" t="s">
        <v>6942</v>
      </c>
      <c r="P906" s="22" t="s">
        <v>75</v>
      </c>
      <c r="Q906" s="50" t="s">
        <v>65</v>
      </c>
      <c r="R906" s="22" t="s">
        <v>6943</v>
      </c>
      <c r="S906" s="22" t="s">
        <v>51</v>
      </c>
      <c r="T906" s="22" t="s">
        <v>52</v>
      </c>
      <c r="U906" s="22" t="s">
        <v>52</v>
      </c>
      <c r="V906" s="22" t="s">
        <v>52</v>
      </c>
      <c r="W906" s="18">
        <v>45985.0</v>
      </c>
      <c r="X906" s="20">
        <v>0.5194444444444445</v>
      </c>
      <c r="Y906" s="18">
        <v>45985.0</v>
      </c>
      <c r="Z906" s="20">
        <v>0.6305555555555555</v>
      </c>
      <c r="AA906" s="20">
        <v>0.6333333333333333</v>
      </c>
      <c r="AB906" s="54"/>
      <c r="AC906" s="54"/>
      <c r="AD906" s="51">
        <v>0.7444444444444445</v>
      </c>
      <c r="AE906" s="18">
        <v>45985.0</v>
      </c>
      <c r="AF906" s="22" t="s">
        <v>6944</v>
      </c>
      <c r="AG906" s="22" t="s">
        <v>6108</v>
      </c>
      <c r="AH906" s="22" t="s">
        <v>6945</v>
      </c>
      <c r="AI906" s="26" t="str">
        <f>IFERROR(__xludf.DUMMYFUNCTION("IF(OR(W906="""",X906="""",AE906="""",AD906=""""),"""",
   TEXT(
     (
       (AE906+AD906 + IF(AE906+AD906 &lt; W906+X906,1,0)) - (W906+X906)
     )
     - IF(AND(AB906&lt;&gt;"""",AC906&lt;&gt;""""), 
          SUM(ARRAYFORMULA(SPLIT(AC906,"","") - SPLIT(AB906,"",""))"&amp;"), 
          0
       ),
     ""[hh]:mm""
   )
)
"),"05:24")</f>
        <v>05:24</v>
      </c>
      <c r="AJ906" s="55">
        <f t="shared" si="16"/>
        <v>0</v>
      </c>
      <c r="AK906" s="28" t="str">
        <f t="shared" si="17"/>
        <v>Pass</v>
      </c>
    </row>
    <row r="907">
      <c r="A907" s="18">
        <v>45985.0</v>
      </c>
      <c r="B907" s="20">
        <v>0.5604166666666667</v>
      </c>
      <c r="C907" s="18">
        <v>45985.0</v>
      </c>
      <c r="D907" s="20">
        <v>0.5555555555555556</v>
      </c>
      <c r="E907" s="22" t="s">
        <v>6946</v>
      </c>
      <c r="F907" s="22" t="s">
        <v>212</v>
      </c>
      <c r="G907" s="22" t="s">
        <v>6947</v>
      </c>
      <c r="H907" s="22" t="s">
        <v>6948</v>
      </c>
      <c r="I907" s="22" t="s">
        <v>234</v>
      </c>
      <c r="J907" s="22" t="s">
        <v>3813</v>
      </c>
      <c r="K907" s="22" t="s">
        <v>61</v>
      </c>
      <c r="L907" s="22" t="s">
        <v>6949</v>
      </c>
      <c r="M907" s="22" t="s">
        <v>6950</v>
      </c>
      <c r="N907" s="22" t="s">
        <v>6951</v>
      </c>
      <c r="O907" s="23" t="s">
        <v>6952</v>
      </c>
      <c r="P907" s="22" t="s">
        <v>75</v>
      </c>
      <c r="Q907" s="50" t="s">
        <v>65</v>
      </c>
      <c r="R907" s="22" t="s">
        <v>6953</v>
      </c>
      <c r="S907" s="22" t="s">
        <v>51</v>
      </c>
      <c r="T907" s="22" t="s">
        <v>52</v>
      </c>
      <c r="U907" s="22" t="s">
        <v>52</v>
      </c>
      <c r="V907" s="22" t="s">
        <v>52</v>
      </c>
      <c r="W907" s="18">
        <v>45985.0</v>
      </c>
      <c r="X907" s="20">
        <v>0.5680555555555555</v>
      </c>
      <c r="Y907" s="18">
        <v>45985.0</v>
      </c>
      <c r="Z907" s="20">
        <v>0.5798611111111112</v>
      </c>
      <c r="AA907" s="20">
        <v>0.6159722222222223</v>
      </c>
      <c r="AB907" s="54"/>
      <c r="AC907" s="54"/>
      <c r="AD907" s="51">
        <v>0.6347222222222222</v>
      </c>
      <c r="AE907" s="18">
        <v>45985.0</v>
      </c>
      <c r="AF907" s="22" t="s">
        <v>2711</v>
      </c>
      <c r="AG907" s="22" t="s">
        <v>162</v>
      </c>
      <c r="AH907" s="22" t="s">
        <v>2344</v>
      </c>
      <c r="AI907" s="26" t="str">
        <f>IFERROR(__xludf.DUMMYFUNCTION("IF(OR(W907="""",X907="""",AE907="""",AD907=""""),"""",
   TEXT(
     (
       (AE907+AD907 + IF(AE907+AD907 &lt; W907+X907,1,0)) - (W907+X907)
     )
     - IF(AND(AB907&lt;&gt;"""",AC907&lt;&gt;""""), 
          SUM(ARRAYFORMULA(SPLIT(AC907,"","") - SPLIT(AB907,"",""))"&amp;"), 
          0
       ),
     ""[hh]:mm""
   )
)
"),"01:36")</f>
        <v>01:36</v>
      </c>
      <c r="AJ907" s="55">
        <f t="shared" si="16"/>
        <v>0</v>
      </c>
      <c r="AK907" s="28" t="str">
        <f t="shared" si="17"/>
        <v>Pass</v>
      </c>
    </row>
    <row r="908">
      <c r="A908" s="45">
        <v>45985.0</v>
      </c>
      <c r="B908" s="49">
        <v>0.6909722222222222</v>
      </c>
      <c r="C908" s="45">
        <v>45985.0</v>
      </c>
      <c r="D908" s="49">
        <v>0.6979166666666666</v>
      </c>
      <c r="E908" s="21" t="s">
        <v>6954</v>
      </c>
      <c r="F908" s="21" t="s">
        <v>6955</v>
      </c>
      <c r="G908" s="21" t="s">
        <v>6956</v>
      </c>
      <c r="H908" s="21" t="s">
        <v>142</v>
      </c>
      <c r="I908" s="21" t="s">
        <v>951</v>
      </c>
      <c r="J908" s="21" t="s">
        <v>95</v>
      </c>
      <c r="K908" s="21" t="s">
        <v>143</v>
      </c>
      <c r="L908" s="21" t="s">
        <v>606</v>
      </c>
      <c r="M908" s="21" t="s">
        <v>6957</v>
      </c>
      <c r="N908" s="21" t="s">
        <v>6958</v>
      </c>
      <c r="O908" s="48" t="s">
        <v>6959</v>
      </c>
      <c r="P908" s="21" t="s">
        <v>48</v>
      </c>
      <c r="Q908" s="24" t="s">
        <v>49</v>
      </c>
      <c r="R908" s="21" t="s">
        <v>6960</v>
      </c>
      <c r="S908" s="21" t="s">
        <v>51</v>
      </c>
      <c r="T908" s="21" t="s">
        <v>52</v>
      </c>
      <c r="U908" s="21" t="s">
        <v>52</v>
      </c>
      <c r="V908" s="21" t="s">
        <v>52</v>
      </c>
      <c r="W908" s="45">
        <v>45985.0</v>
      </c>
      <c r="X908" s="49">
        <v>0.8625</v>
      </c>
      <c r="Y908" s="45">
        <v>45985.0</v>
      </c>
      <c r="Z908" s="49">
        <v>0.8625</v>
      </c>
      <c r="AA908" s="49">
        <v>0.8638888888888889</v>
      </c>
      <c r="AB908" s="25">
        <v>0.875</v>
      </c>
      <c r="AC908" s="25">
        <v>0.8958333333333334</v>
      </c>
      <c r="AD908" s="25">
        <v>0.9166666666666666</v>
      </c>
      <c r="AE908" s="45">
        <v>45985.0</v>
      </c>
      <c r="AF908" s="21" t="s">
        <v>2828</v>
      </c>
      <c r="AG908" s="21" t="s">
        <v>4014</v>
      </c>
      <c r="AH908" s="21" t="s">
        <v>6961</v>
      </c>
      <c r="AI908" s="62" t="str">
        <f>IFERROR(__xludf.DUMMYFUNCTION("IF(OR(W908="""",X908="""",AE908="""",AD908=""""),"""",
   TEXT(
     (
       (AE908+AD908 + IF(AE908+AD908 &lt; W908+X908,1,0)) - (W908+X908)
     )
     - IF(AND(AB908&lt;&gt;"""",AC908&lt;&gt;""""), 
          SUM(ARRAYFORMULA(SPLIT(AC908,"","") - SPLIT(AB908,"",""))"&amp;"), 
          0
       ),
     ""[hh]:mm""
   )
)
"),"00:48")</f>
        <v>00:48</v>
      </c>
      <c r="AJ908" s="27">
        <f t="shared" si="16"/>
        <v>0</v>
      </c>
      <c r="AK908" s="63" t="str">
        <f t="shared" si="17"/>
        <v>Pass</v>
      </c>
    </row>
    <row r="909">
      <c r="A909" s="45">
        <v>45985.0</v>
      </c>
      <c r="B909" s="49">
        <v>0.7270833333333333</v>
      </c>
      <c r="C909" s="45">
        <v>45985.0</v>
      </c>
      <c r="D909" s="49">
        <v>0.7388888888888889</v>
      </c>
      <c r="E909" s="21" t="s">
        <v>6962</v>
      </c>
      <c r="F909" s="21" t="s">
        <v>2921</v>
      </c>
      <c r="G909" s="21" t="s">
        <v>6082</v>
      </c>
      <c r="H909" s="21" t="s">
        <v>142</v>
      </c>
      <c r="I909" s="21" t="s">
        <v>951</v>
      </c>
      <c r="J909" s="21" t="s">
        <v>95</v>
      </c>
      <c r="K909" s="21" t="s">
        <v>143</v>
      </c>
      <c r="L909" s="21" t="s">
        <v>606</v>
      </c>
      <c r="M909" s="21" t="s">
        <v>6963</v>
      </c>
      <c r="N909" s="21" t="s">
        <v>6964</v>
      </c>
      <c r="O909" s="48" t="s">
        <v>6965</v>
      </c>
      <c r="P909" s="21" t="s">
        <v>48</v>
      </c>
      <c r="Q909" s="24" t="s">
        <v>49</v>
      </c>
      <c r="R909" s="21" t="s">
        <v>6966</v>
      </c>
      <c r="S909" s="21" t="s">
        <v>51</v>
      </c>
      <c r="T909" s="21" t="s">
        <v>52</v>
      </c>
      <c r="U909" s="21" t="s">
        <v>52</v>
      </c>
      <c r="V909" s="21" t="s">
        <v>52</v>
      </c>
      <c r="W909" s="45">
        <v>45985.0</v>
      </c>
      <c r="X909" s="49">
        <v>0.7388888888888889</v>
      </c>
      <c r="Y909" s="45">
        <v>45985.0</v>
      </c>
      <c r="Z909" s="49">
        <v>0.8659722222222223</v>
      </c>
      <c r="AA909" s="49">
        <v>0.8888888888888888</v>
      </c>
      <c r="AB909" s="25">
        <v>0.8666666666666667</v>
      </c>
      <c r="AC909" s="25">
        <v>0.9236111111111112</v>
      </c>
      <c r="AD909" s="25">
        <v>0.9166666666666666</v>
      </c>
      <c r="AE909" s="45">
        <v>45985.0</v>
      </c>
      <c r="AF909" s="21" t="s">
        <v>2828</v>
      </c>
      <c r="AG909" s="21" t="s">
        <v>1475</v>
      </c>
      <c r="AH909" s="21" t="s">
        <v>6967</v>
      </c>
      <c r="AI909" s="62" t="str">
        <f>IFERROR(__xludf.DUMMYFUNCTION("IF(OR(W909="""",X909="""",AE909="""",AD909=""""),"""",
   TEXT(
     (
       (AE909+AD909 + IF(AE909+AD909 &lt; W909+X909,1,0)) - (W909+X909)
     )
     - IF(AND(AB909&lt;&gt;"""",AC909&lt;&gt;""""), 
          SUM(ARRAYFORMULA(SPLIT(AC909,"","") - SPLIT(AB909,"",""))"&amp;"), 
          0
       ),
     ""[hh]:mm""
   )
)
"),"02:54")</f>
        <v>02:54</v>
      </c>
      <c r="AJ909" s="27">
        <f t="shared" si="16"/>
        <v>0</v>
      </c>
      <c r="AK909" s="63" t="str">
        <f t="shared" si="17"/>
        <v>Pass</v>
      </c>
    </row>
    <row r="910">
      <c r="A910" s="45">
        <v>45985.0</v>
      </c>
      <c r="B910" s="49">
        <v>0.9909722222222223</v>
      </c>
      <c r="C910" s="45">
        <v>45986.0</v>
      </c>
      <c r="D910" s="49">
        <v>0.29097222222222224</v>
      </c>
      <c r="E910" s="21" t="s">
        <v>6968</v>
      </c>
      <c r="F910" s="21" t="s">
        <v>3831</v>
      </c>
      <c r="G910" s="21" t="s">
        <v>3832</v>
      </c>
      <c r="H910" s="21" t="s">
        <v>746</v>
      </c>
      <c r="I910" s="21" t="s">
        <v>2651</v>
      </c>
      <c r="J910" s="21" t="s">
        <v>2655</v>
      </c>
      <c r="K910" s="21" t="s">
        <v>43</v>
      </c>
      <c r="L910" s="21" t="s">
        <v>6969</v>
      </c>
      <c r="M910" s="21" t="s">
        <v>6970</v>
      </c>
      <c r="N910" s="21" t="s">
        <v>6971</v>
      </c>
      <c r="O910" s="48" t="s">
        <v>6972</v>
      </c>
      <c r="P910" s="21" t="s">
        <v>75</v>
      </c>
      <c r="Q910" s="24" t="s">
        <v>49</v>
      </c>
      <c r="R910" s="21" t="s">
        <v>6973</v>
      </c>
      <c r="S910" s="21" t="s">
        <v>51</v>
      </c>
      <c r="T910" s="21" t="s">
        <v>52</v>
      </c>
      <c r="U910" s="21" t="s">
        <v>52</v>
      </c>
      <c r="V910" s="21" t="s">
        <v>52</v>
      </c>
      <c r="W910" s="45">
        <v>45986.0</v>
      </c>
      <c r="X910" s="49">
        <v>0.3423611111111111</v>
      </c>
      <c r="Y910" s="45">
        <v>45986.0</v>
      </c>
      <c r="Z910" s="49">
        <v>0.45416666666666666</v>
      </c>
      <c r="AA910" s="49">
        <v>0.4548611111111111</v>
      </c>
      <c r="AB910" s="25">
        <v>0.5</v>
      </c>
      <c r="AC910" s="25">
        <v>0.5416666666666666</v>
      </c>
      <c r="AD910" s="25">
        <v>0.5416666666666666</v>
      </c>
      <c r="AE910" s="45">
        <v>45986.0</v>
      </c>
      <c r="AF910" s="21" t="s">
        <v>2931</v>
      </c>
      <c r="AG910" s="21" t="s">
        <v>775</v>
      </c>
      <c r="AH910" s="21" t="s">
        <v>6974</v>
      </c>
      <c r="AI910" s="62" t="str">
        <f>IFERROR(__xludf.DUMMYFUNCTION("IF(OR(W910="""",X910="""",AE910="""",AD910=""""),"""",
   TEXT(
     (
       (AE910+AD910 + IF(AE910+AD910 &lt; W910+X910,1,0)) - (W910+X910)
     )
     - IF(AND(AB910&lt;&gt;"""",AC910&lt;&gt;""""), 
          SUM(ARRAYFORMULA(SPLIT(AC910,"","") - SPLIT(AB910,"",""))"&amp;"), 
          0
       ),
     ""[hh]:mm""
   )
)
"),"03:47")</f>
        <v>03:47</v>
      </c>
      <c r="AJ910" s="27">
        <f t="shared" si="16"/>
        <v>0</v>
      </c>
      <c r="AK910" s="63" t="str">
        <f t="shared" si="17"/>
        <v>Pass</v>
      </c>
    </row>
    <row r="911">
      <c r="A911" s="45">
        <v>45986.0</v>
      </c>
      <c r="B911" s="49">
        <v>1.0118055555555556</v>
      </c>
      <c r="C911" s="45">
        <v>45986.0</v>
      </c>
      <c r="D911" s="49">
        <v>0.29791666666666666</v>
      </c>
      <c r="E911" s="21" t="s">
        <v>6975</v>
      </c>
      <c r="F911" s="21" t="s">
        <v>2547</v>
      </c>
      <c r="G911" s="21" t="s">
        <v>2548</v>
      </c>
      <c r="H911" s="21" t="s">
        <v>4070</v>
      </c>
      <c r="I911" s="21" t="s">
        <v>567</v>
      </c>
      <c r="J911" s="21" t="s">
        <v>567</v>
      </c>
      <c r="K911" s="21" t="s">
        <v>568</v>
      </c>
      <c r="L911" s="21" t="s">
        <v>568</v>
      </c>
      <c r="M911" s="21" t="s">
        <v>4387</v>
      </c>
      <c r="N911" s="21" t="s">
        <v>6976</v>
      </c>
      <c r="O911" s="48" t="s">
        <v>6977</v>
      </c>
      <c r="P911" s="21" t="s">
        <v>48</v>
      </c>
      <c r="Q911" s="24" t="s">
        <v>65</v>
      </c>
      <c r="R911" s="21" t="s">
        <v>6978</v>
      </c>
      <c r="S911" s="21" t="s">
        <v>51</v>
      </c>
      <c r="T911" s="21" t="s">
        <v>52</v>
      </c>
      <c r="U911" s="21" t="s">
        <v>52</v>
      </c>
      <c r="V911" s="21" t="s">
        <v>52</v>
      </c>
      <c r="W911" s="45">
        <v>45986.0</v>
      </c>
      <c r="X911" s="49">
        <v>0.29791666666666666</v>
      </c>
      <c r="Y911" s="45">
        <v>45986.0</v>
      </c>
      <c r="Z911" s="49">
        <v>0.3972222222222222</v>
      </c>
      <c r="AA911" s="49">
        <v>0.3993055555555556</v>
      </c>
      <c r="AB911" s="29"/>
      <c r="AC911" s="29"/>
      <c r="AD911" s="25">
        <v>0.44722222222222224</v>
      </c>
      <c r="AE911" s="45">
        <v>45986.0</v>
      </c>
      <c r="AF911" s="21" t="s">
        <v>2711</v>
      </c>
      <c r="AG911" s="21" t="s">
        <v>6893</v>
      </c>
      <c r="AH911" s="21" t="s">
        <v>6979</v>
      </c>
      <c r="AI911" s="62" t="str">
        <f>IFERROR(__xludf.DUMMYFUNCTION("IF(OR(W911="""",X911="""",AE911="""",AD911=""""),"""",
   TEXT(
     (
       (AE911+AD911 + IF(AE911+AD911 &lt; W911+X911,1,0)) - (W911+X911)
     )
     - IF(AND(AB911&lt;&gt;"""",AC911&lt;&gt;""""), 
          SUM(ARRAYFORMULA(SPLIT(AC911,"","") - SPLIT(AB911,"",""))"&amp;"), 
          0
       ),
     ""[hh]:mm""
   )
)
"),"03:35")</f>
        <v>03:35</v>
      </c>
      <c r="AJ911" s="27">
        <f t="shared" si="16"/>
        <v>0</v>
      </c>
      <c r="AK911" s="63" t="str">
        <f t="shared" si="17"/>
        <v>Pass</v>
      </c>
    </row>
    <row r="912">
      <c r="A912" s="18">
        <v>45986.0</v>
      </c>
      <c r="B912" s="20">
        <v>1.0284722222222222</v>
      </c>
      <c r="C912" s="18">
        <v>45986.0</v>
      </c>
      <c r="D912" s="20">
        <v>0.3013888888888889</v>
      </c>
      <c r="E912" s="22" t="s">
        <v>6980</v>
      </c>
      <c r="F912" s="22" t="s">
        <v>2831</v>
      </c>
      <c r="G912" s="22" t="s">
        <v>2832</v>
      </c>
      <c r="H912" s="22" t="s">
        <v>156</v>
      </c>
      <c r="I912" s="22" t="s">
        <v>131</v>
      </c>
      <c r="J912" s="22" t="s">
        <v>3806</v>
      </c>
      <c r="K912" s="22" t="s">
        <v>52</v>
      </c>
      <c r="L912" s="22" t="s">
        <v>52</v>
      </c>
      <c r="M912" s="22" t="s">
        <v>52</v>
      </c>
      <c r="N912" s="22" t="s">
        <v>6981</v>
      </c>
      <c r="O912" s="23" t="s">
        <v>6982</v>
      </c>
      <c r="P912" s="22" t="s">
        <v>75</v>
      </c>
      <c r="Q912" s="50" t="s">
        <v>65</v>
      </c>
      <c r="R912" s="22" t="s">
        <v>6983</v>
      </c>
      <c r="S912" s="22" t="s">
        <v>51</v>
      </c>
      <c r="T912" s="21" t="s">
        <v>52</v>
      </c>
      <c r="U912" s="21" t="s">
        <v>52</v>
      </c>
      <c r="V912" s="21" t="s">
        <v>52</v>
      </c>
      <c r="W912" s="18">
        <v>45986.0</v>
      </c>
      <c r="X912" s="20">
        <v>0.3909722222222222</v>
      </c>
      <c r="Y912" s="45">
        <v>45986.0</v>
      </c>
      <c r="Z912" s="20">
        <v>0.4666666666666667</v>
      </c>
      <c r="AA912" s="20">
        <v>0.4861111111111111</v>
      </c>
      <c r="AB912" s="54"/>
      <c r="AC912" s="54"/>
      <c r="AD912" s="51">
        <v>0.5277777777777778</v>
      </c>
      <c r="AE912" s="45">
        <v>45986.0</v>
      </c>
      <c r="AF912" s="22" t="s">
        <v>2931</v>
      </c>
      <c r="AG912" s="22" t="s">
        <v>2086</v>
      </c>
      <c r="AH912" s="22" t="s">
        <v>6984</v>
      </c>
      <c r="AI912" s="26" t="str">
        <f>IFERROR(__xludf.DUMMYFUNCTION("IF(OR(W912="""",X912="""",AE912="""",AD912=""""),"""",
   TEXT(
     (
       (AE912+AD912 + IF(AE912+AD912 &lt; W912+X912,1,0)) - (W912+X912)
     )
     - IF(AND(AB912&lt;&gt;"""",AC912&lt;&gt;""""), 
          SUM(ARRAYFORMULA(SPLIT(AC912,"","") - SPLIT(AB912,"",""))"&amp;"), 
          0
       ),
     ""[hh]:mm""
   )
)
"),"03:17")</f>
        <v>03:17</v>
      </c>
      <c r="AJ912" s="55">
        <f t="shared" si="16"/>
        <v>0</v>
      </c>
      <c r="AK912" s="28" t="str">
        <f t="shared" si="17"/>
        <v>Pass</v>
      </c>
    </row>
    <row r="913">
      <c r="A913" s="45">
        <v>45986.0</v>
      </c>
      <c r="B913" s="49">
        <v>0.07013888888888889</v>
      </c>
      <c r="C913" s="45">
        <v>45986.0</v>
      </c>
      <c r="D913" s="49">
        <v>0.3125</v>
      </c>
      <c r="E913" s="21" t="s">
        <v>6985</v>
      </c>
      <c r="F913" s="21" t="s">
        <v>6433</v>
      </c>
      <c r="G913" s="21" t="s">
        <v>6434</v>
      </c>
      <c r="H913" s="21" t="s">
        <v>377</v>
      </c>
      <c r="I913" s="21" t="s">
        <v>60</v>
      </c>
      <c r="J913" s="21" t="s">
        <v>3813</v>
      </c>
      <c r="K913" s="21" t="s">
        <v>61</v>
      </c>
      <c r="L913" s="21" t="s">
        <v>183</v>
      </c>
      <c r="M913" s="21" t="s">
        <v>6435</v>
      </c>
      <c r="N913" s="21" t="s">
        <v>6986</v>
      </c>
      <c r="O913" s="48" t="s">
        <v>6987</v>
      </c>
      <c r="P913" s="21" t="s">
        <v>75</v>
      </c>
      <c r="Q913" s="24" t="s">
        <v>65</v>
      </c>
      <c r="R913" s="21" t="s">
        <v>6988</v>
      </c>
      <c r="S913" s="21" t="s">
        <v>51</v>
      </c>
      <c r="T913" s="21" t="s">
        <v>52</v>
      </c>
      <c r="U913" s="21" t="s">
        <v>52</v>
      </c>
      <c r="V913" s="21" t="s">
        <v>52</v>
      </c>
      <c r="W913" s="45">
        <v>45986.0</v>
      </c>
      <c r="X913" s="49">
        <v>0.3125</v>
      </c>
      <c r="Y913" s="45">
        <v>45986.0</v>
      </c>
      <c r="Z913" s="49">
        <v>0.4048611111111111</v>
      </c>
      <c r="AA913" s="49">
        <v>0.4166666666666667</v>
      </c>
      <c r="AB913" s="29"/>
      <c r="AC913" s="29"/>
      <c r="AD913" s="25">
        <v>0.5243055555555556</v>
      </c>
      <c r="AE913" s="45">
        <v>45986.0</v>
      </c>
      <c r="AF913" s="21" t="s">
        <v>2931</v>
      </c>
      <c r="AG913" s="21" t="s">
        <v>583</v>
      </c>
      <c r="AH913" s="21" t="s">
        <v>6989</v>
      </c>
      <c r="AI913" s="62" t="str">
        <f>IFERROR(__xludf.DUMMYFUNCTION("IF(OR(W913="""",X913="""",AE913="""",AD913=""""),"""",
   TEXT(
     (
       (AE913+AD913 + IF(AE913+AD913 &lt; W913+X913,1,0)) - (W913+X913)
     )
     - IF(AND(AB913&lt;&gt;"""",AC913&lt;&gt;""""), 
          SUM(ARRAYFORMULA(SPLIT(AC913,"","") - SPLIT(AB913,"",""))"&amp;"), 
          0
       ),
     ""[hh]:mm""
   )
)
"),"05:05")</f>
        <v>05:05</v>
      </c>
      <c r="AJ913" s="27">
        <f t="shared" si="16"/>
        <v>0</v>
      </c>
      <c r="AK913" s="63" t="str">
        <f t="shared" si="17"/>
        <v>Pass</v>
      </c>
    </row>
    <row r="914">
      <c r="A914" s="18">
        <v>45986.0</v>
      </c>
      <c r="B914" s="20">
        <v>0.36041666666666666</v>
      </c>
      <c r="C914" s="18">
        <v>45986.0</v>
      </c>
      <c r="D914" s="20">
        <v>0.3611111111111111</v>
      </c>
      <c r="E914" s="22" t="s">
        <v>6990</v>
      </c>
      <c r="F914" s="22" t="s">
        <v>661</v>
      </c>
      <c r="G914" s="22" t="s">
        <v>662</v>
      </c>
      <c r="H914" s="22" t="s">
        <v>377</v>
      </c>
      <c r="I914" s="22" t="s">
        <v>107</v>
      </c>
      <c r="J914" s="22" t="s">
        <v>3806</v>
      </c>
      <c r="K914" s="22" t="s">
        <v>43</v>
      </c>
      <c r="L914" s="22" t="s">
        <v>43</v>
      </c>
      <c r="M914" s="22" t="s">
        <v>6991</v>
      </c>
      <c r="N914" s="22" t="s">
        <v>6992</v>
      </c>
      <c r="O914" s="23" t="s">
        <v>6993</v>
      </c>
      <c r="P914" s="22" t="s">
        <v>75</v>
      </c>
      <c r="Q914" s="50" t="s">
        <v>49</v>
      </c>
      <c r="R914" s="22" t="s">
        <v>6994</v>
      </c>
      <c r="S914" s="22" t="s">
        <v>51</v>
      </c>
      <c r="T914" s="22" t="s">
        <v>52</v>
      </c>
      <c r="U914" s="22" t="s">
        <v>52</v>
      </c>
      <c r="V914" s="22" t="s">
        <v>52</v>
      </c>
      <c r="W914" s="18">
        <v>45986.0</v>
      </c>
      <c r="X914" s="20">
        <v>0.47152777777777777</v>
      </c>
      <c r="Y914" s="18">
        <v>45986.0</v>
      </c>
      <c r="Z914" s="20">
        <v>0.49027777777777776</v>
      </c>
      <c r="AA914" s="20">
        <v>0.4930555555555556</v>
      </c>
      <c r="AB914" s="54"/>
      <c r="AC914" s="54"/>
      <c r="AD914" s="51">
        <v>0.5993055555555555</v>
      </c>
      <c r="AE914" s="18">
        <v>45986.0</v>
      </c>
      <c r="AF914" s="22" t="s">
        <v>6995</v>
      </c>
      <c r="AG914" s="22" t="s">
        <v>6787</v>
      </c>
      <c r="AH914" s="22" t="s">
        <v>6894</v>
      </c>
      <c r="AI914" s="62" t="str">
        <f>IFERROR(__xludf.DUMMYFUNCTION("IF(OR(W914="""",X914="""",AE914="""",AD914=""""),"""",
   TEXT(
     (
       (AE914+AD914 + IF(AE914+AD914 &lt; W914+X914,1,0)) - (W914+X914)
     )
     - IF(AND(AB914&lt;&gt;"""",AC914&lt;&gt;""""), 
          SUM(ARRAYFORMULA(SPLIT(AC914,"","") - SPLIT(AB914,"",""))"&amp;"), 
          0
       ),
     ""[hh]:mm""
   )
)
"),"03:04")</f>
        <v>03:04</v>
      </c>
      <c r="AJ914" s="27">
        <f t="shared" si="16"/>
        <v>0</v>
      </c>
      <c r="AK914" s="63" t="str">
        <f t="shared" si="17"/>
        <v>Pass</v>
      </c>
    </row>
    <row r="915">
      <c r="A915" s="45">
        <v>45986.0</v>
      </c>
      <c r="B915" s="49">
        <v>0.4479166666666667</v>
      </c>
      <c r="C915" s="45">
        <v>45986.0</v>
      </c>
      <c r="D915" s="49">
        <v>0.4479166666666667</v>
      </c>
      <c r="E915" s="21" t="s">
        <v>6996</v>
      </c>
      <c r="F915" s="21" t="s">
        <v>4840</v>
      </c>
      <c r="G915" s="21" t="s">
        <v>4841</v>
      </c>
      <c r="H915" s="21" t="s">
        <v>1610</v>
      </c>
      <c r="I915" s="21" t="s">
        <v>1612</v>
      </c>
      <c r="J915" s="21" t="s">
        <v>1612</v>
      </c>
      <c r="K915" s="21" t="s">
        <v>143</v>
      </c>
      <c r="L915" s="21" t="s">
        <v>5254</v>
      </c>
      <c r="M915" s="21" t="s">
        <v>6997</v>
      </c>
      <c r="N915" s="21" t="s">
        <v>6998</v>
      </c>
      <c r="O915" s="48" t="s">
        <v>6999</v>
      </c>
      <c r="P915" s="21" t="s">
        <v>187</v>
      </c>
      <c r="Q915" s="24" t="s">
        <v>65</v>
      </c>
      <c r="R915" s="21" t="s">
        <v>6714</v>
      </c>
      <c r="S915" s="21" t="s">
        <v>51</v>
      </c>
      <c r="T915" s="21" t="s">
        <v>52</v>
      </c>
      <c r="U915" s="21" t="s">
        <v>52</v>
      </c>
      <c r="V915" s="21" t="s">
        <v>52</v>
      </c>
      <c r="W915" s="45">
        <v>45986.0</v>
      </c>
      <c r="X915" s="49">
        <v>0.4479166666666667</v>
      </c>
      <c r="Y915" s="45">
        <v>45986.0</v>
      </c>
      <c r="Z915" s="49">
        <v>0.4479166666666667</v>
      </c>
      <c r="AA915" s="49">
        <v>0.4791666666666667</v>
      </c>
      <c r="AB915" s="29"/>
      <c r="AC915" s="29"/>
      <c r="AD915" s="25">
        <v>0.5416666666666666</v>
      </c>
      <c r="AE915" s="45">
        <v>45986.0</v>
      </c>
      <c r="AF915" s="21" t="s">
        <v>7000</v>
      </c>
      <c r="AG915" s="21" t="s">
        <v>54</v>
      </c>
      <c r="AH915" s="21" t="s">
        <v>7001</v>
      </c>
      <c r="AI915" s="62" t="str">
        <f>IFERROR(__xludf.DUMMYFUNCTION("IF(OR(W915="""",X915="""",AE915="""",AD915=""""),"""",
   TEXT(
     (
       (AE915+AD915 + IF(AE915+AD915 &lt; W915+X915,1,0)) - (W915+X915)
     )
     - IF(AND(AB915&lt;&gt;"""",AC915&lt;&gt;""""), 
          SUM(ARRAYFORMULA(SPLIT(AC915,"","") - SPLIT(AB915,"",""))"&amp;"), 
          0
       ),
     ""[hh]:mm""
   )
)
"),"02:15")</f>
        <v>02:15</v>
      </c>
      <c r="AJ915" s="27">
        <f t="shared" si="16"/>
        <v>0</v>
      </c>
      <c r="AK915" s="63" t="str">
        <f t="shared" si="17"/>
        <v>Pass</v>
      </c>
    </row>
    <row r="916">
      <c r="A916" s="45">
        <v>45986.0</v>
      </c>
      <c r="B916" s="49">
        <v>0.45416666666666666</v>
      </c>
      <c r="C916" s="45">
        <v>45986.0</v>
      </c>
      <c r="D916" s="49">
        <v>0.45416666666666666</v>
      </c>
      <c r="E916" s="21" t="s">
        <v>7002</v>
      </c>
      <c r="F916" s="21" t="s">
        <v>3831</v>
      </c>
      <c r="G916" s="21" t="s">
        <v>3832</v>
      </c>
      <c r="H916" s="21" t="s">
        <v>167</v>
      </c>
      <c r="I916" s="21" t="s">
        <v>7003</v>
      </c>
      <c r="J916" s="21" t="s">
        <v>169</v>
      </c>
      <c r="K916" s="21" t="s">
        <v>43</v>
      </c>
      <c r="L916" s="21" t="s">
        <v>6969</v>
      </c>
      <c r="M916" s="21" t="s">
        <v>6970</v>
      </c>
      <c r="N916" s="21" t="s">
        <v>7004</v>
      </c>
      <c r="O916" s="48" t="s">
        <v>7005</v>
      </c>
      <c r="P916" s="21" t="s">
        <v>187</v>
      </c>
      <c r="Q916" s="24" t="s">
        <v>65</v>
      </c>
      <c r="R916" s="21" t="s">
        <v>7006</v>
      </c>
      <c r="S916" s="21" t="s">
        <v>51</v>
      </c>
      <c r="T916" s="21" t="s">
        <v>52</v>
      </c>
      <c r="U916" s="21" t="s">
        <v>52</v>
      </c>
      <c r="V916" s="21" t="s">
        <v>52</v>
      </c>
      <c r="W916" s="45">
        <v>45986.0</v>
      </c>
      <c r="X916" s="49">
        <v>0.45416666666666666</v>
      </c>
      <c r="Y916" s="45">
        <v>45986.0</v>
      </c>
      <c r="Z916" s="49">
        <v>0.45416666666666666</v>
      </c>
      <c r="AA916" s="49">
        <v>0.4548611111111111</v>
      </c>
      <c r="AB916" s="25">
        <v>0.5</v>
      </c>
      <c r="AC916" s="25">
        <v>0.5416666666666666</v>
      </c>
      <c r="AD916" s="25">
        <v>0.5416666666666666</v>
      </c>
      <c r="AE916" s="45">
        <v>45986.0</v>
      </c>
      <c r="AF916" s="21" t="s">
        <v>7007</v>
      </c>
      <c r="AG916" s="21" t="s">
        <v>775</v>
      </c>
      <c r="AH916" s="21" t="s">
        <v>6974</v>
      </c>
      <c r="AI916" s="62" t="str">
        <f>IFERROR(__xludf.DUMMYFUNCTION("IF(OR(W916="""",X916="""",AE916="""",AD916=""""),"""",
   TEXT(
     (
       (AE916+AD916 + IF(AE916+AD916 &lt; W916+X916,1,0)) - (W916+X916)
     )
     - IF(AND(AB916&lt;&gt;"""",AC916&lt;&gt;""""), 
          SUM(ARRAYFORMULA(SPLIT(AC916,"","") - SPLIT(AB916,"",""))"&amp;"), 
          0
       ),
     ""[hh]:mm""
   )
)
"),"01:06")</f>
        <v>01:06</v>
      </c>
      <c r="AJ916" s="27">
        <f t="shared" si="16"/>
        <v>0</v>
      </c>
      <c r="AK916" s="63" t="str">
        <f t="shared" si="17"/>
        <v>Pass</v>
      </c>
    </row>
    <row r="917">
      <c r="A917" s="45">
        <v>45986.0</v>
      </c>
      <c r="B917" s="49">
        <v>0.6833333333333333</v>
      </c>
      <c r="C917" s="45">
        <v>45986.0</v>
      </c>
      <c r="D917" s="49">
        <v>0.6909722222222222</v>
      </c>
      <c r="E917" s="21" t="s">
        <v>7008</v>
      </c>
      <c r="F917" s="22" t="s">
        <v>2921</v>
      </c>
      <c r="G917" s="22" t="s">
        <v>6082</v>
      </c>
      <c r="H917" s="21" t="s">
        <v>1287</v>
      </c>
      <c r="I917" s="21" t="s">
        <v>131</v>
      </c>
      <c r="J917" s="21" t="s">
        <v>4708</v>
      </c>
      <c r="K917" s="21" t="s">
        <v>61</v>
      </c>
      <c r="L917" s="21" t="s">
        <v>1699</v>
      </c>
      <c r="M917" s="21" t="s">
        <v>7009</v>
      </c>
      <c r="N917" s="21" t="s">
        <v>4446</v>
      </c>
      <c r="O917" s="48" t="s">
        <v>7010</v>
      </c>
      <c r="P917" s="21" t="s">
        <v>75</v>
      </c>
      <c r="Q917" s="24" t="s">
        <v>65</v>
      </c>
      <c r="R917" s="21" t="s">
        <v>7011</v>
      </c>
      <c r="S917" s="21" t="s">
        <v>51</v>
      </c>
      <c r="T917" s="21" t="s">
        <v>52</v>
      </c>
      <c r="U917" s="21" t="s">
        <v>52</v>
      </c>
      <c r="V917" s="21" t="s">
        <v>52</v>
      </c>
      <c r="W917" s="45">
        <v>45986.0</v>
      </c>
      <c r="X917" s="49">
        <v>0.6909722222222222</v>
      </c>
      <c r="Y917" s="45">
        <v>45986.0</v>
      </c>
      <c r="Z917" s="49">
        <v>0.7708333333333334</v>
      </c>
      <c r="AA917" s="49">
        <v>0.7743055555555556</v>
      </c>
      <c r="AB917" s="25">
        <v>0.7777777777777778</v>
      </c>
      <c r="AC917" s="25">
        <v>0.7847222222222222</v>
      </c>
      <c r="AD917" s="85">
        <v>0.8333333333333334</v>
      </c>
      <c r="AE917" s="45">
        <v>45986.0</v>
      </c>
      <c r="AF917" s="21" t="s">
        <v>2711</v>
      </c>
      <c r="AG917" s="21" t="s">
        <v>293</v>
      </c>
      <c r="AH917" s="21" t="s">
        <v>7012</v>
      </c>
      <c r="AI917" s="62" t="str">
        <f>IFERROR(__xludf.DUMMYFUNCTION("IF(OR(W917="""",X917="""",AE917="""",AD917=""""),"""",
   TEXT(
     (
       (AE917+AD917 + IF(AE917+AD917 &lt; W917+X917,1,0)) - (W917+X917)
     )
     - IF(AND(AB917&lt;&gt;"""",AC917&lt;&gt;""""), 
          SUM(ARRAYFORMULA(SPLIT(AC917,"","") - SPLIT(AB917,"",""))"&amp;"), 
          0
       ),
     ""[hh]:mm""
   )
)
"),"03:15")</f>
        <v>03:15</v>
      </c>
      <c r="AJ917" s="27">
        <f t="shared" si="16"/>
        <v>0</v>
      </c>
      <c r="AK917" s="63" t="str">
        <f t="shared" si="17"/>
        <v>Pass</v>
      </c>
    </row>
    <row r="918">
      <c r="A918" s="18">
        <v>45986.0</v>
      </c>
      <c r="B918" s="20">
        <v>0.6916666666666667</v>
      </c>
      <c r="C918" s="18">
        <v>45986.0</v>
      </c>
      <c r="D918" s="20">
        <v>0.7090277777777778</v>
      </c>
      <c r="E918" s="22" t="s">
        <v>7013</v>
      </c>
      <c r="F918" s="22" t="s">
        <v>7014</v>
      </c>
      <c r="G918" s="22" t="s">
        <v>7015</v>
      </c>
      <c r="H918" s="22" t="s">
        <v>4070</v>
      </c>
      <c r="I918" s="22" t="s">
        <v>567</v>
      </c>
      <c r="J918" s="22" t="s">
        <v>567</v>
      </c>
      <c r="K918" s="22" t="s">
        <v>568</v>
      </c>
      <c r="L918" s="22" t="s">
        <v>2902</v>
      </c>
      <c r="M918" s="22" t="s">
        <v>7016</v>
      </c>
      <c r="N918" s="22" t="s">
        <v>7017</v>
      </c>
      <c r="O918" s="23" t="s">
        <v>7018</v>
      </c>
      <c r="P918" s="22" t="s">
        <v>48</v>
      </c>
      <c r="Q918" s="50" t="s">
        <v>65</v>
      </c>
      <c r="R918" s="22" t="s">
        <v>7019</v>
      </c>
      <c r="S918" s="22" t="s">
        <v>51</v>
      </c>
      <c r="T918" s="22" t="s">
        <v>52</v>
      </c>
      <c r="U918" s="22" t="s">
        <v>52</v>
      </c>
      <c r="V918" s="22" t="s">
        <v>52</v>
      </c>
      <c r="W918" s="18">
        <v>45986.0</v>
      </c>
      <c r="X918" s="20">
        <v>0.7090277777777778</v>
      </c>
      <c r="Y918" s="18">
        <v>45986.0</v>
      </c>
      <c r="Z918" s="20">
        <v>0.7833333333333333</v>
      </c>
      <c r="AA918" s="20">
        <v>0.7895833333333333</v>
      </c>
      <c r="AB918" s="54"/>
      <c r="AC918" s="54"/>
      <c r="AD918" s="51">
        <v>0.8194444444444444</v>
      </c>
      <c r="AE918" s="18">
        <v>45986.0</v>
      </c>
      <c r="AF918" s="22" t="s">
        <v>7020</v>
      </c>
      <c r="AG918" s="22" t="s">
        <v>239</v>
      </c>
      <c r="AH918" s="22" t="s">
        <v>7021</v>
      </c>
      <c r="AI918" s="62" t="str">
        <f>IFERROR(__xludf.DUMMYFUNCTION("IF(OR(W918="""",X918="""",AE918="""",AD918=""""),"""",
   TEXT(
     (
       (AE918+AD918 + IF(AE918+AD918 &lt; W918+X918,1,0)) - (W918+X918)
     )
     - IF(AND(AB918&lt;&gt;"""",AC918&lt;&gt;""""), 
          SUM(ARRAYFORMULA(SPLIT(AC918,"","") - SPLIT(AB918,"",""))"&amp;"), 
          0
       ),
     ""[hh]:mm""
   )
)
"),"02:39")</f>
        <v>02:39</v>
      </c>
      <c r="AJ918" s="27">
        <f t="shared" si="16"/>
        <v>0</v>
      </c>
      <c r="AK918" s="63" t="str">
        <f t="shared" si="17"/>
        <v>Pass</v>
      </c>
    </row>
    <row r="919">
      <c r="A919" s="45">
        <v>45986.0</v>
      </c>
      <c r="B919" s="49">
        <v>0.6923611111111111</v>
      </c>
      <c r="C919" s="45">
        <v>45986.0</v>
      </c>
      <c r="D919" s="49">
        <v>0.6986111111111111</v>
      </c>
      <c r="E919" s="21" t="s">
        <v>7022</v>
      </c>
      <c r="F919" s="21" t="s">
        <v>7023</v>
      </c>
      <c r="G919" s="21" t="s">
        <v>7024</v>
      </c>
      <c r="H919" s="21" t="s">
        <v>3471</v>
      </c>
      <c r="I919" s="21" t="s">
        <v>815</v>
      </c>
      <c r="J919" s="21" t="s">
        <v>1084</v>
      </c>
      <c r="K919" s="21" t="s">
        <v>1936</v>
      </c>
      <c r="L919" s="21" t="s">
        <v>1936</v>
      </c>
      <c r="M919" s="21" t="s">
        <v>1936</v>
      </c>
      <c r="N919" s="21" t="s">
        <v>7025</v>
      </c>
      <c r="O919" s="48" t="s">
        <v>7026</v>
      </c>
      <c r="P919" s="21" t="s">
        <v>48</v>
      </c>
      <c r="Q919" s="24" t="s">
        <v>198</v>
      </c>
      <c r="R919" s="21" t="s">
        <v>7027</v>
      </c>
      <c r="S919" s="21" t="s">
        <v>51</v>
      </c>
      <c r="T919" s="21" t="s">
        <v>52</v>
      </c>
      <c r="U919" s="21" t="s">
        <v>52</v>
      </c>
      <c r="V919" s="21" t="s">
        <v>52</v>
      </c>
      <c r="W919" s="45">
        <v>45987.0</v>
      </c>
      <c r="X919" s="76">
        <v>0.4166666666666667</v>
      </c>
      <c r="Y919" s="45">
        <v>45987.0</v>
      </c>
      <c r="Z919" s="49">
        <v>0.40625</v>
      </c>
      <c r="AA919" s="49">
        <v>0.4166666666666667</v>
      </c>
      <c r="AB919" s="29"/>
      <c r="AC919" s="29"/>
      <c r="AD919" s="25">
        <v>0.5277777777777778</v>
      </c>
      <c r="AE919" s="45">
        <v>45987.0</v>
      </c>
      <c r="AF919" s="21" t="s">
        <v>2918</v>
      </c>
      <c r="AG919" s="21" t="s">
        <v>583</v>
      </c>
      <c r="AH919" s="21" t="s">
        <v>7028</v>
      </c>
      <c r="AI919" s="62" t="str">
        <f>IFERROR(__xludf.DUMMYFUNCTION("IF(OR(W919="""",X919="""",AE919="""",AD919=""""),"""",
   TEXT(
     (
       (AE919+AD919 + IF(AE919+AD919 &lt; W919+X919,1,0)) - (W919+X919)
     )
     - IF(AND(AB919&lt;&gt;"""",AC919&lt;&gt;""""), 
          SUM(ARRAYFORMULA(SPLIT(AC919,"","") - SPLIT(AB919,"",""))"&amp;"), 
          0
       ),
     ""[hh]:mm""
   )
)
"),"02:40")</f>
        <v>02:40</v>
      </c>
      <c r="AJ919" s="27">
        <f t="shared" si="16"/>
        <v>0</v>
      </c>
      <c r="AK919" s="63" t="str">
        <f t="shared" si="17"/>
        <v>Pass</v>
      </c>
    </row>
    <row r="920">
      <c r="A920" s="45">
        <v>45986.0</v>
      </c>
      <c r="B920" s="49">
        <v>0.7881944444444444</v>
      </c>
      <c r="C920" s="45">
        <v>45986.0</v>
      </c>
      <c r="D920" s="49">
        <v>0.8020833333333334</v>
      </c>
      <c r="E920" s="21" t="s">
        <v>7029</v>
      </c>
      <c r="F920" s="21" t="s">
        <v>4281</v>
      </c>
      <c r="G920" s="21" t="s">
        <v>4282</v>
      </c>
      <c r="H920" s="21" t="s">
        <v>7030</v>
      </c>
      <c r="I920" s="21" t="s">
        <v>1326</v>
      </c>
      <c r="J920" s="21" t="s">
        <v>768</v>
      </c>
      <c r="K920" s="21" t="s">
        <v>7031</v>
      </c>
      <c r="L920" s="21" t="s">
        <v>7031</v>
      </c>
      <c r="M920" s="21" t="s">
        <v>7032</v>
      </c>
      <c r="N920" s="21" t="s">
        <v>7033</v>
      </c>
      <c r="O920" s="48" t="s">
        <v>7034</v>
      </c>
      <c r="P920" s="21" t="s">
        <v>75</v>
      </c>
      <c r="Q920" s="24" t="s">
        <v>65</v>
      </c>
      <c r="R920" s="21" t="s">
        <v>7035</v>
      </c>
      <c r="S920" s="21" t="s">
        <v>51</v>
      </c>
      <c r="T920" s="21" t="s">
        <v>52</v>
      </c>
      <c r="U920" s="21" t="s">
        <v>52</v>
      </c>
      <c r="V920" s="21" t="s">
        <v>52</v>
      </c>
      <c r="W920" s="45">
        <v>45986.0</v>
      </c>
      <c r="X920" s="49">
        <v>0.8020833333333334</v>
      </c>
      <c r="Y920" s="45">
        <v>45987.0</v>
      </c>
      <c r="Z920" s="49">
        <v>0.4097222222222222</v>
      </c>
      <c r="AA920" s="49">
        <v>0.4305555555555556</v>
      </c>
      <c r="AB920" s="25">
        <v>0.4097222222222222</v>
      </c>
      <c r="AC920" s="25">
        <v>0.4305555555555556</v>
      </c>
      <c r="AD920" s="25">
        <v>0.4479166666666667</v>
      </c>
      <c r="AE920" s="45">
        <v>45987.0</v>
      </c>
      <c r="AF920" s="21" t="s">
        <v>2839</v>
      </c>
      <c r="AG920" s="21" t="s">
        <v>113</v>
      </c>
      <c r="AH920" s="21" t="s">
        <v>7036</v>
      </c>
      <c r="AI920" s="62" t="str">
        <f>IFERROR(__xludf.DUMMYFUNCTION("IF(OR(W920="""",X920="""",AE920="""",AD920=""""),"""",
   TEXT(
     (
       (AE920+AD920 + IF(AE920+AD920 &lt; W920+X920,1,0)) - (W920+X920)
     )
     - IF(AND(AB920&lt;&gt;"""",AC920&lt;&gt;""""), 
          SUM(ARRAYFORMULA(SPLIT(AC920,"","") - SPLIT(AB920,"",""))"&amp;"), 
          0
       ),
     ""[hh]:mm""
   )
)
"),"15:00")</f>
        <v>15:00</v>
      </c>
      <c r="AJ920" s="27">
        <f t="shared" si="16"/>
        <v>0.125</v>
      </c>
      <c r="AK920" s="63" t="str">
        <f t="shared" si="17"/>
        <v>Fail</v>
      </c>
    </row>
    <row r="921">
      <c r="A921" s="45">
        <v>45975.0</v>
      </c>
      <c r="B921" s="49">
        <v>0.1597222222222222</v>
      </c>
      <c r="C921" s="45">
        <v>45975.0</v>
      </c>
      <c r="D921" s="49">
        <v>0.32569444444444445</v>
      </c>
      <c r="E921" s="21" t="s">
        <v>7037</v>
      </c>
      <c r="F921" s="21" t="s">
        <v>1457</v>
      </c>
      <c r="G921" s="21" t="s">
        <v>1458</v>
      </c>
      <c r="H921" s="21" t="s">
        <v>1610</v>
      </c>
      <c r="I921" s="21" t="s">
        <v>1612</v>
      </c>
      <c r="J921" s="21" t="s">
        <v>1612</v>
      </c>
      <c r="K921" s="21" t="s">
        <v>143</v>
      </c>
      <c r="L921" s="21" t="s">
        <v>3833</v>
      </c>
      <c r="M921" s="21" t="s">
        <v>7038</v>
      </c>
      <c r="N921" s="21" t="s">
        <v>7039</v>
      </c>
      <c r="O921" s="48" t="s">
        <v>7040</v>
      </c>
      <c r="P921" s="21" t="s">
        <v>187</v>
      </c>
      <c r="Q921" s="24" t="s">
        <v>65</v>
      </c>
      <c r="R921" s="21" t="s">
        <v>7041</v>
      </c>
      <c r="S921" s="21" t="s">
        <v>51</v>
      </c>
      <c r="T921" s="21" t="s">
        <v>52</v>
      </c>
      <c r="U921" s="21" t="s">
        <v>52</v>
      </c>
      <c r="V921" s="21" t="s">
        <v>52</v>
      </c>
      <c r="W921" s="45">
        <v>45987.0</v>
      </c>
      <c r="X921" s="49">
        <v>0.375</v>
      </c>
      <c r="Y921" s="45">
        <v>45987.0</v>
      </c>
      <c r="Z921" s="49">
        <v>0.44375</v>
      </c>
      <c r="AA921" s="49">
        <v>0.4791666666666667</v>
      </c>
      <c r="AB921" s="25">
        <v>0.4444444444444444</v>
      </c>
      <c r="AC921" s="25">
        <v>0.4777777777777778</v>
      </c>
      <c r="AD921" s="25">
        <v>0.6944444444444444</v>
      </c>
      <c r="AE921" s="45">
        <v>45987.0</v>
      </c>
      <c r="AF921" s="21" t="s">
        <v>2931</v>
      </c>
      <c r="AG921" s="21" t="s">
        <v>102</v>
      </c>
      <c r="AH921" s="21" t="s">
        <v>7042</v>
      </c>
      <c r="AI921" s="62" t="str">
        <f>IFERROR(__xludf.DUMMYFUNCTION("IF(OR(W921="""",X921="""",AE921="""",AD921=""""),"""",
   TEXT(
     (
       (AE921+AD921 + IF(AE921+AD921 &lt; W921+X921,1,0)) - (W921+X921)
     )
     - IF(AND(AB921&lt;&gt;"""",AC921&lt;&gt;""""), 
          SUM(ARRAYFORMULA(SPLIT(AC921,"","") - SPLIT(AB921,"",""))"&amp;"), 
          0
       ),
     ""[hh]:mm""
   )
)
"),"06:52")</f>
        <v>06:52</v>
      </c>
      <c r="AJ921" s="27">
        <f t="shared" si="16"/>
        <v>0</v>
      </c>
      <c r="AK921" s="63" t="str">
        <f t="shared" si="17"/>
        <v>Pass</v>
      </c>
    </row>
    <row r="922">
      <c r="A922" s="18">
        <v>45987.0</v>
      </c>
      <c r="B922" s="20">
        <v>0.3576388888888889</v>
      </c>
      <c r="C922" s="18">
        <v>45987.0</v>
      </c>
      <c r="D922" s="20">
        <v>0.37430555555555556</v>
      </c>
      <c r="E922" s="22" t="s">
        <v>7043</v>
      </c>
      <c r="F922" s="22" t="s">
        <v>1783</v>
      </c>
      <c r="G922" s="22" t="s">
        <v>1784</v>
      </c>
      <c r="H922" s="22" t="s">
        <v>2352</v>
      </c>
      <c r="I922" s="22" t="s">
        <v>928</v>
      </c>
      <c r="J922" s="22" t="s">
        <v>2352</v>
      </c>
      <c r="K922" s="22" t="s">
        <v>52</v>
      </c>
      <c r="L922" s="22" t="s">
        <v>52</v>
      </c>
      <c r="M922" s="22" t="s">
        <v>52</v>
      </c>
      <c r="N922" s="22" t="s">
        <v>7044</v>
      </c>
      <c r="O922" s="23" t="s">
        <v>7045</v>
      </c>
      <c r="P922" s="22" t="s">
        <v>48</v>
      </c>
      <c r="Q922" s="50" t="s">
        <v>449</v>
      </c>
      <c r="R922" s="22" t="s">
        <v>7046</v>
      </c>
      <c r="S922" s="22" t="s">
        <v>51</v>
      </c>
      <c r="T922" s="22" t="s">
        <v>52</v>
      </c>
      <c r="U922" s="22" t="s">
        <v>52</v>
      </c>
      <c r="V922" s="22" t="s">
        <v>52</v>
      </c>
      <c r="W922" s="18">
        <v>45987.0</v>
      </c>
      <c r="X922" s="20">
        <v>0.875</v>
      </c>
      <c r="Y922" s="18">
        <v>45987.0</v>
      </c>
      <c r="Z922" s="20">
        <v>0.875</v>
      </c>
      <c r="AA922" s="20">
        <v>0.9965277777777778</v>
      </c>
      <c r="AB922" s="54"/>
      <c r="AC922" s="54"/>
      <c r="AD922" s="51">
        <v>0.12777777777777777</v>
      </c>
      <c r="AE922" s="18">
        <v>45988.0</v>
      </c>
      <c r="AF922" s="22" t="s">
        <v>7047</v>
      </c>
      <c r="AG922" s="22" t="s">
        <v>209</v>
      </c>
      <c r="AH922" s="22" t="s">
        <v>7048</v>
      </c>
      <c r="AI922" s="62" t="str">
        <f>IFERROR(__xludf.DUMMYFUNCTION("IF(OR(W922="""",X922="""",AE922="""",AD922=""""),"""",
   TEXT(
     (
       (AE922+AD922 + IF(AE922+AD922 &lt; W922+X922,1,0)) - (W922+X922)
     )
     - IF(AND(AB922&lt;&gt;"""",AC922&lt;&gt;""""), 
          SUM(ARRAYFORMULA(SPLIT(AC922,"","") - SPLIT(AB922,"",""))"&amp;"), 
          0
       ),
     ""[hh]:mm""
   )
)
"),"06:04")</f>
        <v>06:04</v>
      </c>
      <c r="AJ922" s="27">
        <f t="shared" si="16"/>
        <v>0</v>
      </c>
      <c r="AK922" s="63" t="str">
        <f t="shared" si="17"/>
        <v>Pass</v>
      </c>
    </row>
    <row r="923">
      <c r="A923" s="45">
        <v>45987.0</v>
      </c>
      <c r="B923" s="49">
        <v>0.4</v>
      </c>
      <c r="C923" s="45">
        <v>45987.0</v>
      </c>
      <c r="D923" s="49">
        <v>0.40625</v>
      </c>
      <c r="E923" s="21" t="s">
        <v>7049</v>
      </c>
      <c r="F923" s="21" t="s">
        <v>1664</v>
      </c>
      <c r="G923" s="21" t="s">
        <v>1665</v>
      </c>
      <c r="H923" s="21" t="s">
        <v>419</v>
      </c>
      <c r="I923" s="21" t="s">
        <v>951</v>
      </c>
      <c r="J923" s="21" t="s">
        <v>95</v>
      </c>
      <c r="K923" s="21" t="s">
        <v>143</v>
      </c>
      <c r="L923" s="21" t="s">
        <v>606</v>
      </c>
      <c r="M923" s="21" t="s">
        <v>7050</v>
      </c>
      <c r="N923" s="21" t="s">
        <v>7051</v>
      </c>
      <c r="O923" s="48" t="s">
        <v>7052</v>
      </c>
      <c r="P923" s="21" t="s">
        <v>48</v>
      </c>
      <c r="Q923" s="24" t="s">
        <v>49</v>
      </c>
      <c r="R923" s="21" t="s">
        <v>7053</v>
      </c>
      <c r="S923" s="21" t="s">
        <v>51</v>
      </c>
      <c r="T923" s="21" t="s">
        <v>52</v>
      </c>
      <c r="U923" s="21" t="s">
        <v>52</v>
      </c>
      <c r="V923" s="21" t="s">
        <v>52</v>
      </c>
      <c r="W923" s="45">
        <v>45987.0</v>
      </c>
      <c r="X923" s="49">
        <v>0.40625</v>
      </c>
      <c r="Y923" s="45">
        <v>45987.0</v>
      </c>
      <c r="Z923" s="49">
        <v>0.4583333333333333</v>
      </c>
      <c r="AA923" s="49">
        <v>0.45902777777777776</v>
      </c>
      <c r="AB923" s="29"/>
      <c r="AC923" s="29"/>
      <c r="AD923" s="25">
        <v>0.4895833333333333</v>
      </c>
      <c r="AE923" s="45">
        <v>45987.0</v>
      </c>
      <c r="AF923" s="21" t="s">
        <v>2744</v>
      </c>
      <c r="AG923" s="21" t="s">
        <v>2086</v>
      </c>
      <c r="AH923" s="21" t="s">
        <v>7054</v>
      </c>
      <c r="AI923" s="62" t="str">
        <f>IFERROR(__xludf.DUMMYFUNCTION("IF(OR(W923="""",X923="""",AE923="""",AD923=""""),"""",
   TEXT(
     (
       (AE923+AD923 + IF(AE923+AD923 &lt; W923+X923,1,0)) - (W923+X923)
     )
     - IF(AND(AB923&lt;&gt;"""",AC923&lt;&gt;""""), 
          SUM(ARRAYFORMULA(SPLIT(AC923,"","") - SPLIT(AB923,"",""))"&amp;"), 
          0
       ),
     ""[hh]:mm""
   )
)
"),"02:00")</f>
        <v>02:00</v>
      </c>
      <c r="AJ923" s="27">
        <f t="shared" si="16"/>
        <v>0</v>
      </c>
      <c r="AK923" s="63" t="str">
        <f t="shared" si="17"/>
        <v>Pass</v>
      </c>
    </row>
    <row r="924">
      <c r="A924" s="45">
        <v>45987.0</v>
      </c>
      <c r="B924" s="49">
        <v>0.58125</v>
      </c>
      <c r="C924" s="45">
        <v>45987.0</v>
      </c>
      <c r="D924" s="49">
        <v>0.5861111111111111</v>
      </c>
      <c r="E924" s="21" t="s">
        <v>7055</v>
      </c>
      <c r="F924" s="21" t="s">
        <v>2831</v>
      </c>
      <c r="G924" s="21" t="s">
        <v>2832</v>
      </c>
      <c r="H924" s="21" t="s">
        <v>142</v>
      </c>
      <c r="I924" s="21" t="s">
        <v>951</v>
      </c>
      <c r="J924" s="21" t="s">
        <v>95</v>
      </c>
      <c r="K924" s="21" t="s">
        <v>143</v>
      </c>
      <c r="L924" s="21" t="s">
        <v>7056</v>
      </c>
      <c r="M924" s="21" t="s">
        <v>7057</v>
      </c>
      <c r="N924" s="21" t="s">
        <v>7058</v>
      </c>
      <c r="O924" s="48" t="s">
        <v>7059</v>
      </c>
      <c r="P924" s="21" t="s">
        <v>48</v>
      </c>
      <c r="Q924" s="24" t="s">
        <v>49</v>
      </c>
      <c r="R924" s="21" t="s">
        <v>7060</v>
      </c>
      <c r="S924" s="21" t="s">
        <v>51</v>
      </c>
      <c r="T924" s="21" t="s">
        <v>52</v>
      </c>
      <c r="U924" s="21" t="s">
        <v>52</v>
      </c>
      <c r="V924" s="21" t="s">
        <v>52</v>
      </c>
      <c r="W924" s="45">
        <v>45987.0</v>
      </c>
      <c r="X924" s="49">
        <v>0.5861111111111111</v>
      </c>
      <c r="Y924" s="45">
        <v>45987.0</v>
      </c>
      <c r="Z924" s="49">
        <v>0.6479166666666667</v>
      </c>
      <c r="AA924" s="49">
        <v>0.6479166666666667</v>
      </c>
      <c r="AB924" s="25">
        <v>0.6486111111111111</v>
      </c>
      <c r="AC924" s="25">
        <v>0.6666666666666666</v>
      </c>
      <c r="AD924" s="25">
        <v>0.7291666666666666</v>
      </c>
      <c r="AE924" s="45">
        <v>45987.0</v>
      </c>
      <c r="AF924" s="21" t="s">
        <v>5717</v>
      </c>
      <c r="AG924" s="21" t="s">
        <v>7061</v>
      </c>
      <c r="AH924" s="21" t="s">
        <v>7062</v>
      </c>
      <c r="AI924" s="62" t="str">
        <f>IFERROR(__xludf.DUMMYFUNCTION("IF(OR(W924="""",X924="""",AE924="""",AD924=""""),"""",
   TEXT(
     (
       (AE924+AD924 + IF(AE924+AD924 &lt; W924+X924,1,0)) - (W924+X924)
     )
     - IF(AND(AB924&lt;&gt;"""",AC924&lt;&gt;""""), 
          SUM(ARRAYFORMULA(SPLIT(AC924,"","") - SPLIT(AB924,"",""))"&amp;"), 
          0
       ),
     ""[hh]:mm""
   )
)
"),"03:00")</f>
        <v>03:00</v>
      </c>
      <c r="AJ924" s="27">
        <f t="shared" si="16"/>
        <v>0</v>
      </c>
      <c r="AK924" s="63" t="str">
        <f t="shared" si="17"/>
        <v>Pass</v>
      </c>
    </row>
    <row r="925">
      <c r="A925" s="45">
        <v>45988.0</v>
      </c>
      <c r="B925" s="49">
        <v>0.6791666666666667</v>
      </c>
      <c r="C925" s="45">
        <v>45988.0</v>
      </c>
      <c r="D925" s="49">
        <v>0.6979166666666666</v>
      </c>
      <c r="E925" s="21" t="s">
        <v>7063</v>
      </c>
      <c r="F925" s="21" t="s">
        <v>1144</v>
      </c>
      <c r="G925" s="21" t="s">
        <v>7064</v>
      </c>
      <c r="H925" s="21" t="s">
        <v>6041</v>
      </c>
      <c r="I925" s="21" t="s">
        <v>616</v>
      </c>
      <c r="J925" s="21" t="s">
        <v>2253</v>
      </c>
      <c r="K925" s="21" t="s">
        <v>43</v>
      </c>
      <c r="L925" s="21" t="s">
        <v>805</v>
      </c>
      <c r="M925" s="21" t="s">
        <v>7065</v>
      </c>
      <c r="N925" s="21" t="s">
        <v>7066</v>
      </c>
      <c r="O925" s="48" t="s">
        <v>7067</v>
      </c>
      <c r="P925" s="21" t="s">
        <v>75</v>
      </c>
      <c r="Q925" s="24" t="s">
        <v>65</v>
      </c>
      <c r="R925" s="21" t="s">
        <v>7068</v>
      </c>
      <c r="S925" s="21" t="s">
        <v>51</v>
      </c>
      <c r="T925" s="21" t="s">
        <v>52</v>
      </c>
      <c r="U925" s="21" t="s">
        <v>52</v>
      </c>
      <c r="V925" s="21" t="s">
        <v>52</v>
      </c>
      <c r="W925" s="45">
        <v>45988.0</v>
      </c>
      <c r="X925" s="76">
        <v>0.6979166666666666</v>
      </c>
      <c r="Y925" s="45">
        <v>45988.0</v>
      </c>
      <c r="Z925" s="49">
        <v>0.7743055555555556</v>
      </c>
      <c r="AA925" s="49">
        <v>0.7777777777777778</v>
      </c>
      <c r="AB925" s="29"/>
      <c r="AC925" s="29"/>
      <c r="AD925" s="25">
        <v>0.8055555555555556</v>
      </c>
      <c r="AE925" s="45">
        <v>45988.0</v>
      </c>
      <c r="AF925" s="21" t="s">
        <v>7020</v>
      </c>
      <c r="AG925" s="21" t="s">
        <v>3713</v>
      </c>
      <c r="AH925" s="21" t="s">
        <v>7069</v>
      </c>
      <c r="AI925" s="62" t="str">
        <f>IFERROR(__xludf.DUMMYFUNCTION("IF(OR(W925="""",X925="""",AE925="""",AD925=""""),"""",
   TEXT(
     (
       (AE925+AD925 + IF(AE925+AD925 &lt; W925+X925,1,0)) - (W925+X925)
     )
     - IF(AND(AB925&lt;&gt;"""",AC925&lt;&gt;""""), 
          SUM(ARRAYFORMULA(SPLIT(AC925,"","") - SPLIT(AB925,"",""))"&amp;"), 
          0
       ),
     ""[hh]:mm""
   )
)
"),"02:35")</f>
        <v>02:35</v>
      </c>
      <c r="AJ925" s="27">
        <f t="shared" si="16"/>
        <v>0</v>
      </c>
      <c r="AK925" s="63" t="str">
        <f t="shared" si="17"/>
        <v>Pass</v>
      </c>
    </row>
    <row r="926">
      <c r="A926" s="45">
        <v>45987.0</v>
      </c>
      <c r="B926" s="49">
        <v>0.9423611111111111</v>
      </c>
      <c r="C926" s="45">
        <v>45988.0</v>
      </c>
      <c r="D926" s="49">
        <v>0.375</v>
      </c>
      <c r="E926" s="21" t="s">
        <v>7070</v>
      </c>
      <c r="F926" s="21" t="s">
        <v>2921</v>
      </c>
      <c r="G926" s="21" t="s">
        <v>6082</v>
      </c>
      <c r="H926" s="21" t="s">
        <v>182</v>
      </c>
      <c r="I926" s="21" t="s">
        <v>60</v>
      </c>
      <c r="J926" s="21" t="s">
        <v>3813</v>
      </c>
      <c r="K926" s="21" t="s">
        <v>61</v>
      </c>
      <c r="L926" s="21" t="s">
        <v>183</v>
      </c>
      <c r="M926" s="21" t="s">
        <v>7071</v>
      </c>
      <c r="N926" s="21" t="s">
        <v>7072</v>
      </c>
      <c r="O926" s="48" t="s">
        <v>7073</v>
      </c>
      <c r="P926" s="21" t="s">
        <v>75</v>
      </c>
      <c r="Q926" s="24" t="s">
        <v>65</v>
      </c>
      <c r="R926" s="21" t="s">
        <v>7074</v>
      </c>
      <c r="S926" s="21" t="s">
        <v>51</v>
      </c>
      <c r="T926" s="21" t="s">
        <v>52</v>
      </c>
      <c r="U926" s="21" t="s">
        <v>52</v>
      </c>
      <c r="V926" s="21" t="s">
        <v>52</v>
      </c>
      <c r="W926" s="45">
        <v>45988.0</v>
      </c>
      <c r="X926" s="49">
        <v>0.375</v>
      </c>
      <c r="Y926" s="45">
        <v>45988.0</v>
      </c>
      <c r="Z926" s="49">
        <v>0.4409722222222222</v>
      </c>
      <c r="AA926" s="49">
        <v>0.4444444444444444</v>
      </c>
      <c r="AB926" s="24" t="s">
        <v>7075</v>
      </c>
      <c r="AC926" s="24" t="s">
        <v>7076</v>
      </c>
      <c r="AD926" s="25">
        <v>0.6395833333333333</v>
      </c>
      <c r="AE926" s="45">
        <v>45988.0</v>
      </c>
      <c r="AF926" s="21" t="s">
        <v>2711</v>
      </c>
      <c r="AG926" s="21" t="s">
        <v>293</v>
      </c>
      <c r="AH926" s="21" t="s">
        <v>2932</v>
      </c>
      <c r="AI926" s="62" t="str">
        <f>IFERROR(__xludf.DUMMYFUNCTION("IF(OR(W926="""",X926="""",AE926="""",AD926=""""),"""",
   TEXT(
     (
       (AE926+AD926 + IF(AE926+AD926 &lt; W926+X926,1,0)) - (W926+X926)
     )
     - IF(AND(AB926&lt;&gt;"""",AC926&lt;&gt;""""), 
          SUM(ARRAYFORMULA(SPLIT(AC926,"","") - SPLIT(AB926,"",""))"&amp;"), 
          0
       ),
     ""[hh]:mm""
   )
)
"),"03:40")</f>
        <v>03:40</v>
      </c>
      <c r="AJ926" s="27">
        <f t="shared" si="16"/>
        <v>0</v>
      </c>
      <c r="AK926" s="63" t="str">
        <f t="shared" si="17"/>
        <v>Pass</v>
      </c>
    </row>
    <row r="927">
      <c r="A927" s="45">
        <v>45987.0</v>
      </c>
      <c r="B927" s="49">
        <v>0.9472222222222222</v>
      </c>
      <c r="C927" s="45">
        <v>45988.0</v>
      </c>
      <c r="D927" s="49">
        <v>0.375</v>
      </c>
      <c r="E927" s="21" t="s">
        <v>7077</v>
      </c>
      <c r="F927" s="21" t="s">
        <v>2921</v>
      </c>
      <c r="G927" s="21" t="s">
        <v>6082</v>
      </c>
      <c r="H927" s="21" t="s">
        <v>182</v>
      </c>
      <c r="I927" s="21" t="s">
        <v>234</v>
      </c>
      <c r="J927" s="21" t="s">
        <v>3813</v>
      </c>
      <c r="K927" s="21" t="s">
        <v>61</v>
      </c>
      <c r="L927" s="21" t="s">
        <v>183</v>
      </c>
      <c r="M927" s="21" t="s">
        <v>2968</v>
      </c>
      <c r="N927" s="21" t="s">
        <v>2395</v>
      </c>
      <c r="O927" s="48" t="s">
        <v>7078</v>
      </c>
      <c r="P927" s="21" t="s">
        <v>75</v>
      </c>
      <c r="Q927" s="24" t="s">
        <v>65</v>
      </c>
      <c r="R927" s="21" t="s">
        <v>7079</v>
      </c>
      <c r="S927" s="21" t="s">
        <v>51</v>
      </c>
      <c r="T927" s="21" t="s">
        <v>52</v>
      </c>
      <c r="U927" s="21" t="s">
        <v>52</v>
      </c>
      <c r="V927" s="21" t="s">
        <v>52</v>
      </c>
      <c r="W927" s="45">
        <v>45988.0</v>
      </c>
      <c r="X927" s="49">
        <v>0.375</v>
      </c>
      <c r="Y927" s="45">
        <v>45988.0</v>
      </c>
      <c r="Z927" s="49">
        <v>0.4409722222222222</v>
      </c>
      <c r="AA927" s="49">
        <v>0.4444444444444444</v>
      </c>
      <c r="AB927" s="29"/>
      <c r="AC927" s="29"/>
      <c r="AD927" s="25">
        <v>0.5</v>
      </c>
      <c r="AE927" s="45">
        <v>45988.0</v>
      </c>
      <c r="AF927" s="21" t="s">
        <v>2711</v>
      </c>
      <c r="AG927" s="21" t="s">
        <v>293</v>
      </c>
      <c r="AH927" s="21" t="s">
        <v>2932</v>
      </c>
      <c r="AI927" s="62" t="str">
        <f>IFERROR(__xludf.DUMMYFUNCTION("IF(OR(W927="""",X927="""",AE927="""",AD927=""""),"""",
   TEXT(
     (
       (AE927+AD927 + IF(AE927+AD927 &lt; W927+X927,1,0)) - (W927+X927)
     )
     - IF(AND(AB927&lt;&gt;"""",AC927&lt;&gt;""""), 
          SUM(ARRAYFORMULA(SPLIT(AC927,"","") - SPLIT(AB927,"",""))"&amp;"), 
          0
       ),
     ""[hh]:mm""
   )
)
"),"03:00")</f>
        <v>03:00</v>
      </c>
      <c r="AJ927" s="27">
        <f t="shared" si="16"/>
        <v>0</v>
      </c>
      <c r="AK927" s="63" t="str">
        <f t="shared" si="17"/>
        <v>Pass</v>
      </c>
    </row>
    <row r="928">
      <c r="A928" s="45">
        <v>45988.0</v>
      </c>
      <c r="B928" s="49">
        <v>0.4111111111111111</v>
      </c>
      <c r="C928" s="45">
        <v>45988.0</v>
      </c>
      <c r="D928" s="49">
        <v>0.4125</v>
      </c>
      <c r="E928" s="21" t="s">
        <v>7080</v>
      </c>
      <c r="F928" s="21" t="s">
        <v>2430</v>
      </c>
      <c r="G928" s="21" t="s">
        <v>2431</v>
      </c>
      <c r="H928" s="21" t="s">
        <v>1468</v>
      </c>
      <c r="I928" s="21" t="s">
        <v>856</v>
      </c>
      <c r="J928" s="21" t="s">
        <v>1084</v>
      </c>
      <c r="K928" s="21" t="s">
        <v>1998</v>
      </c>
      <c r="L928" s="21" t="s">
        <v>1999</v>
      </c>
      <c r="M928" s="21" t="s">
        <v>7081</v>
      </c>
      <c r="N928" s="21" t="s">
        <v>7082</v>
      </c>
      <c r="O928" s="48" t="s">
        <v>7083</v>
      </c>
      <c r="P928" s="21" t="s">
        <v>48</v>
      </c>
      <c r="Q928" s="24" t="s">
        <v>65</v>
      </c>
      <c r="R928" s="21" t="s">
        <v>7084</v>
      </c>
      <c r="S928" s="21" t="s">
        <v>51</v>
      </c>
      <c r="T928" s="21" t="s">
        <v>52</v>
      </c>
      <c r="U928" s="21" t="s">
        <v>52</v>
      </c>
      <c r="V928" s="21" t="s">
        <v>52</v>
      </c>
      <c r="W928" s="45">
        <v>45988.0</v>
      </c>
      <c r="X928" s="49">
        <v>0.4125</v>
      </c>
      <c r="Y928" s="45">
        <v>45988.0</v>
      </c>
      <c r="Z928" s="49">
        <v>0.45625</v>
      </c>
      <c r="AA928" s="49">
        <v>0.4930555555555556</v>
      </c>
      <c r="AB928" s="24" t="s">
        <v>7085</v>
      </c>
      <c r="AC928" s="24" t="s">
        <v>7086</v>
      </c>
      <c r="AD928" s="25">
        <v>0.6076388888888888</v>
      </c>
      <c r="AE928" s="45">
        <v>45988.0</v>
      </c>
      <c r="AF928" s="21" t="s">
        <v>4360</v>
      </c>
      <c r="AG928" s="21" t="s">
        <v>102</v>
      </c>
      <c r="AH928" s="21" t="s">
        <v>7087</v>
      </c>
      <c r="AI928" s="62" t="str">
        <f>IFERROR(__xludf.DUMMYFUNCTION("IF(OR(W928="""",X928="""",AE928="""",AD928=""""),"""",
   TEXT(
     (
       (AE928+AD928 + IF(AE928+AD928 &lt; W928+X928,1,0)) - (W928+X928)
     )
     - IF(AND(AB928&lt;&gt;"""",AC928&lt;&gt;""""), 
          SUM(ARRAYFORMULA(SPLIT(AC928,"","") - SPLIT(AB928,"",""))"&amp;"), 
          0
       ),
     ""[hh]:mm""
   )
)
"),"02:18")</f>
        <v>02:18</v>
      </c>
      <c r="AJ928" s="27">
        <f t="shared" si="16"/>
        <v>0</v>
      </c>
      <c r="AK928" s="63" t="str">
        <f t="shared" si="17"/>
        <v>Pass</v>
      </c>
    </row>
    <row r="929">
      <c r="A929" s="45">
        <v>45988.0</v>
      </c>
      <c r="B929" s="49">
        <v>0.5513888888888889</v>
      </c>
      <c r="C929" s="45">
        <v>45988.0</v>
      </c>
      <c r="D929" s="49">
        <v>0.5625</v>
      </c>
      <c r="E929" s="21" t="s">
        <v>7088</v>
      </c>
      <c r="F929" s="21" t="s">
        <v>3024</v>
      </c>
      <c r="G929" s="21" t="s">
        <v>3025</v>
      </c>
      <c r="H929" s="21" t="s">
        <v>244</v>
      </c>
      <c r="I929" s="21" t="s">
        <v>951</v>
      </c>
      <c r="J929" s="21" t="s">
        <v>5330</v>
      </c>
      <c r="K929" s="21" t="s">
        <v>7089</v>
      </c>
      <c r="L929" s="21" t="s">
        <v>7090</v>
      </c>
      <c r="M929" s="21" t="s">
        <v>52</v>
      </c>
      <c r="N929" s="21" t="s">
        <v>7091</v>
      </c>
      <c r="O929" s="48" t="s">
        <v>7092</v>
      </c>
      <c r="P929" s="21" t="s">
        <v>48</v>
      </c>
      <c r="Q929" s="24" t="s">
        <v>65</v>
      </c>
      <c r="R929" s="21" t="s">
        <v>7093</v>
      </c>
      <c r="S929" s="21" t="s">
        <v>51</v>
      </c>
      <c r="T929" s="21" t="s">
        <v>52</v>
      </c>
      <c r="U929" s="21" t="s">
        <v>52</v>
      </c>
      <c r="V929" s="21" t="s">
        <v>52</v>
      </c>
      <c r="W929" s="45">
        <v>45988.0</v>
      </c>
      <c r="X929" s="49">
        <v>0.5625</v>
      </c>
      <c r="Y929" s="45">
        <v>45988.0</v>
      </c>
      <c r="Z929" s="49">
        <v>0.6180555555555556</v>
      </c>
      <c r="AA929" s="49">
        <v>0.625</v>
      </c>
      <c r="AB929" s="29"/>
      <c r="AC929" s="29"/>
      <c r="AD929" s="25">
        <v>0.6597222222222222</v>
      </c>
      <c r="AE929" s="45">
        <v>45988.0</v>
      </c>
      <c r="AF929" s="21" t="s">
        <v>2828</v>
      </c>
      <c r="AG929" s="21" t="s">
        <v>7094</v>
      </c>
      <c r="AH929" s="21" t="s">
        <v>7095</v>
      </c>
      <c r="AI929" s="62" t="str">
        <f>IFERROR(__xludf.DUMMYFUNCTION("IF(OR(W929="""",X929="""",AE929="""",AD929=""""),"""",
   TEXT(
     (
       (AE929+AD929 + IF(AE929+AD929 &lt; W929+X929,1,0)) - (W929+X929)
     )
     - IF(AND(AB929&lt;&gt;"""",AC929&lt;&gt;""""), 
          SUM(ARRAYFORMULA(SPLIT(AC929,"","") - SPLIT(AB929,"",""))"&amp;"), 
          0
       ),
     ""[hh]:mm""
   )
)
"),"02:20")</f>
        <v>02:20</v>
      </c>
      <c r="AJ929" s="27">
        <f t="shared" si="16"/>
        <v>0</v>
      </c>
      <c r="AK929" s="63" t="str">
        <f t="shared" si="17"/>
        <v>Pass</v>
      </c>
    </row>
    <row r="930">
      <c r="A930" s="18">
        <v>45988.0</v>
      </c>
      <c r="B930" s="20">
        <v>0.5854166666666667</v>
      </c>
      <c r="C930" s="18">
        <v>45988.0</v>
      </c>
      <c r="D930" s="20">
        <v>0.5888888888888889</v>
      </c>
      <c r="E930" s="22" t="s">
        <v>7096</v>
      </c>
      <c r="F930" s="22" t="s">
        <v>7097</v>
      </c>
      <c r="G930" s="22" t="s">
        <v>7098</v>
      </c>
      <c r="H930" s="22" t="s">
        <v>156</v>
      </c>
      <c r="I930" s="22" t="s">
        <v>2026</v>
      </c>
      <c r="J930" s="22" t="s">
        <v>3806</v>
      </c>
      <c r="K930" s="22" t="s">
        <v>43</v>
      </c>
      <c r="L930" s="22" t="s">
        <v>617</v>
      </c>
      <c r="M930" s="22" t="s">
        <v>7099</v>
      </c>
      <c r="N930" s="22" t="s">
        <v>7100</v>
      </c>
      <c r="O930" s="23" t="s">
        <v>7101</v>
      </c>
      <c r="P930" s="22" t="s">
        <v>75</v>
      </c>
      <c r="Q930" s="50" t="s">
        <v>49</v>
      </c>
      <c r="R930" s="22" t="s">
        <v>7102</v>
      </c>
      <c r="S930" s="22" t="s">
        <v>51</v>
      </c>
      <c r="T930" s="22" t="s">
        <v>52</v>
      </c>
      <c r="U930" s="22" t="s">
        <v>52</v>
      </c>
      <c r="V930" s="22" t="s">
        <v>52</v>
      </c>
      <c r="W930" s="18">
        <v>45988.0</v>
      </c>
      <c r="X930" s="20">
        <v>0.5888888888888889</v>
      </c>
      <c r="Y930" s="18">
        <v>45988.0</v>
      </c>
      <c r="Z930" s="20">
        <v>0.6423611111111112</v>
      </c>
      <c r="AA930" s="20">
        <v>0.6458333333333334</v>
      </c>
      <c r="AB930" s="51">
        <v>0.6680555555555555</v>
      </c>
      <c r="AC930" s="51">
        <v>0.6909722222222222</v>
      </c>
      <c r="AD930" s="51">
        <v>0.7430555555555556</v>
      </c>
      <c r="AE930" s="18">
        <v>45988.0</v>
      </c>
      <c r="AF930" s="22" t="s">
        <v>2828</v>
      </c>
      <c r="AG930" s="22" t="s">
        <v>583</v>
      </c>
      <c r="AH930" s="22" t="s">
        <v>7103</v>
      </c>
      <c r="AI930" s="26" t="str">
        <f>IFERROR(__xludf.DUMMYFUNCTION("IF(OR(W930="""",X930="""",AE930="""",AD930=""""),"""",
   TEXT(
     (
       (AE930+AD930 + IF(AE930+AD930 &lt; W930+X930,1,0)) - (W930+X930)
     )
     - IF(AND(AB930&lt;&gt;"""",AC930&lt;&gt;""""), 
          SUM(ARRAYFORMULA(SPLIT(AC930,"","") - SPLIT(AB930,"",""))"&amp;"), 
          0
       ),
     ""[hh]:mm""
   )
)
"),"03:09")</f>
        <v>03:09</v>
      </c>
      <c r="AJ930" s="55">
        <f t="shared" si="16"/>
        <v>0</v>
      </c>
      <c r="AK930" s="28" t="str">
        <f t="shared" si="17"/>
        <v>Pass</v>
      </c>
    </row>
    <row r="931">
      <c r="A931" s="45">
        <v>45957.0</v>
      </c>
      <c r="B931" s="49">
        <v>0.8743055555555556</v>
      </c>
      <c r="C931" s="45">
        <v>45964.0</v>
      </c>
      <c r="D931" s="49">
        <v>0.6</v>
      </c>
      <c r="E931" s="21" t="s">
        <v>7104</v>
      </c>
      <c r="F931" s="21" t="s">
        <v>202</v>
      </c>
      <c r="G931" s="21" t="s">
        <v>203</v>
      </c>
      <c r="H931" s="21" t="s">
        <v>2352</v>
      </c>
      <c r="I931" s="21" t="s">
        <v>928</v>
      </c>
      <c r="J931" s="21" t="s">
        <v>928</v>
      </c>
      <c r="K931" s="21" t="s">
        <v>52</v>
      </c>
      <c r="L931" s="21" t="s">
        <v>52</v>
      </c>
      <c r="M931" s="21" t="s">
        <v>52</v>
      </c>
      <c r="N931" s="21" t="s">
        <v>7105</v>
      </c>
      <c r="O931" s="48" t="s">
        <v>7106</v>
      </c>
      <c r="P931" s="21" t="s">
        <v>48</v>
      </c>
      <c r="Q931" s="24" t="s">
        <v>449</v>
      </c>
      <c r="R931" s="21" t="s">
        <v>7107</v>
      </c>
      <c r="S931" s="21" t="s">
        <v>51</v>
      </c>
      <c r="T931" s="21" t="s">
        <v>52</v>
      </c>
      <c r="U931" s="21" t="s">
        <v>52</v>
      </c>
      <c r="V931" s="21" t="s">
        <v>52</v>
      </c>
      <c r="W931" s="45">
        <v>45989.0</v>
      </c>
      <c r="X931" s="49">
        <v>0.9166666666666666</v>
      </c>
      <c r="Y931" s="45">
        <v>45989.0</v>
      </c>
      <c r="Z931" s="49">
        <v>0.8958333333333334</v>
      </c>
      <c r="AA931" s="49">
        <v>0.9791666666666666</v>
      </c>
      <c r="AB931" s="92"/>
      <c r="AC931" s="92"/>
      <c r="AD931" s="25">
        <v>0.10416666666666667</v>
      </c>
      <c r="AE931" s="45">
        <v>45989.0</v>
      </c>
      <c r="AF931" s="21" t="s">
        <v>2839</v>
      </c>
      <c r="AG931" s="21" t="s">
        <v>209</v>
      </c>
      <c r="AH931" s="21" t="s">
        <v>7108</v>
      </c>
      <c r="AI931" s="62" t="str">
        <f>IFERROR(__xludf.DUMMYFUNCTION("IF(OR(W931="""",X931="""",AE931="""",AD931=""""),"""",
   TEXT(
     (
       (AE931+AD931 + IF(AE931+AD931 &lt; W931+X931,1,0)) - (W931+X931)
     )
     - IF(AND(AB931&lt;&gt;"""",AC931&lt;&gt;""""), 
          SUM(ARRAYFORMULA(SPLIT(AC931,"","") - SPLIT(AB931,"",""))"&amp;"), 
          0
       ),
     ""[hh]:mm""
   )
)
"),"04:30")</f>
        <v>04:30</v>
      </c>
      <c r="AJ931" s="27">
        <f t="shared" si="16"/>
        <v>0</v>
      </c>
      <c r="AK931" s="63" t="str">
        <f t="shared" si="17"/>
        <v>Pass</v>
      </c>
    </row>
    <row r="932">
      <c r="A932" s="45">
        <v>45988.0</v>
      </c>
      <c r="B932" s="49">
        <v>0.6194444444444445</v>
      </c>
      <c r="C932" s="45">
        <v>45988.0</v>
      </c>
      <c r="D932" s="49">
        <v>0.6243055555555556</v>
      </c>
      <c r="E932" s="21" t="s">
        <v>7109</v>
      </c>
      <c r="F932" s="21" t="s">
        <v>7110</v>
      </c>
      <c r="G932" s="21" t="s">
        <v>7111</v>
      </c>
      <c r="H932" s="21" t="s">
        <v>1450</v>
      </c>
      <c r="I932" s="21" t="s">
        <v>1632</v>
      </c>
      <c r="J932" s="21" t="s">
        <v>2655</v>
      </c>
      <c r="K932" s="21" t="s">
        <v>43</v>
      </c>
      <c r="L932" s="21" t="s">
        <v>1666</v>
      </c>
      <c r="M932" s="21">
        <v>2.01902250188E11</v>
      </c>
      <c r="N932" s="21" t="s">
        <v>7112</v>
      </c>
      <c r="O932" s="48" t="s">
        <v>7113</v>
      </c>
      <c r="P932" s="21" t="s">
        <v>75</v>
      </c>
      <c r="Q932" s="24" t="s">
        <v>65</v>
      </c>
      <c r="R932" s="21" t="s">
        <v>7114</v>
      </c>
      <c r="S932" s="21" t="s">
        <v>51</v>
      </c>
      <c r="T932" s="21" t="s">
        <v>52</v>
      </c>
      <c r="U932" s="21" t="s">
        <v>52</v>
      </c>
      <c r="V932" s="21" t="s">
        <v>52</v>
      </c>
      <c r="W932" s="45">
        <v>45989.0</v>
      </c>
      <c r="X932" s="49">
        <v>0.2916666666666667</v>
      </c>
      <c r="Y932" s="45">
        <v>45989.0</v>
      </c>
      <c r="Z932" s="49">
        <v>0.525</v>
      </c>
      <c r="AA932" s="49">
        <v>0.5277777777777778</v>
      </c>
      <c r="AB932" s="29"/>
      <c r="AC932" s="29"/>
      <c r="AD932" s="25">
        <v>0.6284722222222222</v>
      </c>
      <c r="AE932" s="45">
        <v>45989.0</v>
      </c>
      <c r="AF932" s="21" t="s">
        <v>2828</v>
      </c>
      <c r="AG932" s="21" t="s">
        <v>583</v>
      </c>
      <c r="AH932" s="21" t="s">
        <v>7115</v>
      </c>
      <c r="AI932" s="62" t="str">
        <f>IFERROR(__xludf.DUMMYFUNCTION("IF(OR(W932="""",X932="""",AE932="""",AD932=""""),"""",
   TEXT(
     (
       (AE932+AD932 + IF(AE932+AD932 &lt; W932+X932,1,0)) - (W932+X932)
     )
     - IF(AND(AB932&lt;&gt;"""",AC932&lt;&gt;""""), 
          SUM(ARRAYFORMULA(SPLIT(AC932,"","") - SPLIT(AB932,"",""))"&amp;"), 
          0
       ),
     ""[hh]:mm""
   )
)
"),"08:05")</f>
        <v>08:05</v>
      </c>
      <c r="AJ932" s="27">
        <f t="shared" si="16"/>
        <v>0</v>
      </c>
      <c r="AK932" s="63" t="str">
        <f t="shared" si="17"/>
        <v>Pass</v>
      </c>
    </row>
    <row r="933">
      <c r="A933" s="45">
        <v>45988.0</v>
      </c>
      <c r="B933" s="49">
        <v>0.6270833333333333</v>
      </c>
      <c r="C933" s="45">
        <v>45988.0</v>
      </c>
      <c r="D933" s="49">
        <v>0.6361111111111111</v>
      </c>
      <c r="E933" s="21" t="s">
        <v>7116</v>
      </c>
      <c r="F933" s="21" t="s">
        <v>493</v>
      </c>
      <c r="G933" s="21" t="s">
        <v>2292</v>
      </c>
      <c r="H933" s="21" t="s">
        <v>4256</v>
      </c>
      <c r="I933" s="21" t="s">
        <v>131</v>
      </c>
      <c r="J933" s="21" t="s">
        <v>3806</v>
      </c>
      <c r="K933" s="21" t="s">
        <v>43</v>
      </c>
      <c r="L933" s="21">
        <v>7600.0</v>
      </c>
      <c r="M933" s="21" t="s">
        <v>7117</v>
      </c>
      <c r="N933" s="21" t="s">
        <v>7118</v>
      </c>
      <c r="O933" s="48" t="s">
        <v>7119</v>
      </c>
      <c r="P933" s="21" t="s">
        <v>75</v>
      </c>
      <c r="Q933" s="24" t="s">
        <v>65</v>
      </c>
      <c r="R933" s="21" t="s">
        <v>5147</v>
      </c>
      <c r="S933" s="21" t="s">
        <v>51</v>
      </c>
      <c r="T933" s="21" t="s">
        <v>2032</v>
      </c>
      <c r="U933" s="21" t="s">
        <v>7120</v>
      </c>
      <c r="V933" s="21" t="s">
        <v>7121</v>
      </c>
      <c r="W933" s="45">
        <v>45989.0</v>
      </c>
      <c r="X933" s="49">
        <v>0.2916666666666667</v>
      </c>
      <c r="Y933" s="45">
        <v>45989.0</v>
      </c>
      <c r="Z933" s="49">
        <v>0.5388888888888889</v>
      </c>
      <c r="AA933" s="49">
        <v>0.5395833333333333</v>
      </c>
      <c r="AB933" s="25">
        <v>0.5416666666666666</v>
      </c>
      <c r="AC933" s="25">
        <v>0.6284722222222222</v>
      </c>
      <c r="AD933" s="25">
        <v>0.6423611111111112</v>
      </c>
      <c r="AE933" s="45">
        <v>45989.0</v>
      </c>
      <c r="AF933" s="21" t="s">
        <v>4243</v>
      </c>
      <c r="AG933" s="21" t="s">
        <v>102</v>
      </c>
      <c r="AH933" s="21" t="s">
        <v>7122</v>
      </c>
      <c r="AI933" s="62" t="str">
        <f>IFERROR(__xludf.DUMMYFUNCTION("IF(OR(W933="""",X933="""",AE933="""",AD933=""""),"""",
   TEXT(
     (
       (AE933+AD933 + IF(AE933+AD933 &lt; W933+X933,1,0)) - (W933+X933)
     )
     - IF(AND(AB933&lt;&gt;"""",AC933&lt;&gt;""""), 
          SUM(ARRAYFORMULA(SPLIT(AC933,"","") - SPLIT(AB933,"",""))"&amp;"), 
          0
       ),
     ""[hh]:mm""
   )
)
"),"06:20")</f>
        <v>06:20</v>
      </c>
      <c r="AJ933" s="27">
        <f t="shared" si="16"/>
        <v>0</v>
      </c>
      <c r="AK933" s="63" t="str">
        <f t="shared" si="17"/>
        <v>Pass</v>
      </c>
    </row>
    <row r="934">
      <c r="A934" s="45">
        <v>45988.0</v>
      </c>
      <c r="B934" s="49">
        <v>0.7715277777777778</v>
      </c>
      <c r="C934" s="45">
        <v>45988.0</v>
      </c>
      <c r="D934" s="49">
        <v>0.7840277777777778</v>
      </c>
      <c r="E934" s="21" t="s">
        <v>7123</v>
      </c>
      <c r="F934" s="21" t="s">
        <v>1127</v>
      </c>
      <c r="G934" s="31" t="s">
        <v>1128</v>
      </c>
      <c r="H934" s="21" t="s">
        <v>566</v>
      </c>
      <c r="I934" s="21" t="s">
        <v>644</v>
      </c>
      <c r="J934" s="21" t="s">
        <v>644</v>
      </c>
      <c r="K934" s="21" t="s">
        <v>333</v>
      </c>
      <c r="L934" s="21" t="s">
        <v>7124</v>
      </c>
      <c r="M934" s="21" t="s">
        <v>7125</v>
      </c>
      <c r="N934" s="21" t="s">
        <v>7126</v>
      </c>
      <c r="O934" s="48" t="s">
        <v>7127</v>
      </c>
      <c r="P934" s="21" t="s">
        <v>48</v>
      </c>
      <c r="Q934" s="24" t="s">
        <v>65</v>
      </c>
      <c r="R934" s="21" t="s">
        <v>7128</v>
      </c>
      <c r="S934" s="21" t="s">
        <v>51</v>
      </c>
      <c r="T934" s="21" t="s">
        <v>52</v>
      </c>
      <c r="U934" s="21" t="s">
        <v>52</v>
      </c>
      <c r="V934" s="21" t="s">
        <v>52</v>
      </c>
      <c r="W934" s="45">
        <v>45989.0</v>
      </c>
      <c r="X934" s="49">
        <v>0.38472222222222224</v>
      </c>
      <c r="Y934" s="45">
        <v>45989.0</v>
      </c>
      <c r="Z934" s="49">
        <v>0.5138888888888888</v>
      </c>
      <c r="AA934" s="49">
        <v>0.5173611111111112</v>
      </c>
      <c r="AB934" s="25">
        <v>0.5416666666666666</v>
      </c>
      <c r="AC934" s="25">
        <v>0.5833333333333334</v>
      </c>
      <c r="AD934" s="25">
        <v>0.5833333333333334</v>
      </c>
      <c r="AE934" s="45">
        <v>45989.0</v>
      </c>
      <c r="AF934" s="21" t="s">
        <v>3327</v>
      </c>
      <c r="AG934" s="21" t="s">
        <v>284</v>
      </c>
      <c r="AH934" s="21" t="s">
        <v>7129</v>
      </c>
      <c r="AI934" s="62" t="str">
        <f>IFERROR(__xludf.DUMMYFUNCTION("IF(OR(W934="""",X934="""",AE934="""",AD934=""""),"""",
   TEXT(
     (
       (AE934+AD934 + IF(AE934+AD934 &lt; W934+X934,1,0)) - (W934+X934)
     )
     - IF(AND(AB934&lt;&gt;"""",AC934&lt;&gt;""""), 
          SUM(ARRAYFORMULA(SPLIT(AC934,"","") - SPLIT(AB934,"",""))"&amp;"), 
          0
       ),
     ""[hh]:mm""
   )
)
"),"03:46")</f>
        <v>03:46</v>
      </c>
      <c r="AJ934" s="27">
        <f t="shared" si="16"/>
        <v>0</v>
      </c>
      <c r="AK934" s="63" t="str">
        <f t="shared" si="17"/>
        <v>Pass</v>
      </c>
    </row>
    <row r="935">
      <c r="A935" s="45">
        <v>45988.0</v>
      </c>
      <c r="B935" s="49">
        <v>0.8708333333333333</v>
      </c>
      <c r="C935" s="45">
        <v>45988.0</v>
      </c>
      <c r="D935" s="49">
        <v>0.8777777777777778</v>
      </c>
      <c r="E935" s="21" t="s">
        <v>7130</v>
      </c>
      <c r="F935" s="21" t="s">
        <v>3344</v>
      </c>
      <c r="G935" s="21" t="s">
        <v>3345</v>
      </c>
      <c r="H935" s="21" t="s">
        <v>566</v>
      </c>
      <c r="I935" s="21" t="s">
        <v>95</v>
      </c>
      <c r="J935" s="21" t="s">
        <v>95</v>
      </c>
      <c r="K935" s="21" t="s">
        <v>1202</v>
      </c>
      <c r="L935" s="21" t="s">
        <v>606</v>
      </c>
      <c r="M935" s="21" t="s">
        <v>6479</v>
      </c>
      <c r="N935" s="21" t="s">
        <v>7131</v>
      </c>
      <c r="O935" s="48" t="s">
        <v>7132</v>
      </c>
      <c r="P935" s="21" t="s">
        <v>48</v>
      </c>
      <c r="Q935" s="24" t="s">
        <v>49</v>
      </c>
      <c r="R935" s="21" t="s">
        <v>7133</v>
      </c>
      <c r="S935" s="21" t="s">
        <v>51</v>
      </c>
      <c r="T935" s="21" t="s">
        <v>52</v>
      </c>
      <c r="U935" s="21" t="s">
        <v>52</v>
      </c>
      <c r="V935" s="21" t="s">
        <v>52</v>
      </c>
      <c r="W935" s="45">
        <v>45989.0</v>
      </c>
      <c r="X935" s="49">
        <v>0.375</v>
      </c>
      <c r="Y935" s="45">
        <v>45989.0</v>
      </c>
      <c r="Z935" s="49">
        <v>0.36944444444444446</v>
      </c>
      <c r="AA935" s="49">
        <v>0.375</v>
      </c>
      <c r="AB935" s="29"/>
      <c r="AC935" s="29"/>
      <c r="AD935" s="25">
        <v>0.5069444444444444</v>
      </c>
      <c r="AE935" s="45">
        <v>45989.0</v>
      </c>
      <c r="AF935" s="21" t="s">
        <v>3327</v>
      </c>
      <c r="AG935" s="21" t="s">
        <v>583</v>
      </c>
      <c r="AH935" s="21" t="s">
        <v>3349</v>
      </c>
      <c r="AI935" s="62" t="str">
        <f>IFERROR(__xludf.DUMMYFUNCTION("IF(OR(W935="""",X935="""",AE935="""",AD935=""""),"""",
   TEXT(
     (
       (AE935+AD935 + IF(AE935+AD935 &lt; W935+X935,1,0)) - (W935+X935)
     )
     - IF(AND(AB935&lt;&gt;"""",AC935&lt;&gt;""""), 
          SUM(ARRAYFORMULA(SPLIT(AC935,"","") - SPLIT(AB935,"",""))"&amp;"), 
          0
       ),
     ""[hh]:mm""
   )
)
"),"03:10")</f>
        <v>03:10</v>
      </c>
      <c r="AJ935" s="27">
        <f t="shared" si="16"/>
        <v>0</v>
      </c>
      <c r="AK935" s="63" t="str">
        <f t="shared" si="17"/>
        <v>Pass</v>
      </c>
    </row>
    <row r="936">
      <c r="A936" s="45">
        <v>45989.0</v>
      </c>
      <c r="B936" s="49">
        <v>0.3472222222222222</v>
      </c>
      <c r="C936" s="45">
        <v>45989.0</v>
      </c>
      <c r="D936" s="49">
        <v>0.34791666666666665</v>
      </c>
      <c r="E936" s="21" t="s">
        <v>7134</v>
      </c>
      <c r="F936" s="21" t="s">
        <v>7135</v>
      </c>
      <c r="G936" s="21" t="s">
        <v>7136</v>
      </c>
      <c r="H936" s="21" t="s">
        <v>983</v>
      </c>
      <c r="I936" s="21" t="s">
        <v>616</v>
      </c>
      <c r="J936" s="21" t="s">
        <v>3806</v>
      </c>
      <c r="K936" s="21" t="s">
        <v>43</v>
      </c>
      <c r="L936" s="21" t="s">
        <v>2663</v>
      </c>
      <c r="M936" s="21" t="s">
        <v>7137</v>
      </c>
      <c r="N936" s="21" t="s">
        <v>7138</v>
      </c>
      <c r="O936" s="48" t="s">
        <v>7139</v>
      </c>
      <c r="P936" s="21" t="s">
        <v>75</v>
      </c>
      <c r="Q936" s="24" t="s">
        <v>65</v>
      </c>
      <c r="R936" s="21" t="s">
        <v>7140</v>
      </c>
      <c r="S936" s="21" t="s">
        <v>51</v>
      </c>
      <c r="T936" s="21" t="s">
        <v>52</v>
      </c>
      <c r="U936" s="21" t="s">
        <v>52</v>
      </c>
      <c r="V936" s="21" t="s">
        <v>52</v>
      </c>
      <c r="W936" s="45">
        <v>45989.0</v>
      </c>
      <c r="X936" s="49">
        <v>0.34791666666666665</v>
      </c>
      <c r="Y936" s="45">
        <v>45989.0</v>
      </c>
      <c r="Z936" s="49">
        <v>0.4375</v>
      </c>
      <c r="AA936" s="49">
        <v>0.4444444444444444</v>
      </c>
      <c r="AB936" s="29"/>
      <c r="AC936" s="29"/>
      <c r="AD936" s="25">
        <v>0.5</v>
      </c>
      <c r="AE936" s="45">
        <v>45989.0</v>
      </c>
      <c r="AF936" s="21" t="s">
        <v>7141</v>
      </c>
      <c r="AG936" s="21" t="s">
        <v>293</v>
      </c>
      <c r="AH936" s="21" t="s">
        <v>7142</v>
      </c>
      <c r="AI936" s="62" t="str">
        <f>IFERROR(__xludf.DUMMYFUNCTION("IF(OR(W936="""",X936="""",AE936="""",AD936=""""),"""",
   TEXT(
     (
       (AE936+AD936 + IF(AE936+AD936 &lt; W936+X936,1,0)) - (W936+X936)
     )
     - IF(AND(AB936&lt;&gt;"""",AC936&lt;&gt;""""), 
          SUM(ARRAYFORMULA(SPLIT(AC936,"","") - SPLIT(AB936,"",""))"&amp;"), 
          0
       ),
     ""[hh]:mm""
   )
)
"),"03:39")</f>
        <v>03:39</v>
      </c>
      <c r="AJ936" s="27">
        <f t="shared" si="16"/>
        <v>0</v>
      </c>
      <c r="AK936" s="63" t="str">
        <f t="shared" si="17"/>
        <v>Pass</v>
      </c>
    </row>
    <row r="937">
      <c r="A937" s="45">
        <v>45989.0</v>
      </c>
      <c r="B937" s="49">
        <v>0.5861111111111111</v>
      </c>
      <c r="C937" s="45">
        <v>45989.0</v>
      </c>
      <c r="D937" s="49">
        <v>0.5888888888888889</v>
      </c>
      <c r="E937" s="21" t="s">
        <v>7143</v>
      </c>
      <c r="F937" s="21" t="s">
        <v>1922</v>
      </c>
      <c r="G937" s="21" t="s">
        <v>1923</v>
      </c>
      <c r="H937" s="21" t="s">
        <v>756</v>
      </c>
      <c r="I937" s="21" t="s">
        <v>60</v>
      </c>
      <c r="J937" s="21" t="s">
        <v>169</v>
      </c>
      <c r="K937" s="21" t="s">
        <v>61</v>
      </c>
      <c r="L937" s="21" t="s">
        <v>183</v>
      </c>
      <c r="M937" s="21" t="s">
        <v>7144</v>
      </c>
      <c r="N937" s="21" t="s">
        <v>7145</v>
      </c>
      <c r="O937" s="48" t="s">
        <v>7146</v>
      </c>
      <c r="P937" s="21" t="s">
        <v>75</v>
      </c>
      <c r="Q937" s="24" t="s">
        <v>198</v>
      </c>
      <c r="R937" s="21" t="s">
        <v>7147</v>
      </c>
      <c r="S937" s="21" t="s">
        <v>51</v>
      </c>
      <c r="T937" s="21" t="s">
        <v>169</v>
      </c>
      <c r="U937" s="21" t="s">
        <v>7148</v>
      </c>
      <c r="V937" s="21" t="s">
        <v>7149</v>
      </c>
      <c r="W937" s="45">
        <v>45989.0</v>
      </c>
      <c r="X937" s="49">
        <v>0.5888888888888889</v>
      </c>
      <c r="Y937" s="45">
        <v>45989.0</v>
      </c>
      <c r="Z937" s="49">
        <v>0.65</v>
      </c>
      <c r="AA937" s="49">
        <v>0.6527777777777778</v>
      </c>
      <c r="AB937" s="25">
        <v>0.6659722222222222</v>
      </c>
      <c r="AC937" s="25">
        <v>0.7118055555555556</v>
      </c>
      <c r="AD937" s="25">
        <v>0.7291666666666666</v>
      </c>
      <c r="AE937" s="45">
        <v>45989.0</v>
      </c>
      <c r="AF937" s="21" t="s">
        <v>7150</v>
      </c>
      <c r="AG937" s="21" t="s">
        <v>2679</v>
      </c>
      <c r="AH937" s="21" t="s">
        <v>7151</v>
      </c>
      <c r="AI937" s="62" t="str">
        <f>IFERROR(__xludf.DUMMYFUNCTION("IF(OR(W937="""",X937="""",AE937="""",AD937=""""),"""",
   TEXT(
     (
       (AE937+AD937 + IF(AE937+AD937 &lt; W937+X937,1,0)) - (W937+X937)
     )
     - IF(AND(AB937&lt;&gt;"""",AC937&lt;&gt;""""), 
          SUM(ARRAYFORMULA(SPLIT(AC937,"","") - SPLIT(AB937,"",""))"&amp;"), 
          0
       ),
     ""[hh]:mm""
   )
)
"),"02:16")</f>
        <v>02:16</v>
      </c>
      <c r="AJ937" s="27">
        <f t="shared" si="16"/>
        <v>0</v>
      </c>
      <c r="AK937" s="63" t="str">
        <f t="shared" si="17"/>
        <v>Pass</v>
      </c>
    </row>
    <row r="938">
      <c r="A938" s="45">
        <v>45989.0</v>
      </c>
      <c r="B938" s="49">
        <v>0.5930555555555556</v>
      </c>
      <c r="C938" s="45">
        <v>45989.0</v>
      </c>
      <c r="D938" s="49">
        <v>0.5972222222222222</v>
      </c>
      <c r="E938" s="21" t="s">
        <v>7152</v>
      </c>
      <c r="F938" s="21" t="s">
        <v>7153</v>
      </c>
      <c r="G938" s="21" t="s">
        <v>7154</v>
      </c>
      <c r="H938" s="21" t="s">
        <v>756</v>
      </c>
      <c r="I938" s="21" t="s">
        <v>1326</v>
      </c>
      <c r="J938" s="21" t="s">
        <v>768</v>
      </c>
      <c r="K938" s="21" t="s">
        <v>769</v>
      </c>
      <c r="L938" s="21" t="s">
        <v>1327</v>
      </c>
      <c r="M938" s="21" t="s">
        <v>7155</v>
      </c>
      <c r="N938" s="21" t="s">
        <v>7156</v>
      </c>
      <c r="O938" s="48" t="s">
        <v>7157</v>
      </c>
      <c r="P938" s="21" t="s">
        <v>75</v>
      </c>
      <c r="Q938" s="24" t="s">
        <v>65</v>
      </c>
      <c r="R938" s="21" t="s">
        <v>7158</v>
      </c>
      <c r="S938" s="21" t="s">
        <v>51</v>
      </c>
      <c r="T938" s="21" t="s">
        <v>52</v>
      </c>
      <c r="U938" s="21" t="s">
        <v>52</v>
      </c>
      <c r="V938" s="21" t="s">
        <v>52</v>
      </c>
      <c r="W938" s="45">
        <v>45989.0</v>
      </c>
      <c r="X938" s="49">
        <v>0.5972222222222222</v>
      </c>
      <c r="Y938" s="45">
        <v>45989.0</v>
      </c>
      <c r="Z938" s="49">
        <v>0.7326388888888888</v>
      </c>
      <c r="AA938" s="49">
        <v>0.7430555555555556</v>
      </c>
      <c r="AB938" s="29"/>
      <c r="AC938" s="29"/>
      <c r="AD938" s="25">
        <v>0.81875</v>
      </c>
      <c r="AE938" s="45">
        <v>45989.0</v>
      </c>
      <c r="AF938" s="21" t="s">
        <v>2788</v>
      </c>
      <c r="AG938" s="21" t="s">
        <v>6787</v>
      </c>
      <c r="AH938" s="21" t="s">
        <v>7159</v>
      </c>
      <c r="AI938" s="62" t="str">
        <f>IFERROR(__xludf.DUMMYFUNCTION("IF(OR(W938="""",X938="""",AE938="""",AD938=""""),"""",
   TEXT(
     (
       (AE938+AD938 + IF(AE938+AD938 &lt; W938+X938,1,0)) - (W938+X938)
     )
     - IF(AND(AB938&lt;&gt;"""",AC938&lt;&gt;""""), 
          SUM(ARRAYFORMULA(SPLIT(AC938,"","") - SPLIT(AB938,"",""))"&amp;"), 
          0
       ),
     ""[hh]:mm""
   )
)
"),"05:19")</f>
        <v>05:19</v>
      </c>
      <c r="AJ938" s="27">
        <f t="shared" si="16"/>
        <v>0</v>
      </c>
      <c r="AK938" s="63" t="str">
        <f t="shared" si="17"/>
        <v>Pass</v>
      </c>
    </row>
    <row r="939">
      <c r="A939" s="45">
        <v>45988.0</v>
      </c>
      <c r="B939" s="49">
        <v>0.40069444444444446</v>
      </c>
      <c r="C939" s="45">
        <v>45988.0</v>
      </c>
      <c r="D939" s="49">
        <v>0.40902777777777777</v>
      </c>
      <c r="E939" s="21" t="s">
        <v>7160</v>
      </c>
      <c r="F939" s="22" t="s">
        <v>5487</v>
      </c>
      <c r="G939" s="22" t="s">
        <v>5488</v>
      </c>
      <c r="H939" s="21" t="s">
        <v>156</v>
      </c>
      <c r="I939" s="21" t="s">
        <v>616</v>
      </c>
      <c r="J939" s="21" t="s">
        <v>2253</v>
      </c>
      <c r="K939" s="21" t="s">
        <v>43</v>
      </c>
      <c r="L939" s="21" t="s">
        <v>805</v>
      </c>
      <c r="M939" s="21" t="s">
        <v>7161</v>
      </c>
      <c r="N939" s="21" t="s">
        <v>7162</v>
      </c>
      <c r="O939" s="48" t="s">
        <v>7163</v>
      </c>
      <c r="P939" s="21" t="s">
        <v>75</v>
      </c>
      <c r="Q939" s="24" t="s">
        <v>65</v>
      </c>
      <c r="R939" s="102" t="s">
        <v>7164</v>
      </c>
      <c r="S939" s="21" t="s">
        <v>51</v>
      </c>
      <c r="T939" s="21" t="s">
        <v>2032</v>
      </c>
      <c r="U939" s="21" t="s">
        <v>7165</v>
      </c>
      <c r="V939" s="21" t="s">
        <v>7161</v>
      </c>
      <c r="W939" s="45">
        <v>45989.0</v>
      </c>
      <c r="X939" s="49">
        <v>0.6270833333333333</v>
      </c>
      <c r="Y939" s="45">
        <v>45989.0</v>
      </c>
      <c r="Z939" s="49">
        <v>0.6652777777777777</v>
      </c>
      <c r="AA939" s="49">
        <v>0.6666666666666666</v>
      </c>
      <c r="AB939" s="25">
        <v>0.6736111111111112</v>
      </c>
      <c r="AC939" s="25">
        <v>0.7409722222222223</v>
      </c>
      <c r="AD939" s="25">
        <v>0.7361111111111112</v>
      </c>
      <c r="AE939" s="45">
        <v>45989.0</v>
      </c>
      <c r="AF939" s="21" t="s">
        <v>7020</v>
      </c>
      <c r="AG939" s="21" t="s">
        <v>7166</v>
      </c>
      <c r="AH939" s="21" t="s">
        <v>5493</v>
      </c>
      <c r="AI939" s="62" t="str">
        <f>IFERROR(__xludf.DUMMYFUNCTION("IF(OR(W939="""",X939="""",AE939="""",AD939=""""),"""",
   TEXT(
     (
       (AE939+AD939 + IF(AE939+AD939 &lt; W939+X939,1,0)) - (W939+X939)
     )
     - IF(AND(AB939&lt;&gt;"""",AC939&lt;&gt;""""), 
          SUM(ARRAYFORMULA(SPLIT(AC939,"","") - SPLIT(AB939,"",""))"&amp;"), 
          0
       ),
     ""[hh]:mm""
   )
)
"),"01:00")</f>
        <v>01:00</v>
      </c>
      <c r="AJ939" s="27">
        <f t="shared" si="16"/>
        <v>0</v>
      </c>
      <c r="AK939" s="63" t="str">
        <f t="shared" si="17"/>
        <v>Pass</v>
      </c>
    </row>
    <row r="940">
      <c r="A940" s="45">
        <v>45989.0</v>
      </c>
      <c r="B940" s="49">
        <v>0.6388888888888888</v>
      </c>
      <c r="C940" s="45">
        <v>45989.0</v>
      </c>
      <c r="D940" s="49">
        <v>0.6402777777777777</v>
      </c>
      <c r="E940" s="21" t="s">
        <v>7167</v>
      </c>
      <c r="F940" s="21" t="s">
        <v>981</v>
      </c>
      <c r="G940" s="21" t="s">
        <v>7168</v>
      </c>
      <c r="H940" s="21" t="s">
        <v>130</v>
      </c>
      <c r="I940" s="21" t="s">
        <v>1814</v>
      </c>
      <c r="J940" s="21" t="s">
        <v>4198</v>
      </c>
      <c r="K940" s="21" t="s">
        <v>72</v>
      </c>
      <c r="L940" s="21" t="s">
        <v>1815</v>
      </c>
      <c r="M940" s="21" t="s">
        <v>7169</v>
      </c>
      <c r="N940" s="21" t="s">
        <v>7170</v>
      </c>
      <c r="O940" s="48" t="s">
        <v>7171</v>
      </c>
      <c r="P940" s="21" t="s">
        <v>75</v>
      </c>
      <c r="Q940" s="24" t="s">
        <v>65</v>
      </c>
      <c r="R940" s="21" t="s">
        <v>7172</v>
      </c>
      <c r="S940" s="21" t="s">
        <v>51</v>
      </c>
      <c r="T940" s="21" t="s">
        <v>5483</v>
      </c>
      <c r="U940" s="21" t="s">
        <v>7173</v>
      </c>
      <c r="V940" s="21" t="s">
        <v>7169</v>
      </c>
      <c r="W940" s="45">
        <v>45989.0</v>
      </c>
      <c r="X940" s="49">
        <v>0.6402777777777777</v>
      </c>
      <c r="Y940" s="45">
        <v>45989.0</v>
      </c>
      <c r="Z940" s="49">
        <v>0.7666666666666667</v>
      </c>
      <c r="AA940" s="49">
        <v>0.7673611111111112</v>
      </c>
      <c r="AB940" s="25">
        <v>0.7729166666666667</v>
      </c>
      <c r="AC940" s="25">
        <v>0.9263888888888889</v>
      </c>
      <c r="AD940" s="25">
        <v>0.9340277777777778</v>
      </c>
      <c r="AE940" s="45">
        <v>45989.0</v>
      </c>
      <c r="AF940" s="21" t="s">
        <v>2828</v>
      </c>
      <c r="AG940" s="21" t="s">
        <v>239</v>
      </c>
      <c r="AH940" s="21" t="s">
        <v>7174</v>
      </c>
      <c r="AI940" s="62" t="str">
        <f>IFERROR(__xludf.DUMMYFUNCTION("IF(OR(W940="""",X940="""",AE940="""",AD940=""""),"""",
   TEXT(
     (
       (AE940+AD940 + IF(AE940+AD940 &lt; W940+X940,1,0)) - (W940+X940)
     )
     - IF(AND(AB940&lt;&gt;"""",AC940&lt;&gt;""""), 
          SUM(ARRAYFORMULA(SPLIT(AC940,"","") - SPLIT(AB940,"",""))"&amp;"), 
          0
       ),
     ""[hh]:mm""
   )
)
"),"03:22")</f>
        <v>03:22</v>
      </c>
      <c r="AJ940" s="27">
        <f t="shared" si="16"/>
        <v>0</v>
      </c>
      <c r="AK940" s="63" t="str">
        <f t="shared" si="17"/>
        <v>Pass</v>
      </c>
    </row>
    <row r="941">
      <c r="A941" s="45">
        <v>45989.0</v>
      </c>
      <c r="B941" s="49">
        <v>0.79375</v>
      </c>
      <c r="C941" s="45">
        <v>45989.0</v>
      </c>
      <c r="D941" s="49">
        <v>0.7951388888888888</v>
      </c>
      <c r="E941" s="21" t="s">
        <v>7175</v>
      </c>
      <c r="F941" s="21" t="s">
        <v>7176</v>
      </c>
      <c r="G941" s="21" t="s">
        <v>7177</v>
      </c>
      <c r="H941" s="21" t="s">
        <v>244</v>
      </c>
      <c r="I941" s="21" t="s">
        <v>60</v>
      </c>
      <c r="J941" s="21" t="s">
        <v>3813</v>
      </c>
      <c r="K941" s="21" t="s">
        <v>61</v>
      </c>
      <c r="L941" s="21" t="s">
        <v>2585</v>
      </c>
      <c r="M941" s="21" t="s">
        <v>7178</v>
      </c>
      <c r="N941" s="21" t="s">
        <v>7179</v>
      </c>
      <c r="O941" s="48" t="s">
        <v>7180</v>
      </c>
      <c r="P941" s="21" t="s">
        <v>48</v>
      </c>
      <c r="Q941" s="24" t="s">
        <v>65</v>
      </c>
      <c r="R941" s="21" t="s">
        <v>7181</v>
      </c>
      <c r="S941" s="21" t="s">
        <v>51</v>
      </c>
      <c r="T941" s="21" t="s">
        <v>52</v>
      </c>
      <c r="U941" s="21" t="s">
        <v>52</v>
      </c>
      <c r="V941" s="21" t="s">
        <v>52</v>
      </c>
      <c r="W941" s="45">
        <v>45989.0</v>
      </c>
      <c r="X941" s="49">
        <v>0.7951388888888888</v>
      </c>
      <c r="Y941" s="45">
        <v>45989.0</v>
      </c>
      <c r="Z941" s="49">
        <v>0.8534722222222222</v>
      </c>
      <c r="AA941" s="49">
        <v>0.8541666666666666</v>
      </c>
      <c r="AB941" s="29"/>
      <c r="AC941" s="29"/>
      <c r="AD941" s="25">
        <v>0.9097222222222222</v>
      </c>
      <c r="AE941" s="45">
        <v>45989.0</v>
      </c>
      <c r="AF941" s="21" t="s">
        <v>2744</v>
      </c>
      <c r="AG941" s="21" t="s">
        <v>3191</v>
      </c>
      <c r="AH941" s="21" t="s">
        <v>7182</v>
      </c>
      <c r="AI941" s="62" t="str">
        <f>IFERROR(__xludf.DUMMYFUNCTION("IF(OR(W941="""",X941="""",AE941="""",AD941=""""),"""",
   TEXT(
     (
       (AE941+AD941 + IF(AE941+AD941 &lt; W941+X941,1,0)) - (W941+X941)
     )
     - IF(AND(AB941&lt;&gt;"""",AC941&lt;&gt;""""), 
          SUM(ARRAYFORMULA(SPLIT(AC941,"","") - SPLIT(AB941,"",""))"&amp;"), 
          0
       ),
     ""[hh]:mm""
   )
)
"),"02:45")</f>
        <v>02:45</v>
      </c>
      <c r="AJ941" s="27">
        <f t="shared" si="16"/>
        <v>0</v>
      </c>
      <c r="AK941" s="63" t="str">
        <f t="shared" si="17"/>
        <v>Pass</v>
      </c>
    </row>
    <row r="942">
      <c r="A942" s="45">
        <v>45989.0</v>
      </c>
      <c r="B942" s="49">
        <v>0.9097222222222222</v>
      </c>
      <c r="C942" s="45">
        <v>45989.0</v>
      </c>
      <c r="D942" s="49">
        <v>0.9097222222222222</v>
      </c>
      <c r="E942" s="21" t="s">
        <v>7183</v>
      </c>
      <c r="F942" s="21" t="s">
        <v>1144</v>
      </c>
      <c r="G942" s="21" t="s">
        <v>1145</v>
      </c>
      <c r="H942" s="21" t="s">
        <v>2248</v>
      </c>
      <c r="I942" s="21" t="s">
        <v>616</v>
      </c>
      <c r="J942" s="21" t="s">
        <v>3806</v>
      </c>
      <c r="K942" s="21" t="s">
        <v>43</v>
      </c>
      <c r="L942" s="21" t="s">
        <v>6471</v>
      </c>
      <c r="M942" s="21" t="s">
        <v>7184</v>
      </c>
      <c r="N942" s="21" t="s">
        <v>7185</v>
      </c>
      <c r="O942" s="48" t="s">
        <v>7186</v>
      </c>
      <c r="P942" s="21" t="s">
        <v>75</v>
      </c>
      <c r="Q942" s="24" t="s">
        <v>65</v>
      </c>
      <c r="R942" s="21" t="s">
        <v>7187</v>
      </c>
      <c r="S942" s="21" t="s">
        <v>51</v>
      </c>
      <c r="T942" s="21" t="s">
        <v>52</v>
      </c>
      <c r="U942" s="21" t="s">
        <v>52</v>
      </c>
      <c r="V942" s="21" t="s">
        <v>52</v>
      </c>
      <c r="W942" s="45">
        <v>45989.0</v>
      </c>
      <c r="X942" s="49">
        <v>0.8666666666666667</v>
      </c>
      <c r="Y942" s="45">
        <v>45989.0</v>
      </c>
      <c r="Z942" s="49">
        <v>0.9097222222222222</v>
      </c>
      <c r="AA942" s="49">
        <v>0.9104166666666667</v>
      </c>
      <c r="AB942" s="29"/>
      <c r="AC942" s="29"/>
      <c r="AD942" s="25">
        <v>0.9583333333333334</v>
      </c>
      <c r="AE942" s="45">
        <v>45989.0</v>
      </c>
      <c r="AF942" s="21" t="s">
        <v>33</v>
      </c>
      <c r="AG942" s="21" t="s">
        <v>7188</v>
      </c>
      <c r="AH942" s="21" t="s">
        <v>7189</v>
      </c>
      <c r="AI942" s="62" t="str">
        <f>IFERROR(__xludf.DUMMYFUNCTION("IF(OR(W942="""",X942="""",AE942="""",AD942=""""),"""",
   TEXT(
     (
       (AE942+AD942 + IF(AE942+AD942 &lt; W942+X942,1,0)) - (W942+X942)
     )
     - IF(AND(AB942&lt;&gt;"""",AC942&lt;&gt;""""), 
          SUM(ARRAYFORMULA(SPLIT(AC942,"","") - SPLIT(AB942,"",""))"&amp;"), 
          0
       ),
     ""[hh]:mm""
   )
)
"),"02:12")</f>
        <v>02:12</v>
      </c>
      <c r="AJ942" s="27">
        <f t="shared" si="16"/>
        <v>0</v>
      </c>
      <c r="AK942" s="63" t="str">
        <f t="shared" si="17"/>
        <v>Pass</v>
      </c>
    </row>
    <row r="943">
      <c r="A943" s="45">
        <v>45989.0</v>
      </c>
      <c r="B943" s="49">
        <v>0.6465277777777778</v>
      </c>
      <c r="C943" s="45">
        <v>45989.0</v>
      </c>
      <c r="D943" s="49">
        <v>0.6493055555555556</v>
      </c>
      <c r="E943" s="21" t="s">
        <v>7190</v>
      </c>
      <c r="F943" s="21" t="s">
        <v>278</v>
      </c>
      <c r="G943" s="21" t="s">
        <v>279</v>
      </c>
      <c r="H943" s="21" t="s">
        <v>156</v>
      </c>
      <c r="I943" s="21" t="s">
        <v>131</v>
      </c>
      <c r="J943" s="21" t="s">
        <v>3806</v>
      </c>
      <c r="K943" s="21" t="s">
        <v>43</v>
      </c>
      <c r="L943" s="21" t="s">
        <v>7191</v>
      </c>
      <c r="M943" s="21" t="s">
        <v>3629</v>
      </c>
      <c r="N943" s="21" t="s">
        <v>7192</v>
      </c>
      <c r="O943" s="48" t="s">
        <v>7193</v>
      </c>
      <c r="P943" s="21" t="s">
        <v>75</v>
      </c>
      <c r="Q943" s="24" t="s">
        <v>65</v>
      </c>
      <c r="R943" s="21" t="s">
        <v>7194</v>
      </c>
      <c r="S943" s="21" t="s">
        <v>51</v>
      </c>
      <c r="T943" s="21" t="s">
        <v>52</v>
      </c>
      <c r="U943" s="21" t="s">
        <v>52</v>
      </c>
      <c r="V943" s="21" t="s">
        <v>52</v>
      </c>
      <c r="W943" s="45">
        <v>45990.0</v>
      </c>
      <c r="X943" s="49">
        <v>0.3333333333333333</v>
      </c>
      <c r="Y943" s="45">
        <v>45990.0</v>
      </c>
      <c r="Z943" s="49">
        <v>0.4395833333333333</v>
      </c>
      <c r="AA943" s="49">
        <v>0.4409722222222222</v>
      </c>
      <c r="AB943" s="29"/>
      <c r="AC943" s="29"/>
      <c r="AD943" s="25">
        <v>0.4826388888888889</v>
      </c>
      <c r="AE943" s="45">
        <v>45990.0</v>
      </c>
      <c r="AF943" s="21" t="s">
        <v>2744</v>
      </c>
      <c r="AG943" s="21" t="s">
        <v>1597</v>
      </c>
      <c r="AH943" s="21" t="s">
        <v>7195</v>
      </c>
      <c r="AI943" s="62" t="str">
        <f>IFERROR(__xludf.DUMMYFUNCTION("IF(OR(W943="""",X943="""",AE943="""",AD943=""""),"""",
   TEXT(
     (
       (AE943+AD943 + IF(AE943+AD943 &lt; W943+X943,1,0)) - (W943+X943)
     )
     - IF(AND(AB943&lt;&gt;"""",AC943&lt;&gt;""""), 
          SUM(ARRAYFORMULA(SPLIT(AC943,"","") - SPLIT(AB943,"",""))"&amp;"), 
          0
       ),
     ""[hh]:mm""
   )
)
"),"03:35")</f>
        <v>03:35</v>
      </c>
      <c r="AJ943" s="27">
        <f t="shared" si="16"/>
        <v>0</v>
      </c>
      <c r="AK943" s="63" t="str">
        <f t="shared" si="17"/>
        <v>Pass</v>
      </c>
    </row>
    <row r="944">
      <c r="A944" s="18">
        <v>45989.0</v>
      </c>
      <c r="B944" s="20">
        <v>0.018055555555555554</v>
      </c>
      <c r="C944" s="18">
        <v>45990.0</v>
      </c>
      <c r="D944" s="20">
        <v>0.3333333333333333</v>
      </c>
      <c r="E944" s="22" t="s">
        <v>7196</v>
      </c>
      <c r="F944" s="22" t="s">
        <v>7197</v>
      </c>
      <c r="G944" s="22" t="s">
        <v>7198</v>
      </c>
      <c r="H944" s="22" t="s">
        <v>1287</v>
      </c>
      <c r="I944" s="22" t="s">
        <v>616</v>
      </c>
      <c r="J944" s="22" t="s">
        <v>3806</v>
      </c>
      <c r="K944" s="22" t="s">
        <v>43</v>
      </c>
      <c r="L944" s="22" t="s">
        <v>6471</v>
      </c>
      <c r="M944" s="22" t="s">
        <v>7199</v>
      </c>
      <c r="N944" s="22" t="s">
        <v>7200</v>
      </c>
      <c r="O944" s="23" t="s">
        <v>7201</v>
      </c>
      <c r="P944" s="22" t="s">
        <v>75</v>
      </c>
      <c r="Q944" s="50" t="s">
        <v>65</v>
      </c>
      <c r="R944" s="22" t="s">
        <v>7202</v>
      </c>
      <c r="S944" s="22" t="s">
        <v>51</v>
      </c>
      <c r="T944" s="22" t="s">
        <v>52</v>
      </c>
      <c r="U944" s="22" t="s">
        <v>52</v>
      </c>
      <c r="V944" s="22" t="s">
        <v>52</v>
      </c>
      <c r="W944" s="18">
        <v>45990.0</v>
      </c>
      <c r="X944" s="20">
        <v>0.3333333333333333</v>
      </c>
      <c r="Y944" s="18">
        <v>45990.0</v>
      </c>
      <c r="Z944" s="20">
        <v>0.5152777777777777</v>
      </c>
      <c r="AA944" s="20">
        <v>0.5243055555555556</v>
      </c>
      <c r="AB944" s="50" t="s">
        <v>7203</v>
      </c>
      <c r="AC944" s="50" t="s">
        <v>7204</v>
      </c>
      <c r="AD944" s="51">
        <v>0.5770833333333333</v>
      </c>
      <c r="AE944" s="18">
        <v>45990.0</v>
      </c>
      <c r="AF944" s="22" t="s">
        <v>3327</v>
      </c>
      <c r="AG944" s="22" t="s">
        <v>3955</v>
      </c>
      <c r="AH944" s="22" t="s">
        <v>7205</v>
      </c>
      <c r="AI944" s="26" t="str">
        <f>IFERROR(__xludf.DUMMYFUNCTION("IF(OR(W944="""",X944="""",AE944="""",AD944=""""),"""",
   TEXT(
     (
       (AE944+AD944 + IF(AE944+AD944 &lt; W944+X944,1,0)) - (W944+X944)
     )
     - IF(AND(AB944&lt;&gt;"""",AC943&lt;&gt;""""), 
          SUM(ARRAYFORMULA(SPLIT(AC943,"","") - SPLIT(AB944,"",""))"&amp;"), 
          0
       ),
     ""[hh]:mm""
   )
)
"),"05:51")</f>
        <v>05:51</v>
      </c>
      <c r="AJ944" s="55">
        <f t="shared" si="16"/>
        <v>0</v>
      </c>
      <c r="AK944" s="28" t="str">
        <f t="shared" si="17"/>
        <v>Pass</v>
      </c>
    </row>
    <row r="945">
      <c r="A945" s="45">
        <v>45989.0</v>
      </c>
      <c r="B945" s="49">
        <v>0.9972222222222222</v>
      </c>
      <c r="C945" s="45">
        <v>45990.0</v>
      </c>
      <c r="D945" s="49">
        <v>0.3333333333333333</v>
      </c>
      <c r="E945" s="21" t="s">
        <v>7206</v>
      </c>
      <c r="F945" s="21" t="s">
        <v>3633</v>
      </c>
      <c r="G945" s="47"/>
      <c r="H945" s="21" t="s">
        <v>756</v>
      </c>
      <c r="I945" s="21" t="s">
        <v>2026</v>
      </c>
      <c r="J945" s="21" t="s">
        <v>3806</v>
      </c>
      <c r="K945" s="21" t="s">
        <v>43</v>
      </c>
      <c r="L945" s="21" t="s">
        <v>7207</v>
      </c>
      <c r="M945" s="21" t="s">
        <v>7208</v>
      </c>
      <c r="N945" s="21" t="s">
        <v>7209</v>
      </c>
      <c r="O945" s="48" t="s">
        <v>7210</v>
      </c>
      <c r="P945" s="21" t="s">
        <v>75</v>
      </c>
      <c r="Q945" s="24" t="s">
        <v>49</v>
      </c>
      <c r="R945" s="21" t="s">
        <v>7211</v>
      </c>
      <c r="S945" s="21" t="s">
        <v>51</v>
      </c>
      <c r="T945" s="21" t="s">
        <v>52</v>
      </c>
      <c r="U945" s="21" t="s">
        <v>52</v>
      </c>
      <c r="V945" s="21" t="s">
        <v>52</v>
      </c>
      <c r="W945" s="45">
        <v>45990.0</v>
      </c>
      <c r="X945" s="49">
        <v>0.3333333333333333</v>
      </c>
      <c r="Y945" s="45">
        <v>45990.0</v>
      </c>
      <c r="Z945" s="49">
        <v>0.40694444444444444</v>
      </c>
      <c r="AA945" s="49">
        <v>0.40902777777777777</v>
      </c>
      <c r="AB945" s="29"/>
      <c r="AC945" s="29"/>
      <c r="AD945" s="25">
        <v>0.4305555555555556</v>
      </c>
      <c r="AE945" s="45">
        <v>45990.0</v>
      </c>
      <c r="AF945" s="21" t="s">
        <v>7212</v>
      </c>
      <c r="AG945" s="21" t="s">
        <v>113</v>
      </c>
      <c r="AH945" s="21" t="s">
        <v>7213</v>
      </c>
      <c r="AI945" s="62" t="str">
        <f>IFERROR(__xludf.DUMMYFUNCTION("IF(OR(W945="""",X945="""",AE945="""",AD945=""""),"""",
   TEXT(
     (
       (AE945+AD945 + IF(AE945+AD945 &lt; W945+X945,1,0)) - (W945+X945)
     )
     - IF(AND(AB945&lt;&gt;"""",AC945&lt;&gt;""""), 
          SUM(ARRAYFORMULA(SPLIT(AC945,"","") - SPLIT(AB945,"",""))"&amp;"), 
          0
       ),
     ""[hh]:mm""
   )
)
"),"02:20")</f>
        <v>02:20</v>
      </c>
      <c r="AJ945" s="27">
        <f t="shared" si="16"/>
        <v>0</v>
      </c>
      <c r="AK945" s="63" t="str">
        <f t="shared" si="17"/>
        <v>Pass</v>
      </c>
    </row>
    <row r="946">
      <c r="A946" s="45">
        <v>45989.0</v>
      </c>
      <c r="B946" s="49">
        <v>0.9972222222222222</v>
      </c>
      <c r="C946" s="45">
        <v>45990.0</v>
      </c>
      <c r="D946" s="49">
        <v>0.3333333333333333</v>
      </c>
      <c r="E946" s="21" t="s">
        <v>7214</v>
      </c>
      <c r="F946" s="21" t="s">
        <v>3633</v>
      </c>
      <c r="G946" s="21" t="s">
        <v>6040</v>
      </c>
      <c r="H946" s="21" t="s">
        <v>756</v>
      </c>
      <c r="I946" s="21" t="s">
        <v>616</v>
      </c>
      <c r="J946" s="21" t="s">
        <v>3806</v>
      </c>
      <c r="K946" s="21" t="s">
        <v>43</v>
      </c>
      <c r="L946" s="21" t="s">
        <v>7207</v>
      </c>
      <c r="M946" s="21" t="s">
        <v>7215</v>
      </c>
      <c r="N946" s="21" t="s">
        <v>7216</v>
      </c>
      <c r="O946" s="48" t="s">
        <v>7217</v>
      </c>
      <c r="P946" s="21" t="s">
        <v>75</v>
      </c>
      <c r="Q946" s="24" t="s">
        <v>65</v>
      </c>
      <c r="R946" s="21" t="s">
        <v>7218</v>
      </c>
      <c r="S946" s="21" t="s">
        <v>51</v>
      </c>
      <c r="T946" s="21" t="s">
        <v>52</v>
      </c>
      <c r="U946" s="21" t="s">
        <v>52</v>
      </c>
      <c r="V946" s="21" t="s">
        <v>52</v>
      </c>
      <c r="W946" s="45">
        <v>45990.0</v>
      </c>
      <c r="X946" s="49">
        <v>0.3333333333333333</v>
      </c>
      <c r="Y946" s="45">
        <v>45990.0</v>
      </c>
      <c r="Z946" s="49">
        <v>0.40694444444444444</v>
      </c>
      <c r="AA946" s="49">
        <v>0.4305555555555556</v>
      </c>
      <c r="AB946" s="29"/>
      <c r="AC946" s="29"/>
      <c r="AD946" s="25">
        <v>0.4479166666666667</v>
      </c>
      <c r="AE946" s="45">
        <v>45990.0</v>
      </c>
      <c r="AF946" s="21" t="s">
        <v>7212</v>
      </c>
      <c r="AG946" s="21" t="s">
        <v>113</v>
      </c>
      <c r="AH946" s="21" t="s">
        <v>7213</v>
      </c>
      <c r="AI946" s="62" t="str">
        <f>IFERROR(__xludf.DUMMYFUNCTION("IF(OR(W946="""",X946="""",AE946="""",AD946=""""),"""",
   TEXT(
     (
       (AE946+AD946 + IF(AE946+AD946 &lt; W946+X946,1,0)) - (W946+X946)
     )
     - IF(AND(AB946&lt;&gt;"""",AC946&lt;&gt;""""), 
          SUM(ARRAYFORMULA(SPLIT(AC946,"","") - SPLIT(AB946,"",""))"&amp;"), 
          0
       ),
     ""[hh]:mm""
   )
)
"),"02:45")</f>
        <v>02:45</v>
      </c>
      <c r="AJ946" s="27">
        <f t="shared" si="16"/>
        <v>0</v>
      </c>
      <c r="AK946" s="63" t="str">
        <f t="shared" si="17"/>
        <v>Pass</v>
      </c>
    </row>
    <row r="947">
      <c r="A947" s="45">
        <v>45990.0</v>
      </c>
      <c r="B947" s="49">
        <v>0.15763888888888888</v>
      </c>
      <c r="C947" s="45">
        <v>45990.0</v>
      </c>
      <c r="D947" s="49">
        <v>0.3347222222222222</v>
      </c>
      <c r="E947" s="21" t="s">
        <v>7219</v>
      </c>
      <c r="F947" s="22" t="s">
        <v>7135</v>
      </c>
      <c r="G947" s="22" t="s">
        <v>7220</v>
      </c>
      <c r="H947" s="21" t="s">
        <v>377</v>
      </c>
      <c r="I947" s="21" t="s">
        <v>60</v>
      </c>
      <c r="J947" s="21" t="s">
        <v>3806</v>
      </c>
      <c r="K947" s="21" t="s">
        <v>43</v>
      </c>
      <c r="L947" s="21" t="s">
        <v>2714</v>
      </c>
      <c r="M947" s="21" t="s">
        <v>7137</v>
      </c>
      <c r="N947" s="21" t="s">
        <v>7221</v>
      </c>
      <c r="O947" s="48" t="s">
        <v>7222</v>
      </c>
      <c r="P947" s="21" t="s">
        <v>75</v>
      </c>
      <c r="Q947" s="24" t="s">
        <v>65</v>
      </c>
      <c r="R947" s="102" t="s">
        <v>7223</v>
      </c>
      <c r="S947" s="21" t="s">
        <v>51</v>
      </c>
      <c r="T947" s="21" t="s">
        <v>5148</v>
      </c>
      <c r="U947" s="21" t="s">
        <v>7224</v>
      </c>
      <c r="V947" s="21" t="s">
        <v>7137</v>
      </c>
      <c r="W947" s="45">
        <v>45990.0</v>
      </c>
      <c r="X947" s="49">
        <v>0.3347222222222222</v>
      </c>
      <c r="Y947" s="45">
        <v>45990.0</v>
      </c>
      <c r="Z947" s="49">
        <v>0.4375</v>
      </c>
      <c r="AA947" s="49">
        <v>0.4409722222222222</v>
      </c>
      <c r="AB947" s="25">
        <v>0.5055555555555555</v>
      </c>
      <c r="AC947" s="25">
        <v>0.5416666666666666</v>
      </c>
      <c r="AD947" s="25">
        <v>0.5763888888888888</v>
      </c>
      <c r="AE947" s="45">
        <v>45990.0</v>
      </c>
      <c r="AF947" s="21" t="s">
        <v>7212</v>
      </c>
      <c r="AG947" s="21" t="s">
        <v>293</v>
      </c>
      <c r="AH947" s="21" t="s">
        <v>7142</v>
      </c>
      <c r="AI947" s="62" t="str">
        <f>IFERROR(__xludf.DUMMYFUNCTION("IF(OR(W947="""",X947="""",AE947="""",AD947=""""),"""",
   TEXT(
     (
       (AE947+AD947 + IF(AE947+AD947 &lt; W947+X947,1,0)) - (W947+X947)
     )
     - IF(AND(AB947&lt;&gt;"""",AC947&lt;&gt;""""), 
          SUM(ARRAYFORMULA(SPLIT(AC947,"","") - SPLIT(AB947,"",""))"&amp;"), 
          0
       ),
     ""[hh]:mm""
   )
)
"),"04:56")</f>
        <v>04:56</v>
      </c>
      <c r="AJ947" s="27">
        <f t="shared" si="16"/>
        <v>0</v>
      </c>
      <c r="AK947" s="63" t="str">
        <f t="shared" si="17"/>
        <v>Pass</v>
      </c>
    </row>
    <row r="948">
      <c r="A948" s="45">
        <v>45990.0</v>
      </c>
      <c r="B948" s="49">
        <v>0.1986111111111111</v>
      </c>
      <c r="C948" s="45">
        <v>45990.0</v>
      </c>
      <c r="D948" s="49">
        <v>0.33819444444444446</v>
      </c>
      <c r="E948" s="21" t="s">
        <v>7225</v>
      </c>
      <c r="F948" s="21" t="s">
        <v>2329</v>
      </c>
      <c r="G948" s="21" t="s">
        <v>2330</v>
      </c>
      <c r="H948" s="21" t="s">
        <v>142</v>
      </c>
      <c r="I948" s="21" t="s">
        <v>95</v>
      </c>
      <c r="J948" s="21" t="s">
        <v>951</v>
      </c>
      <c r="K948" s="21" t="s">
        <v>143</v>
      </c>
      <c r="L948" s="21" t="s">
        <v>3175</v>
      </c>
      <c r="M948" s="21" t="s">
        <v>4909</v>
      </c>
      <c r="N948" s="21" t="s">
        <v>7226</v>
      </c>
      <c r="O948" s="48" t="s">
        <v>7227</v>
      </c>
      <c r="P948" s="21" t="s">
        <v>48</v>
      </c>
      <c r="Q948" s="24" t="s">
        <v>49</v>
      </c>
      <c r="R948" s="21" t="s">
        <v>7228</v>
      </c>
      <c r="S948" s="21" t="s">
        <v>51</v>
      </c>
      <c r="T948" s="21" t="s">
        <v>52</v>
      </c>
      <c r="U948" s="21" t="s">
        <v>52</v>
      </c>
      <c r="V948" s="21" t="s">
        <v>52</v>
      </c>
      <c r="W948" s="45">
        <v>45990.0</v>
      </c>
      <c r="X948" s="49">
        <v>0.375</v>
      </c>
      <c r="Y948" s="45">
        <v>45990.0</v>
      </c>
      <c r="Z948" s="49">
        <v>0.4840277777777778</v>
      </c>
      <c r="AA948" s="49">
        <v>0.4895833333333333</v>
      </c>
      <c r="AB948" s="29"/>
      <c r="AC948" s="29"/>
      <c r="AD948" s="25">
        <v>0.5416666666666666</v>
      </c>
      <c r="AE948" s="45">
        <v>45990.0</v>
      </c>
      <c r="AF948" s="21" t="s">
        <v>7212</v>
      </c>
      <c r="AG948" s="21" t="s">
        <v>583</v>
      </c>
      <c r="AH948" s="21" t="s">
        <v>7229</v>
      </c>
      <c r="AI948" s="62" t="str">
        <f>IFERROR(__xludf.DUMMYFUNCTION("IF(OR(W948="""",X948="""",AE948="""",AD948=""""),"""",
   TEXT(
     (
       (AE948+AD948 + IF(AE948+AD948 &lt; W948+X948,1,0)) - (W948+X948)
     )
     - IF(AND(AB948&lt;&gt;"""",AC948&lt;&gt;""""), 
          SUM(ARRAYFORMULA(SPLIT(AC948,"","") - SPLIT(AB948,"",""))"&amp;"), 
          0
       ),
     ""[hh]:mm""
   )
)
"),"04:00")</f>
        <v>04:00</v>
      </c>
      <c r="AJ948" s="27">
        <f t="shared" si="16"/>
        <v>0</v>
      </c>
      <c r="AK948" s="63" t="str">
        <f t="shared" si="17"/>
        <v>Pass</v>
      </c>
    </row>
    <row r="949">
      <c r="A949" s="45">
        <v>45990.0</v>
      </c>
      <c r="B949" s="49">
        <v>0.14375</v>
      </c>
      <c r="C949" s="45">
        <v>45990.0</v>
      </c>
      <c r="D949" s="49">
        <v>0.3416666666666667</v>
      </c>
      <c r="E949" s="21" t="s">
        <v>7230</v>
      </c>
      <c r="F949" s="21" t="s">
        <v>505</v>
      </c>
      <c r="G949" s="21" t="s">
        <v>7231</v>
      </c>
      <c r="H949" s="21" t="s">
        <v>244</v>
      </c>
      <c r="I949" s="21" t="s">
        <v>476</v>
      </c>
      <c r="J949" s="21" t="s">
        <v>482</v>
      </c>
      <c r="K949" s="21" t="s">
        <v>52</v>
      </c>
      <c r="L949" s="21" t="s">
        <v>52</v>
      </c>
      <c r="M949" s="21" t="s">
        <v>52</v>
      </c>
      <c r="N949" s="21" t="s">
        <v>7232</v>
      </c>
      <c r="O949" s="48" t="s">
        <v>7233</v>
      </c>
      <c r="P949" s="21" t="s">
        <v>48</v>
      </c>
      <c r="Q949" s="24" t="s">
        <v>65</v>
      </c>
      <c r="R949" s="21" t="s">
        <v>7234</v>
      </c>
      <c r="S949" s="21" t="s">
        <v>51</v>
      </c>
      <c r="T949" s="21" t="s">
        <v>52</v>
      </c>
      <c r="U949" s="21" t="s">
        <v>52</v>
      </c>
      <c r="V949" s="21" t="s">
        <v>52</v>
      </c>
      <c r="W949" s="45">
        <v>45990.0</v>
      </c>
      <c r="X949" s="49">
        <v>0.3416666666666667</v>
      </c>
      <c r="Y949" s="45">
        <v>45990.0</v>
      </c>
      <c r="Z949" s="49">
        <v>0.4395833333333333</v>
      </c>
      <c r="AA949" s="49">
        <v>0.4423611111111111</v>
      </c>
      <c r="AB949" s="29"/>
      <c r="AC949" s="29"/>
      <c r="AD949" s="25">
        <v>0.4583333333333333</v>
      </c>
      <c r="AE949" s="45">
        <v>45990.0</v>
      </c>
      <c r="AF949" s="21" t="s">
        <v>7212</v>
      </c>
      <c r="AG949" s="21" t="s">
        <v>4384</v>
      </c>
      <c r="AH949" s="21" t="s">
        <v>7235</v>
      </c>
      <c r="AI949" s="62" t="str">
        <f>IFERROR(__xludf.DUMMYFUNCTION("IF(OR(W949="""",X949="""",AE949="""",AD949=""""),"""",
   TEXT(
     (
       (AE949+AD949 + IF(AE949+AD949 &lt; W949+X949,1,0)) - (W949+X949)
     )
     - IF(AND(AB949&lt;&gt;"""",AC949&lt;&gt;""""), 
          SUM(ARRAYFORMULA(SPLIT(AC949,"","") - SPLIT(AB949,"",""))"&amp;"), 
          0
       ),
     ""[hh]:mm""
   )
)
"),"02:48")</f>
        <v>02:48</v>
      </c>
      <c r="AJ949" s="27">
        <f t="shared" si="16"/>
        <v>0</v>
      </c>
      <c r="AK949" s="63" t="str">
        <f t="shared" si="17"/>
        <v>Pass</v>
      </c>
    </row>
    <row r="950">
      <c r="A950" s="45">
        <v>45990.0</v>
      </c>
      <c r="B950" s="49">
        <v>0.33819444444444446</v>
      </c>
      <c r="C950" s="45">
        <v>45990.0</v>
      </c>
      <c r="D950" s="49">
        <v>0.3458333333333333</v>
      </c>
      <c r="E950" s="21" t="s">
        <v>7236</v>
      </c>
      <c r="F950" s="21" t="s">
        <v>57</v>
      </c>
      <c r="G950" s="21" t="s">
        <v>58</v>
      </c>
      <c r="H950" s="21" t="s">
        <v>3866</v>
      </c>
      <c r="I950" s="21" t="s">
        <v>1326</v>
      </c>
      <c r="J950" s="21" t="s">
        <v>768</v>
      </c>
      <c r="K950" s="21" t="s">
        <v>769</v>
      </c>
      <c r="L950" s="21" t="s">
        <v>1327</v>
      </c>
      <c r="M950" s="21" t="s">
        <v>7237</v>
      </c>
      <c r="N950" s="21" t="s">
        <v>7238</v>
      </c>
      <c r="O950" s="48" t="s">
        <v>7239</v>
      </c>
      <c r="P950" s="21" t="s">
        <v>75</v>
      </c>
      <c r="Q950" s="24" t="s">
        <v>65</v>
      </c>
      <c r="R950" s="21" t="s">
        <v>7240</v>
      </c>
      <c r="S950" s="21" t="s">
        <v>51</v>
      </c>
      <c r="T950" s="21" t="s">
        <v>52</v>
      </c>
      <c r="U950" s="21" t="s">
        <v>52</v>
      </c>
      <c r="V950" s="21" t="s">
        <v>52</v>
      </c>
      <c r="W950" s="45">
        <v>45990.0</v>
      </c>
      <c r="X950" s="49">
        <v>0.3458333333333333</v>
      </c>
      <c r="Y950" s="45">
        <v>45990.0</v>
      </c>
      <c r="Z950" s="49">
        <v>0.5208333333333334</v>
      </c>
      <c r="AA950" s="49">
        <v>0.53125</v>
      </c>
      <c r="AB950" s="29"/>
      <c r="AC950" s="29"/>
      <c r="AD950" s="25">
        <v>0.5625</v>
      </c>
      <c r="AE950" s="45">
        <v>45990.0</v>
      </c>
      <c r="AF950" s="21" t="s">
        <v>7241</v>
      </c>
      <c r="AG950" s="21" t="s">
        <v>78</v>
      </c>
      <c r="AH950" s="21" t="s">
        <v>611</v>
      </c>
      <c r="AI950" s="62" t="str">
        <f>IFERROR(__xludf.DUMMYFUNCTION("IF(OR(W950="""",X950="""",AE950="""",AD950=""""),"""",
   TEXT(
     (
       (AE950+AD950 + IF(AE950+AD950 &lt; W950+X950,1,0)) - (W950+X950)
     )
     - IF(AND(AB950&lt;&gt;"""",AC950&lt;&gt;""""), 
          SUM(ARRAYFORMULA(SPLIT(AC950,"","") - SPLIT(AB950,"",""))"&amp;"), 
          0
       ),
     ""[hh]:mm""
   )
)
"),"05:12")</f>
        <v>05:12</v>
      </c>
      <c r="AJ950" s="27">
        <f t="shared" si="16"/>
        <v>0</v>
      </c>
      <c r="AK950" s="63" t="str">
        <f t="shared" si="17"/>
        <v>Pass</v>
      </c>
    </row>
    <row r="951">
      <c r="A951" s="45">
        <v>45990.0</v>
      </c>
      <c r="B951" s="49">
        <v>0.35</v>
      </c>
      <c r="C951" s="45">
        <v>45990.0</v>
      </c>
      <c r="D951" s="49">
        <v>0.3625</v>
      </c>
      <c r="E951" s="21" t="s">
        <v>7242</v>
      </c>
      <c r="F951" s="21" t="s">
        <v>7243</v>
      </c>
      <c r="G951" s="21" t="s">
        <v>7244</v>
      </c>
      <c r="H951" s="21" t="s">
        <v>244</v>
      </c>
      <c r="I951" s="21" t="s">
        <v>234</v>
      </c>
      <c r="J951" s="21" t="s">
        <v>3806</v>
      </c>
      <c r="K951" s="21" t="s">
        <v>43</v>
      </c>
      <c r="L951" s="21" t="s">
        <v>7245</v>
      </c>
      <c r="M951" s="21" t="s">
        <v>7246</v>
      </c>
      <c r="N951" s="21" t="s">
        <v>7247</v>
      </c>
      <c r="O951" s="48" t="s">
        <v>7248</v>
      </c>
      <c r="P951" s="21" t="s">
        <v>48</v>
      </c>
      <c r="Q951" s="24" t="s">
        <v>65</v>
      </c>
      <c r="R951" s="21" t="s">
        <v>7249</v>
      </c>
      <c r="S951" s="21" t="s">
        <v>51</v>
      </c>
      <c r="T951" s="21" t="s">
        <v>52</v>
      </c>
      <c r="U951" s="21" t="s">
        <v>52</v>
      </c>
      <c r="V951" s="21" t="s">
        <v>52</v>
      </c>
      <c r="W951" s="45">
        <v>45990.0</v>
      </c>
      <c r="X951" s="49">
        <v>0.3625</v>
      </c>
      <c r="Y951" s="45">
        <v>45990.0</v>
      </c>
      <c r="Z951" s="49">
        <v>0.41180555555555554</v>
      </c>
      <c r="AA951" s="49">
        <v>0.4201388888888889</v>
      </c>
      <c r="AB951" s="29"/>
      <c r="AC951" s="29"/>
      <c r="AD951" s="25">
        <v>0.4479166666666667</v>
      </c>
      <c r="AE951" s="45">
        <v>45990.0</v>
      </c>
      <c r="AF951" s="21" t="s">
        <v>7250</v>
      </c>
      <c r="AG951" s="21" t="s">
        <v>67</v>
      </c>
      <c r="AH951" s="21" t="s">
        <v>7251</v>
      </c>
      <c r="AI951" s="62" t="str">
        <f>IFERROR(__xludf.DUMMYFUNCTION("IF(OR(W951="""",X951="""",AE951="""",AD951=""""),"""",
   TEXT(
     (
       (AE951+AD951 + IF(AE951+AD951 &lt; W951+X951,1,0)) - (W951+X951)
     )
     - IF(AND(AB951&lt;&gt;"""",AC951&lt;&gt;""""), 
          SUM(ARRAYFORMULA(SPLIT(AC951,"","") - SPLIT(AB951,"",""))"&amp;"), 
          0
       ),
     ""[hh]:mm""
   )
)
"),"02:03")</f>
        <v>02:03</v>
      </c>
      <c r="AJ951" s="27">
        <f t="shared" si="16"/>
        <v>0</v>
      </c>
      <c r="AK951" s="63" t="str">
        <f t="shared" si="17"/>
        <v>Pass</v>
      </c>
    </row>
    <row r="952">
      <c r="A952" s="45">
        <v>45990.0</v>
      </c>
      <c r="B952" s="49">
        <v>0.5013888888888889</v>
      </c>
      <c r="C952" s="45">
        <v>45990.0</v>
      </c>
      <c r="D952" s="49">
        <v>0.50625</v>
      </c>
      <c r="E952" s="21" t="s">
        <v>7252</v>
      </c>
      <c r="F952" s="21" t="s">
        <v>7253</v>
      </c>
      <c r="G952" s="21" t="s">
        <v>7254</v>
      </c>
      <c r="H952" s="21" t="s">
        <v>244</v>
      </c>
      <c r="I952" s="21" t="s">
        <v>7255</v>
      </c>
      <c r="J952" s="21" t="s">
        <v>1056</v>
      </c>
      <c r="K952" s="21" t="s">
        <v>3249</v>
      </c>
      <c r="L952" s="21" t="s">
        <v>5331</v>
      </c>
      <c r="M952" s="21" t="s">
        <v>7256</v>
      </c>
      <c r="N952" s="21" t="s">
        <v>7257</v>
      </c>
      <c r="O952" s="48" t="s">
        <v>7258</v>
      </c>
      <c r="P952" s="21" t="s">
        <v>48</v>
      </c>
      <c r="Q952" s="24" t="s">
        <v>65</v>
      </c>
      <c r="R952" s="21" t="s">
        <v>7259</v>
      </c>
      <c r="S952" s="21" t="s">
        <v>51</v>
      </c>
      <c r="T952" s="21" t="s">
        <v>52</v>
      </c>
      <c r="U952" s="21" t="s">
        <v>52</v>
      </c>
      <c r="V952" s="21" t="s">
        <v>52</v>
      </c>
      <c r="W952" s="45">
        <v>45990.0</v>
      </c>
      <c r="X952" s="49">
        <v>0.50625</v>
      </c>
      <c r="Y952" s="45">
        <v>45990.0</v>
      </c>
      <c r="Z952" s="49">
        <v>0.6416666666666667</v>
      </c>
      <c r="AA952" s="49">
        <v>0.6430555555555556</v>
      </c>
      <c r="AB952" s="29"/>
      <c r="AC952" s="29"/>
      <c r="AD952" s="25">
        <v>0.7152777777777778</v>
      </c>
      <c r="AE952" s="45">
        <v>45990.0</v>
      </c>
      <c r="AF952" s="21" t="s">
        <v>7241</v>
      </c>
      <c r="AG952" s="21" t="s">
        <v>2004</v>
      </c>
      <c r="AH952" s="21" t="s">
        <v>7260</v>
      </c>
      <c r="AI952" s="62" t="str">
        <f>IFERROR(__xludf.DUMMYFUNCTION("IF(OR(W952="""",X952="""",AE952="""",AD952=""""),"""",
   TEXT(
     (
       (AE952+AD952 + IF(AE952+AD952 &lt; W952+X952,1,0)) - (W952+X952)
     )
     - IF(AND(AB952&lt;&gt;"""",AC952&lt;&gt;""""), 
          SUM(ARRAYFORMULA(SPLIT(AC952,"","") - SPLIT(AB952,"",""))"&amp;"), 
          0
       ),
     ""[hh]:mm""
   )
)
"),"05:01")</f>
        <v>05:01</v>
      </c>
      <c r="AJ952" s="27">
        <f t="shared" si="16"/>
        <v>0</v>
      </c>
      <c r="AK952" s="63" t="str">
        <f t="shared" si="17"/>
        <v>Pass</v>
      </c>
    </row>
    <row r="953">
      <c r="A953" s="45">
        <v>45990.0</v>
      </c>
      <c r="B953" s="49">
        <v>0.5493055555555556</v>
      </c>
      <c r="C953" s="45">
        <v>45990.0</v>
      </c>
      <c r="D953" s="49">
        <v>0.5520833333333334</v>
      </c>
      <c r="E953" s="21" t="s">
        <v>7261</v>
      </c>
      <c r="F953" s="21" t="s">
        <v>259</v>
      </c>
      <c r="G953" s="21" t="s">
        <v>260</v>
      </c>
      <c r="H953" s="21" t="s">
        <v>156</v>
      </c>
      <c r="I953" s="21" t="s">
        <v>476</v>
      </c>
      <c r="J953" s="21" t="s">
        <v>5330</v>
      </c>
      <c r="K953" s="21" t="s">
        <v>3249</v>
      </c>
      <c r="L953" s="21" t="s">
        <v>7262</v>
      </c>
      <c r="M953" s="21" t="s">
        <v>7263</v>
      </c>
      <c r="N953" s="21" t="s">
        <v>7264</v>
      </c>
      <c r="O953" s="48" t="s">
        <v>7265</v>
      </c>
      <c r="P953" s="21" t="s">
        <v>75</v>
      </c>
      <c r="Q953" s="24" t="s">
        <v>65</v>
      </c>
      <c r="R953" s="21" t="s">
        <v>7266</v>
      </c>
      <c r="S953" s="21" t="s">
        <v>51</v>
      </c>
      <c r="T953" s="21" t="s">
        <v>52</v>
      </c>
      <c r="U953" s="21" t="s">
        <v>52</v>
      </c>
      <c r="V953" s="21" t="s">
        <v>52</v>
      </c>
      <c r="W953" s="45">
        <v>45990.0</v>
      </c>
      <c r="X953" s="49">
        <v>0.5520833333333334</v>
      </c>
      <c r="Y953" s="45">
        <v>45990.0</v>
      </c>
      <c r="Z953" s="49">
        <v>0.7291666666666666</v>
      </c>
      <c r="AA953" s="49">
        <v>0.7326388888888888</v>
      </c>
      <c r="AB953" s="29"/>
      <c r="AC953" s="29"/>
      <c r="AD953" s="25">
        <v>0.7604166666666666</v>
      </c>
      <c r="AE953" s="45">
        <v>45990.0</v>
      </c>
      <c r="AF953" s="21" t="s">
        <v>2788</v>
      </c>
      <c r="AG953" s="21" t="s">
        <v>78</v>
      </c>
      <c r="AH953" s="21" t="s">
        <v>7267</v>
      </c>
      <c r="AI953" s="62" t="str">
        <f>IFERROR(__xludf.DUMMYFUNCTION("IF(OR(W953="""",X953="""",AE953="""",AD953=""""),"""",
   TEXT(
     (
       (AE953+AD953 + IF(AE953+AD953 &lt; W953+X953,1,0)) - (W953+X953)
     )
     - IF(AND(AB953&lt;&gt;"""",AC953&lt;&gt;""""), 
          SUM(ARRAYFORMULA(SPLIT(AC953,"","") - SPLIT(AB953,"",""))"&amp;"), 
          0
       ),
     ""[hh]:mm""
   )
)
"),"05:00")</f>
        <v>05:00</v>
      </c>
      <c r="AJ953" s="27">
        <f t="shared" si="16"/>
        <v>0</v>
      </c>
      <c r="AK953" s="63" t="str">
        <f t="shared" si="17"/>
        <v>Pass</v>
      </c>
    </row>
    <row r="954">
      <c r="A954" s="45">
        <v>45975.0</v>
      </c>
      <c r="B954" s="49">
        <v>0.9763888888888889</v>
      </c>
      <c r="C954" s="45">
        <v>45976.0</v>
      </c>
      <c r="D954" s="49">
        <v>0.3576388888888889</v>
      </c>
      <c r="E954" s="21" t="s">
        <v>7268</v>
      </c>
      <c r="F954" s="21" t="s">
        <v>5328</v>
      </c>
      <c r="G954" s="21" t="s">
        <v>5329</v>
      </c>
      <c r="H954" s="21" t="s">
        <v>5169</v>
      </c>
      <c r="I954" s="21" t="s">
        <v>4174</v>
      </c>
      <c r="J954" s="21" t="s">
        <v>5330</v>
      </c>
      <c r="K954" s="21" t="s">
        <v>3249</v>
      </c>
      <c r="L954" s="21" t="s">
        <v>5331</v>
      </c>
      <c r="M954" s="21" t="s">
        <v>7269</v>
      </c>
      <c r="N954" s="21" t="s">
        <v>7270</v>
      </c>
      <c r="O954" s="48" t="s">
        <v>7271</v>
      </c>
      <c r="P954" s="21" t="s">
        <v>75</v>
      </c>
      <c r="Q954" s="24" t="s">
        <v>65</v>
      </c>
      <c r="R954" s="21" t="s">
        <v>7272</v>
      </c>
      <c r="S954" s="21" t="s">
        <v>51</v>
      </c>
      <c r="T954" s="21" t="s">
        <v>52</v>
      </c>
      <c r="U954" s="21" t="s">
        <v>52</v>
      </c>
      <c r="V954" s="21" t="s">
        <v>52</v>
      </c>
      <c r="W954" s="45">
        <v>45990.0</v>
      </c>
      <c r="X954" s="49">
        <v>0.5951388888888889</v>
      </c>
      <c r="Y954" s="45">
        <v>45990.0</v>
      </c>
      <c r="Z954" s="49">
        <v>0.7298611111111111</v>
      </c>
      <c r="AA954" s="49">
        <v>0.7569444444444444</v>
      </c>
      <c r="AB954" s="25">
        <v>0.7298611111111111</v>
      </c>
      <c r="AC954" s="25">
        <v>0.7569444444444444</v>
      </c>
      <c r="AD954" s="25">
        <v>0.8125</v>
      </c>
      <c r="AE954" s="45">
        <v>45990.0</v>
      </c>
      <c r="AF954" s="21" t="s">
        <v>7273</v>
      </c>
      <c r="AG954" s="21" t="s">
        <v>102</v>
      </c>
      <c r="AH954" s="21" t="s">
        <v>7274</v>
      </c>
      <c r="AI954" s="62" t="str">
        <f>IFERROR(__xludf.DUMMYFUNCTION("IF(OR(W954="""",X954="""",AE954="""",AD954=""""),"""",
   TEXT(
     (
       (AE954+AD954 + IF(AE954+AD954 &lt; W954+X954,1,0)) - (W954+X954)
     )
     - IF(AND(AB954&lt;&gt;"""",AC954&lt;&gt;""""), 
          SUM(ARRAYFORMULA(SPLIT(AC954,"","") - SPLIT(AB954,"",""))"&amp;"), 
          0
       ),
     ""[hh]:mm""
   )
)
"),"04:34")</f>
        <v>04:34</v>
      </c>
      <c r="AJ954" s="27">
        <f t="shared" si="16"/>
        <v>0</v>
      </c>
      <c r="AK954" s="63" t="str">
        <f t="shared" si="17"/>
        <v>Pass</v>
      </c>
    </row>
    <row r="955">
      <c r="A955" s="18">
        <v>45990.0</v>
      </c>
      <c r="B955" s="20">
        <v>0.6006944444444444</v>
      </c>
      <c r="C955" s="18">
        <v>45990.0</v>
      </c>
      <c r="D955" s="20">
        <v>0.6076388888888888</v>
      </c>
      <c r="E955" s="22" t="s">
        <v>7275</v>
      </c>
      <c r="F955" s="22" t="s">
        <v>5328</v>
      </c>
      <c r="G955" s="22" t="s">
        <v>5329</v>
      </c>
      <c r="H955" s="22" t="s">
        <v>244</v>
      </c>
      <c r="I955" s="22" t="s">
        <v>194</v>
      </c>
      <c r="J955" s="22" t="s">
        <v>5330</v>
      </c>
      <c r="K955" s="22" t="s">
        <v>3249</v>
      </c>
      <c r="L955" s="22" t="s">
        <v>5331</v>
      </c>
      <c r="M955" s="22" t="s">
        <v>7276</v>
      </c>
      <c r="N955" s="22" t="s">
        <v>7277</v>
      </c>
      <c r="O955" s="23" t="s">
        <v>7278</v>
      </c>
      <c r="P955" s="22" t="s">
        <v>48</v>
      </c>
      <c r="Q955" s="50" t="s">
        <v>65</v>
      </c>
      <c r="R955" s="22" t="s">
        <v>7279</v>
      </c>
      <c r="S955" s="22" t="s">
        <v>51</v>
      </c>
      <c r="T955" s="22" t="s">
        <v>52</v>
      </c>
      <c r="U955" s="22" t="s">
        <v>52</v>
      </c>
      <c r="V955" s="22" t="s">
        <v>52</v>
      </c>
      <c r="W955" s="18">
        <v>45990.0</v>
      </c>
      <c r="X955" s="20">
        <v>0.6076388888888888</v>
      </c>
      <c r="Y955" s="18">
        <v>45990.0</v>
      </c>
      <c r="Z955" s="20">
        <v>0.7298611111111111</v>
      </c>
      <c r="AA955" s="20">
        <v>0.7569444444444444</v>
      </c>
      <c r="AB955" s="77">
        <v>0.7298611111111111</v>
      </c>
      <c r="AC955" s="51">
        <v>0.7569444444444444</v>
      </c>
      <c r="AD955" s="51">
        <v>0.8125</v>
      </c>
      <c r="AE955" s="18">
        <v>45990.0</v>
      </c>
      <c r="AF955" s="22" t="s">
        <v>2788</v>
      </c>
      <c r="AG955" s="22" t="s">
        <v>102</v>
      </c>
      <c r="AH955" s="22" t="s">
        <v>7274</v>
      </c>
      <c r="AI955" s="26" t="str">
        <f>IFERROR(__xludf.DUMMYFUNCTION("IF(OR(W955="""",X955="""",AE955="""",AD955=""""),"""",
   TEXT(
     (
       (AE955+AD955 + IF(AE955+AD955 &lt; W955+X955,1,0)) - (W955+X955)
     )
     - IF(AND(AB955&lt;&gt;"""",AC955&lt;&gt;""""), 
          SUM(ARRAYFORMULA(SPLIT(AC955,"","") - SPLIT(AB955,"",""))"&amp;"), 
          0
       ),
     ""[hh]:mm""
   )
)
"),"04:16")</f>
        <v>04:16</v>
      </c>
      <c r="AJ955" s="55">
        <f t="shared" si="16"/>
        <v>0</v>
      </c>
      <c r="AK955" s="28" t="str">
        <f t="shared" si="17"/>
        <v>Pass</v>
      </c>
    </row>
    <row r="956">
      <c r="A956" s="18">
        <v>45990.0</v>
      </c>
      <c r="B956" s="20">
        <v>0.6090277777777777</v>
      </c>
      <c r="C956" s="18">
        <v>45990.0</v>
      </c>
      <c r="D956" s="20">
        <v>0.6097222222222223</v>
      </c>
      <c r="E956" s="22" t="s">
        <v>7280</v>
      </c>
      <c r="F956" s="22" t="s">
        <v>5328</v>
      </c>
      <c r="G956" s="22" t="s">
        <v>5329</v>
      </c>
      <c r="H956" s="22" t="s">
        <v>244</v>
      </c>
      <c r="I956" s="22" t="s">
        <v>4174</v>
      </c>
      <c r="J956" s="22" t="s">
        <v>5330</v>
      </c>
      <c r="K956" s="22" t="s">
        <v>3249</v>
      </c>
      <c r="L956" s="22" t="s">
        <v>5331</v>
      </c>
      <c r="M956" s="22" t="s">
        <v>7281</v>
      </c>
      <c r="N956" s="22" t="s">
        <v>7282</v>
      </c>
      <c r="O956" s="23" t="s">
        <v>7283</v>
      </c>
      <c r="P956" s="22" t="s">
        <v>48</v>
      </c>
      <c r="Q956" s="50" t="s">
        <v>65</v>
      </c>
      <c r="R956" s="22" t="s">
        <v>7284</v>
      </c>
      <c r="S956" s="22" t="s">
        <v>51</v>
      </c>
      <c r="T956" s="22" t="s">
        <v>52</v>
      </c>
      <c r="U956" s="22" t="s">
        <v>52</v>
      </c>
      <c r="V956" s="22" t="s">
        <v>52</v>
      </c>
      <c r="W956" s="18">
        <v>45990.0</v>
      </c>
      <c r="X956" s="20">
        <v>0.6097222222222223</v>
      </c>
      <c r="Y956" s="18">
        <v>45990.0</v>
      </c>
      <c r="Z956" s="20">
        <v>0.7298611111111111</v>
      </c>
      <c r="AA956" s="20">
        <v>0.7569444444444444</v>
      </c>
      <c r="AB956" s="77">
        <v>0.7298611111111111</v>
      </c>
      <c r="AC956" s="51">
        <v>0.7569444444444444</v>
      </c>
      <c r="AD956" s="51">
        <v>0.8125</v>
      </c>
      <c r="AE956" s="18">
        <v>45990.0</v>
      </c>
      <c r="AF956" s="22" t="s">
        <v>2788</v>
      </c>
      <c r="AG956" s="22" t="s">
        <v>102</v>
      </c>
      <c r="AH956" s="22" t="s">
        <v>7274</v>
      </c>
      <c r="AI956" s="26" t="str">
        <f>IFERROR(__xludf.DUMMYFUNCTION("IF(OR(W956="""",X956="""",AE956="""",AD956=""""),"""",
   TEXT(
     (
       (AE956+AD956 + IF(AE956+AD956 &lt; W956+X956,1,0)) - (W956+X956)
     )
     - IF(AND(AB956&lt;&gt;"""",AC956&lt;&gt;""""), 
          SUM(ARRAYFORMULA(SPLIT(AC956,"","") - SPLIT(AB956,"",""))"&amp;"), 
          0
       ),
     ""[hh]:mm""
   )
)
"),"04:13")</f>
        <v>04:13</v>
      </c>
      <c r="AJ956" s="55">
        <f t="shared" si="16"/>
        <v>0</v>
      </c>
      <c r="AK956" s="28" t="str">
        <f t="shared" si="17"/>
        <v>Pass</v>
      </c>
    </row>
    <row r="957">
      <c r="A957" s="18">
        <v>45988.0</v>
      </c>
      <c r="B957" s="20">
        <v>0.9722222222222222</v>
      </c>
      <c r="C957" s="18">
        <v>45988.0</v>
      </c>
      <c r="D957" s="20">
        <v>0.3923611111111111</v>
      </c>
      <c r="E957" s="22" t="s">
        <v>7285</v>
      </c>
      <c r="F957" s="22" t="s">
        <v>949</v>
      </c>
      <c r="G957" s="22" t="s">
        <v>7286</v>
      </c>
      <c r="H957" s="22" t="s">
        <v>566</v>
      </c>
      <c r="I957" s="22" t="s">
        <v>951</v>
      </c>
      <c r="J957" s="22" t="s">
        <v>3806</v>
      </c>
      <c r="K957" s="22" t="s">
        <v>43</v>
      </c>
      <c r="L957" s="22" t="s">
        <v>6293</v>
      </c>
      <c r="M957" s="22" t="s">
        <v>7287</v>
      </c>
      <c r="N957" s="22" t="s">
        <v>7288</v>
      </c>
      <c r="O957" s="23" t="s">
        <v>7289</v>
      </c>
      <c r="P957" s="22" t="s">
        <v>48</v>
      </c>
      <c r="Q957" s="50" t="s">
        <v>65</v>
      </c>
      <c r="R957" s="22" t="s">
        <v>7290</v>
      </c>
      <c r="S957" s="22" t="s">
        <v>51</v>
      </c>
      <c r="T957" s="22" t="s">
        <v>52</v>
      </c>
      <c r="U957" s="22" t="s">
        <v>52</v>
      </c>
      <c r="V957" s="22" t="s">
        <v>52</v>
      </c>
      <c r="W957" s="18">
        <v>45990.0</v>
      </c>
      <c r="X957" s="20">
        <v>0.875</v>
      </c>
      <c r="Y957" s="18">
        <v>45990.0</v>
      </c>
      <c r="Z957" s="20">
        <v>0.86875</v>
      </c>
      <c r="AA957" s="20">
        <v>0.9361111111111111</v>
      </c>
      <c r="AB957" s="54"/>
      <c r="AC957" s="54"/>
      <c r="AD957" s="51">
        <v>0.9604166666666667</v>
      </c>
      <c r="AE957" s="18">
        <v>45990.0</v>
      </c>
      <c r="AF957" s="22" t="s">
        <v>3229</v>
      </c>
      <c r="AG957" s="22" t="s">
        <v>6787</v>
      </c>
      <c r="AH957" s="22" t="s">
        <v>7291</v>
      </c>
      <c r="AI957" s="26" t="str">
        <f>IFERROR(__xludf.DUMMYFUNCTION("IF(OR(W957="""",X957="""",AE957="""",AD957=""""),"""",
   TEXT(
     (
       (AE957+AD957 + IF(AE957+AD957 &lt; W957+X957,1,0)) - (W957+X957)
     )
     - IF(AND(AB957&lt;&gt;"""",AC957&lt;&gt;""""), 
          SUM(ARRAYFORMULA(SPLIT(AC957,"","") - SPLIT(AB957,"",""))"&amp;"), 
          0
       ),
     ""[hh]:mm""
   )
)
"),"02:03")</f>
        <v>02:03</v>
      </c>
      <c r="AJ957" s="55">
        <f t="shared" si="16"/>
        <v>0</v>
      </c>
      <c r="AK957" s="28" t="str">
        <f t="shared" si="17"/>
        <v>Pass</v>
      </c>
    </row>
    <row r="958">
      <c r="A958" s="18">
        <v>45990.0</v>
      </c>
      <c r="B958" s="20">
        <v>0.73125</v>
      </c>
      <c r="C958" s="18">
        <v>45990.0</v>
      </c>
      <c r="D958" s="20">
        <v>0.7381944444444445</v>
      </c>
      <c r="E958" s="22" t="s">
        <v>7292</v>
      </c>
      <c r="F958" s="22" t="s">
        <v>6938</v>
      </c>
      <c r="G958" s="22" t="s">
        <v>6939</v>
      </c>
      <c r="H958" s="22" t="s">
        <v>1610</v>
      </c>
      <c r="I958" s="22" t="s">
        <v>1612</v>
      </c>
      <c r="J958" s="22" t="s">
        <v>1612</v>
      </c>
      <c r="K958" s="22" t="s">
        <v>143</v>
      </c>
      <c r="L958" s="22" t="s">
        <v>1613</v>
      </c>
      <c r="M958" s="22" t="s">
        <v>7293</v>
      </c>
      <c r="N958" s="22" t="s">
        <v>7294</v>
      </c>
      <c r="O958" s="23" t="s">
        <v>7295</v>
      </c>
      <c r="P958" s="22" t="s">
        <v>75</v>
      </c>
      <c r="Q958" s="50" t="s">
        <v>65</v>
      </c>
      <c r="R958" s="22" t="s">
        <v>6093</v>
      </c>
      <c r="S958" s="22" t="s">
        <v>51</v>
      </c>
      <c r="T958" s="22" t="s">
        <v>52</v>
      </c>
      <c r="U958" s="22" t="s">
        <v>52</v>
      </c>
      <c r="V958" s="22" t="s">
        <v>52</v>
      </c>
      <c r="W958" s="18">
        <v>45991.0</v>
      </c>
      <c r="X958" s="20">
        <v>0.375</v>
      </c>
      <c r="Y958" s="18">
        <v>45991.0</v>
      </c>
      <c r="Z958" s="20">
        <v>0.4513888888888889</v>
      </c>
      <c r="AA958" s="20">
        <v>0.4548611111111111</v>
      </c>
      <c r="AB958" s="54"/>
      <c r="AC958" s="54"/>
      <c r="AD958" s="51">
        <v>0.5069444444444444</v>
      </c>
      <c r="AE958" s="18">
        <v>45991.0</v>
      </c>
      <c r="AF958" s="22" t="s">
        <v>2711</v>
      </c>
      <c r="AG958" s="22" t="s">
        <v>6108</v>
      </c>
      <c r="AH958" s="22" t="s">
        <v>7296</v>
      </c>
      <c r="AI958" s="26" t="str">
        <f>IFERROR(__xludf.DUMMYFUNCTION("IF(OR(W958="""",X958="""",AE958="""",AD958=""""),"""",
   TEXT(
     (
       (AE958+AD958 + IF(AE958+AD958 &lt; W958+X958,1,0)) - (W958+X958)
     )
     - IF(AND(AB958&lt;&gt;"""",AC958&lt;&gt;""""), 
          SUM(ARRAYFORMULA(SPLIT(AC958,"","") - SPLIT(AB958,"",""))"&amp;"), 
          0
       ),
     ""[hh]:mm""
   )
)
"),"03:10")</f>
        <v>03:10</v>
      </c>
      <c r="AJ958" s="55">
        <f t="shared" si="16"/>
        <v>0</v>
      </c>
      <c r="AK958" s="28" t="str">
        <f t="shared" si="17"/>
        <v>Pass</v>
      </c>
    </row>
    <row r="959">
      <c r="A959" s="18">
        <v>45988.0</v>
      </c>
      <c r="B959" s="20">
        <v>0.5854166666666667</v>
      </c>
      <c r="C959" s="18">
        <v>45991.0</v>
      </c>
      <c r="D959" s="20">
        <v>0.5888888888888889</v>
      </c>
      <c r="E959" s="22" t="s">
        <v>7096</v>
      </c>
      <c r="F959" s="22" t="s">
        <v>7097</v>
      </c>
      <c r="G959" s="22" t="s">
        <v>7098</v>
      </c>
      <c r="H959" s="22" t="s">
        <v>156</v>
      </c>
      <c r="I959" s="22" t="s">
        <v>2026</v>
      </c>
      <c r="J959" s="22" t="s">
        <v>3806</v>
      </c>
      <c r="K959" s="22" t="s">
        <v>43</v>
      </c>
      <c r="L959" s="22" t="s">
        <v>617</v>
      </c>
      <c r="M959" s="22" t="s">
        <v>7099</v>
      </c>
      <c r="N959" s="22" t="s">
        <v>7100</v>
      </c>
      <c r="O959" s="23" t="s">
        <v>7101</v>
      </c>
      <c r="P959" s="22" t="s">
        <v>75</v>
      </c>
      <c r="Q959" s="50" t="s">
        <v>49</v>
      </c>
      <c r="R959" s="21" t="s">
        <v>7297</v>
      </c>
      <c r="S959" s="22" t="s">
        <v>51</v>
      </c>
      <c r="T959" s="22" t="s">
        <v>7298</v>
      </c>
      <c r="U959" s="22" t="s">
        <v>7299</v>
      </c>
      <c r="V959" s="22" t="s">
        <v>7099</v>
      </c>
      <c r="W959" s="18">
        <v>45991.0</v>
      </c>
      <c r="X959" s="20">
        <v>0.27569444444444446</v>
      </c>
      <c r="Y959" s="18">
        <v>45991.0</v>
      </c>
      <c r="Z959" s="20">
        <v>0.27569444444444446</v>
      </c>
      <c r="AA959" s="20">
        <v>0.28125</v>
      </c>
      <c r="AB959" s="50" t="s">
        <v>7300</v>
      </c>
      <c r="AC959" s="50" t="s">
        <v>7301</v>
      </c>
      <c r="AD959" s="51">
        <v>0.4305555555555556</v>
      </c>
      <c r="AE959" s="18">
        <v>45991.0</v>
      </c>
      <c r="AF959" s="22" t="s">
        <v>2828</v>
      </c>
      <c r="AG959" s="22" t="s">
        <v>583</v>
      </c>
      <c r="AH959" s="22" t="s">
        <v>7302</v>
      </c>
      <c r="AI959" s="26" t="str">
        <f>IFERROR(__xludf.DUMMYFUNCTION("IF(OR(W959="""",X959="""",AE959="""",AD959=""""),"""",
   TEXT(
     (
       (AE959+AD959 + IF(AE959+AD959 &lt; W959+X959,1,0)) - (W959+X959)
     )
     - IF(AND(AB959&lt;&gt;"""",AC959&lt;&gt;""""), 
          SUM(ARRAYFORMULA(SPLIT(AC959,"","") - SPLIT(AB959,"",""))"&amp;"), 
          0
       ),
     ""[hh]:mm""
   )
)
"),"02:28")</f>
        <v>02:28</v>
      </c>
      <c r="AJ959" s="55">
        <f t="shared" si="16"/>
        <v>0</v>
      </c>
      <c r="AK959" s="28" t="str">
        <f t="shared" si="17"/>
        <v>Pass</v>
      </c>
    </row>
    <row r="960">
      <c r="A960" s="18">
        <v>45991.0</v>
      </c>
      <c r="B960" s="20">
        <v>0.4305555555555556</v>
      </c>
      <c r="C960" s="18">
        <v>45991.0</v>
      </c>
      <c r="D960" s="20">
        <v>0.4305555555555556</v>
      </c>
      <c r="E960" s="22" t="s">
        <v>7303</v>
      </c>
      <c r="F960" s="22" t="s">
        <v>7097</v>
      </c>
      <c r="G960" s="22" t="s">
        <v>7098</v>
      </c>
      <c r="H960" s="22" t="s">
        <v>156</v>
      </c>
      <c r="I960" s="22" t="s">
        <v>194</v>
      </c>
      <c r="J960" s="22" t="s">
        <v>5330</v>
      </c>
      <c r="K960" s="22" t="s">
        <v>3249</v>
      </c>
      <c r="L960" s="22" t="s">
        <v>7304</v>
      </c>
      <c r="M960" s="22" t="s">
        <v>7305</v>
      </c>
      <c r="N960" s="22" t="s">
        <v>7306</v>
      </c>
      <c r="O960" s="23" t="s">
        <v>7307</v>
      </c>
      <c r="P960" s="22" t="s">
        <v>75</v>
      </c>
      <c r="Q960" s="50" t="s">
        <v>65</v>
      </c>
      <c r="R960" s="22" t="s">
        <v>7308</v>
      </c>
      <c r="S960" s="22" t="s">
        <v>51</v>
      </c>
      <c r="T960" s="22" t="s">
        <v>52</v>
      </c>
      <c r="U960" s="22" t="s">
        <v>52</v>
      </c>
      <c r="V960" s="22" t="s">
        <v>52</v>
      </c>
      <c r="W960" s="18">
        <v>45991.0</v>
      </c>
      <c r="X960" s="20">
        <v>0.27569444444444446</v>
      </c>
      <c r="Y960" s="18">
        <v>45991.0</v>
      </c>
      <c r="Z960" s="20">
        <v>0.27569444444444446</v>
      </c>
      <c r="AA960" s="20">
        <v>0.4305555555555556</v>
      </c>
      <c r="AB960" s="51">
        <v>0.27569444444444446</v>
      </c>
      <c r="AC960" s="51">
        <v>0.4305555555555556</v>
      </c>
      <c r="AD960" s="51">
        <v>0.5069444444444444</v>
      </c>
      <c r="AE960" s="18">
        <v>45991.0</v>
      </c>
      <c r="AF960" s="22" t="s">
        <v>33</v>
      </c>
      <c r="AG960" s="22" t="s">
        <v>583</v>
      </c>
      <c r="AH960" s="22" t="s">
        <v>7302</v>
      </c>
      <c r="AI960" s="26" t="str">
        <f>IFERROR(__xludf.DUMMYFUNCTION("IF(OR(W960="""",X960="""",AE960="""",AD960=""""),"""",
   TEXT(
     (
       (AE960+AD960 + IF(AE960+AD960 &lt; W960+X960,1,0)) - (W960+X960)
     )
     - IF(AND(AB960&lt;&gt;"""",AC960&lt;&gt;""""), 
          SUM(ARRAYFORMULA(SPLIT(AC960,"","") - SPLIT(AB960,"",""))"&amp;"), 
          0
       ),
     ""[hh]:mm""
   )
)
"),"01:50")</f>
        <v>01:50</v>
      </c>
      <c r="AJ960" s="55">
        <f t="shared" si="16"/>
        <v>0</v>
      </c>
      <c r="AK960" s="28" t="str">
        <f t="shared" si="17"/>
        <v>Pass</v>
      </c>
    </row>
    <row r="961">
      <c r="A961" s="45">
        <v>45990.0</v>
      </c>
      <c r="B961" s="49">
        <v>0.9104166666666667</v>
      </c>
      <c r="C961" s="45">
        <v>45991.0</v>
      </c>
      <c r="D961" s="49">
        <v>0.37569444444444444</v>
      </c>
      <c r="E961" s="21" t="s">
        <v>7309</v>
      </c>
      <c r="F961" s="21" t="s">
        <v>316</v>
      </c>
      <c r="G961" s="21" t="s">
        <v>317</v>
      </c>
      <c r="H961" s="21" t="s">
        <v>244</v>
      </c>
      <c r="I961" s="21" t="s">
        <v>194</v>
      </c>
      <c r="J961" s="21" t="s">
        <v>5330</v>
      </c>
      <c r="K961" s="21" t="s">
        <v>3249</v>
      </c>
      <c r="L961" s="21" t="s">
        <v>5331</v>
      </c>
      <c r="M961" s="21" t="s">
        <v>6666</v>
      </c>
      <c r="N961" s="21" t="s">
        <v>7310</v>
      </c>
      <c r="O961" s="48" t="s">
        <v>7311</v>
      </c>
      <c r="P961" s="21" t="s">
        <v>48</v>
      </c>
      <c r="Q961" s="24" t="s">
        <v>65</v>
      </c>
      <c r="R961" s="21" t="s">
        <v>7312</v>
      </c>
      <c r="S961" s="21" t="s">
        <v>51</v>
      </c>
      <c r="T961" s="21" t="s">
        <v>52</v>
      </c>
      <c r="U961" s="21" t="s">
        <v>52</v>
      </c>
      <c r="V961" s="21" t="s">
        <v>52</v>
      </c>
      <c r="W961" s="45">
        <v>45991.0</v>
      </c>
      <c r="X961" s="49">
        <v>0.37569444444444444</v>
      </c>
      <c r="Y961" s="45">
        <v>45991.0</v>
      </c>
      <c r="Z961" s="49">
        <v>0.7090277777777778</v>
      </c>
      <c r="AA961" s="49">
        <v>0.7111111111111111</v>
      </c>
      <c r="AB961" s="29"/>
      <c r="AC961" s="29"/>
      <c r="AD961" s="25">
        <v>0.7645833333333333</v>
      </c>
      <c r="AE961" s="45">
        <v>45991.0</v>
      </c>
      <c r="AF961" s="21" t="s">
        <v>2828</v>
      </c>
      <c r="AG961" s="21" t="s">
        <v>162</v>
      </c>
      <c r="AH961" s="21" t="s">
        <v>7313</v>
      </c>
      <c r="AI961" s="62" t="str">
        <f>IFERROR(__xludf.DUMMYFUNCTION("IF(OR(W961="""",X961="""",AE961="""",AD961=""""),"""",
   TEXT(
     (
       (AE961+AD961 + IF(AE961+AD961 &lt; W961+X961,1,0)) - (W961+X961)
     )
     - IF(AND(AB961&lt;&gt;"""",AC961&lt;&gt;""""), 
          SUM(ARRAYFORMULA(SPLIT(AC961,"","") - SPLIT(AB961,"",""))"&amp;"), 
          0
       ),
     ""[hh]:mm""
   )
)
"),"09:20")</f>
        <v>09:20</v>
      </c>
      <c r="AJ961" s="27">
        <f t="shared" si="16"/>
        <v>0</v>
      </c>
      <c r="AK961" s="63" t="str">
        <f t="shared" si="17"/>
        <v>Pass</v>
      </c>
    </row>
    <row r="962">
      <c r="A962" s="45">
        <v>45991.0</v>
      </c>
      <c r="B962" s="49">
        <v>0.3840277777777778</v>
      </c>
      <c r="C962" s="45">
        <v>45991.0</v>
      </c>
      <c r="D962" s="49">
        <v>0.39305555555555555</v>
      </c>
      <c r="E962" s="21" t="s">
        <v>7314</v>
      </c>
      <c r="F962" s="21" t="s">
        <v>3314</v>
      </c>
      <c r="G962" s="21" t="s">
        <v>3315</v>
      </c>
      <c r="H962" s="21" t="s">
        <v>40</v>
      </c>
      <c r="I962" s="21" t="s">
        <v>60</v>
      </c>
      <c r="J962" s="21" t="s">
        <v>3813</v>
      </c>
      <c r="K962" s="21" t="s">
        <v>61</v>
      </c>
      <c r="L962" s="21" t="s">
        <v>183</v>
      </c>
      <c r="M962" s="21" t="s">
        <v>7315</v>
      </c>
      <c r="N962" s="21" t="s">
        <v>7316</v>
      </c>
      <c r="O962" s="48" t="s">
        <v>7317</v>
      </c>
      <c r="P962" s="21" t="s">
        <v>48</v>
      </c>
      <c r="Q962" s="24" t="s">
        <v>65</v>
      </c>
      <c r="R962" s="21" t="s">
        <v>7318</v>
      </c>
      <c r="S962" s="21" t="s">
        <v>51</v>
      </c>
      <c r="T962" s="21" t="s">
        <v>7319</v>
      </c>
      <c r="U962" s="21" t="s">
        <v>52</v>
      </c>
      <c r="V962" s="21" t="s">
        <v>52</v>
      </c>
      <c r="W962" s="45">
        <v>45991.0</v>
      </c>
      <c r="X962" s="49">
        <v>0.39305555555555555</v>
      </c>
      <c r="Y962" s="45">
        <v>45991.0</v>
      </c>
      <c r="Z962" s="49">
        <v>0.5708333333333333</v>
      </c>
      <c r="AA962" s="49">
        <v>0.5729166666666666</v>
      </c>
      <c r="AB962" s="25">
        <v>0.625</v>
      </c>
      <c r="AC962" s="25">
        <v>0.7583333333333333</v>
      </c>
      <c r="AD962" s="25">
        <v>0.8472222222222222</v>
      </c>
      <c r="AE962" s="45">
        <v>45991.0</v>
      </c>
      <c r="AF962" s="21" t="s">
        <v>3218</v>
      </c>
      <c r="AG962" s="21" t="s">
        <v>6108</v>
      </c>
      <c r="AH962" s="21" t="s">
        <v>7313</v>
      </c>
      <c r="AI962" s="62" t="str">
        <f>IFERROR(__xludf.DUMMYFUNCTION("IF(OR(W962="""",X962="""",AE962="""",AD962=""""),"""",
   TEXT(
     (
       (AE962+AD962 + IF(AE962+AD962 &lt; W962+X962,1,0)) - (W962+X962)
     )
     - IF(AND(AB962&lt;&gt;"""",AC962&lt;&gt;""""), 
          SUM(ARRAYFORMULA(SPLIT(AC962,"","") - SPLIT(AB962,"",""))"&amp;"), 
          0
       ),
     ""[hh]:mm""
   )
)
"),"07:42")</f>
        <v>07:42</v>
      </c>
      <c r="AJ962" s="27">
        <f t="shared" si="16"/>
        <v>0</v>
      </c>
      <c r="AK962" s="63" t="str">
        <f t="shared" si="17"/>
        <v>Pass</v>
      </c>
    </row>
    <row r="963">
      <c r="A963" s="45">
        <v>45990.0</v>
      </c>
      <c r="B963" s="49">
        <v>0.7916666666666666</v>
      </c>
      <c r="C963" s="45">
        <v>45990.0</v>
      </c>
      <c r="D963" s="49">
        <v>0.7916666666666666</v>
      </c>
      <c r="E963" s="21" t="s">
        <v>7320</v>
      </c>
      <c r="F963" s="21" t="s">
        <v>1144</v>
      </c>
      <c r="G963" s="21" t="s">
        <v>1145</v>
      </c>
      <c r="H963" s="21" t="s">
        <v>1373</v>
      </c>
      <c r="I963" s="21" t="s">
        <v>118</v>
      </c>
      <c r="J963" s="21" t="s">
        <v>3991</v>
      </c>
      <c r="K963" s="21" t="s">
        <v>43</v>
      </c>
      <c r="L963" s="21" t="s">
        <v>120</v>
      </c>
      <c r="M963" s="21" t="s">
        <v>52</v>
      </c>
      <c r="N963" s="21" t="s">
        <v>7321</v>
      </c>
      <c r="O963" s="48" t="s">
        <v>7322</v>
      </c>
      <c r="P963" s="21" t="s">
        <v>75</v>
      </c>
      <c r="Q963" s="24" t="s">
        <v>65</v>
      </c>
      <c r="R963" s="21" t="s">
        <v>7323</v>
      </c>
      <c r="S963" s="21" t="s">
        <v>51</v>
      </c>
      <c r="T963" s="21" t="s">
        <v>77</v>
      </c>
      <c r="U963" s="21" t="s">
        <v>7324</v>
      </c>
      <c r="V963" s="21" t="s">
        <v>52</v>
      </c>
      <c r="W963" s="45">
        <v>45991.0</v>
      </c>
      <c r="X963" s="76">
        <v>0.6340277777777777</v>
      </c>
      <c r="Y963" s="45">
        <v>45991.0</v>
      </c>
      <c r="Z963" s="49">
        <v>0.6340277777777777</v>
      </c>
      <c r="AA963" s="49">
        <v>0.6340277777777777</v>
      </c>
      <c r="AB963" s="25">
        <v>0.6340277777777777</v>
      </c>
      <c r="AC963" s="25">
        <v>0.6756944444444445</v>
      </c>
      <c r="AD963" s="25">
        <v>0.7222222222222222</v>
      </c>
      <c r="AE963" s="45">
        <v>45991.0</v>
      </c>
      <c r="AF963" s="21" t="s">
        <v>33</v>
      </c>
      <c r="AG963" s="21" t="s">
        <v>3191</v>
      </c>
      <c r="AH963" s="21" t="s">
        <v>7189</v>
      </c>
      <c r="AI963" s="62" t="str">
        <f>IFERROR(__xludf.DUMMYFUNCTION("IF(OR(W963="""",X963="""",AE963="""",AD963=""""),"""",
   TEXT(
     (
       (AE963+AD963 + IF(AE963+AD963 &lt; W963+X963,1,0)) - (W963+X963)
     )
     - IF(AND(AB963&lt;&gt;"""",AC963&lt;&gt;""""), 
          SUM(ARRAYFORMULA(SPLIT(AC963,"","") - SPLIT(AB963,"",""))"&amp;"), 
          0
       ),
     ""[hh]:mm""
   )
)
"),"01:07")</f>
        <v>01:07</v>
      </c>
      <c r="AJ963" s="27">
        <f t="shared" si="16"/>
        <v>0</v>
      </c>
      <c r="AK963" s="63" t="str">
        <f t="shared" si="17"/>
        <v>Pass</v>
      </c>
    </row>
    <row r="964">
      <c r="A964" s="18">
        <v>45990.0</v>
      </c>
      <c r="B964" s="20">
        <v>0.8444444444444444</v>
      </c>
      <c r="C964" s="18">
        <v>45990.0</v>
      </c>
      <c r="D964" s="20">
        <v>0.8465277777777778</v>
      </c>
      <c r="E964" s="22" t="s">
        <v>7325</v>
      </c>
      <c r="F964" s="22" t="s">
        <v>7326</v>
      </c>
      <c r="G964" s="22" t="s">
        <v>7327</v>
      </c>
      <c r="H964" s="22" t="s">
        <v>566</v>
      </c>
      <c r="I964" s="22" t="s">
        <v>951</v>
      </c>
      <c r="J964" s="22" t="s">
        <v>95</v>
      </c>
      <c r="K964" s="22" t="s">
        <v>52</v>
      </c>
      <c r="L964" s="22" t="s">
        <v>52</v>
      </c>
      <c r="M964" s="22" t="s">
        <v>52</v>
      </c>
      <c r="N964" s="22" t="s">
        <v>7328</v>
      </c>
      <c r="O964" s="23" t="s">
        <v>7329</v>
      </c>
      <c r="P964" s="22" t="s">
        <v>48</v>
      </c>
      <c r="Q964" s="50" t="s">
        <v>49</v>
      </c>
      <c r="R964" s="22" t="s">
        <v>7330</v>
      </c>
      <c r="S964" s="22" t="s">
        <v>51</v>
      </c>
      <c r="T964" s="22" t="s">
        <v>52</v>
      </c>
      <c r="U964" s="22" t="s">
        <v>52</v>
      </c>
      <c r="V964" s="22" t="s">
        <v>52</v>
      </c>
      <c r="W964" s="18">
        <v>45991.0</v>
      </c>
      <c r="X964" s="20">
        <v>0.8465277777777778</v>
      </c>
      <c r="Y964" s="18">
        <v>45991.0</v>
      </c>
      <c r="Z964" s="20">
        <v>0.9166666666666666</v>
      </c>
      <c r="AA964" s="20">
        <v>0.9201388888888888</v>
      </c>
      <c r="AB964" s="51">
        <v>0.0</v>
      </c>
      <c r="AC964" s="51">
        <v>0.041666666666666664</v>
      </c>
      <c r="AD964" s="51">
        <v>0.041666666666666664</v>
      </c>
      <c r="AE964" s="18">
        <v>45992.0</v>
      </c>
      <c r="AF964" s="22" t="s">
        <v>2828</v>
      </c>
      <c r="AG964" s="22" t="s">
        <v>3191</v>
      </c>
      <c r="AH964" s="22" t="s">
        <v>7331</v>
      </c>
      <c r="AI964" s="26" t="str">
        <f>IFERROR(__xludf.DUMMYFUNCTION("IF(OR(W964="""",X964="""",AE964="""",AD964=""""),"""",
   TEXT(
     (
       (AE964+AD964 + IF(AE964+AD964 &lt; W964+X964,1,0)) - (W964+X964)
     )
     - IF(AND(AB964&lt;&gt;"""",AC964&lt;&gt;""""), 
          SUM(ARRAYFORMULA(SPLIT(AC964,"","") - SPLIT(AB964,"",""))"&amp;"), 
          0
       ),
     ""[hh]:mm""
   )
)
"),"03:41")</f>
        <v>03:41</v>
      </c>
      <c r="AJ964" s="55">
        <f t="shared" si="16"/>
        <v>0</v>
      </c>
      <c r="AK964" s="28" t="str">
        <f t="shared" si="17"/>
        <v>Pass</v>
      </c>
    </row>
    <row r="965">
      <c r="A965" s="45">
        <v>45992.0</v>
      </c>
      <c r="B965" s="49">
        <v>0.3597222222222222</v>
      </c>
      <c r="C965" s="45">
        <v>45992.0</v>
      </c>
      <c r="D965" s="49">
        <v>0.3763888888888889</v>
      </c>
      <c r="E965" s="21" t="s">
        <v>7332</v>
      </c>
      <c r="F965" s="21" t="s">
        <v>1093</v>
      </c>
      <c r="G965" s="21" t="s">
        <v>1094</v>
      </c>
      <c r="H965" s="21" t="s">
        <v>566</v>
      </c>
      <c r="I965" s="21" t="s">
        <v>815</v>
      </c>
      <c r="J965" s="21" t="s">
        <v>1084</v>
      </c>
      <c r="K965" s="21" t="s">
        <v>2912</v>
      </c>
      <c r="L965" s="21" t="s">
        <v>1470</v>
      </c>
      <c r="M965" s="21" t="s">
        <v>7333</v>
      </c>
      <c r="N965" s="21" t="s">
        <v>7334</v>
      </c>
      <c r="O965" s="48" t="s">
        <v>7335</v>
      </c>
      <c r="P965" s="21" t="s">
        <v>48</v>
      </c>
      <c r="Q965" s="24" t="s">
        <v>198</v>
      </c>
      <c r="R965" s="21" t="s">
        <v>7336</v>
      </c>
      <c r="S965" s="21" t="s">
        <v>51</v>
      </c>
      <c r="T965" s="21" t="s">
        <v>52</v>
      </c>
      <c r="U965" s="21" t="s">
        <v>52</v>
      </c>
      <c r="V965" s="21" t="s">
        <v>52</v>
      </c>
      <c r="W965" s="45">
        <v>45992.0</v>
      </c>
      <c r="X965" s="49">
        <v>0.3763888888888889</v>
      </c>
      <c r="Y965" s="45">
        <v>45992.0</v>
      </c>
      <c r="Z965" s="49">
        <v>0.53125</v>
      </c>
      <c r="AA965" s="49">
        <v>0.5416666666666666</v>
      </c>
      <c r="AB965" s="29"/>
      <c r="AC965" s="29"/>
      <c r="AD965" s="25">
        <v>0.5972222222222222</v>
      </c>
      <c r="AE965" s="45">
        <v>45992.0</v>
      </c>
      <c r="AF965" s="21" t="s">
        <v>2918</v>
      </c>
      <c r="AG965" s="21" t="s">
        <v>78</v>
      </c>
      <c r="AH965" s="21" t="s">
        <v>7337</v>
      </c>
      <c r="AI965" s="62" t="str">
        <f>IFERROR(__xludf.DUMMYFUNCTION("IF(OR(W965="""",X965="""",AE965="""",AD965=""""),"""",
   TEXT(
     (
       (AE965+AD965 + IF(AE965+AD965 &lt; W965+X965,1,0)) - (W965+X965)
     )
     - IF(AND(AB965&lt;&gt;"""",AC965&lt;&gt;""""), 
          SUM(ARRAYFORMULA(SPLIT(AC965,"","") - SPLIT(AB965,"",""))"&amp;"), 
          0
       ),
     ""[hh]:mm""
   )
)
"),"05:18")</f>
        <v>05:18</v>
      </c>
      <c r="AJ965" s="27">
        <f t="shared" si="16"/>
        <v>0</v>
      </c>
      <c r="AK965" s="63" t="str">
        <f t="shared" si="17"/>
        <v>Pass</v>
      </c>
    </row>
    <row r="966">
      <c r="A966" s="45">
        <v>45992.0</v>
      </c>
      <c r="B966" s="49">
        <v>0.39791666666666664</v>
      </c>
      <c r="C966" s="45">
        <v>45992.0</v>
      </c>
      <c r="D966" s="49">
        <v>0.40694444444444444</v>
      </c>
      <c r="E966" s="21" t="s">
        <v>7338</v>
      </c>
      <c r="F966" s="21" t="s">
        <v>5046</v>
      </c>
      <c r="G966" s="21" t="s">
        <v>5047</v>
      </c>
      <c r="H966" s="21" t="s">
        <v>182</v>
      </c>
      <c r="I966" s="21" t="s">
        <v>234</v>
      </c>
      <c r="J966" s="21" t="s">
        <v>3806</v>
      </c>
      <c r="K966" s="21" t="s">
        <v>43</v>
      </c>
      <c r="L966" s="21" t="s">
        <v>44</v>
      </c>
      <c r="M966" s="21" t="s">
        <v>7339</v>
      </c>
      <c r="N966" s="21" t="s">
        <v>7340</v>
      </c>
      <c r="O966" s="48" t="s">
        <v>7341</v>
      </c>
      <c r="P966" s="21" t="s">
        <v>75</v>
      </c>
      <c r="Q966" s="24" t="s">
        <v>65</v>
      </c>
      <c r="R966" s="21" t="s">
        <v>7342</v>
      </c>
      <c r="S966" s="21" t="s">
        <v>51</v>
      </c>
      <c r="T966" s="21" t="s">
        <v>324</v>
      </c>
      <c r="U966" s="21" t="s">
        <v>7343</v>
      </c>
      <c r="V966" s="21" t="s">
        <v>7344</v>
      </c>
      <c r="W966" s="45">
        <v>45992.0</v>
      </c>
      <c r="X966" s="49">
        <v>0.40694444444444444</v>
      </c>
      <c r="Y966" s="45">
        <v>45992.0</v>
      </c>
      <c r="Z966" s="49">
        <v>0.5583333333333333</v>
      </c>
      <c r="AA966" s="49">
        <v>0.61875</v>
      </c>
      <c r="AB966" s="25">
        <v>0.5826388888888889</v>
      </c>
      <c r="AC966" s="25">
        <v>0.6180555555555556</v>
      </c>
      <c r="AD966" s="25">
        <v>0.7916666666666666</v>
      </c>
      <c r="AE966" s="45">
        <v>45992.0</v>
      </c>
      <c r="AF966" s="21" t="s">
        <v>2744</v>
      </c>
      <c r="AG966" s="21" t="s">
        <v>1475</v>
      </c>
      <c r="AH966" s="21" t="s">
        <v>7345</v>
      </c>
      <c r="AI966" s="62" t="str">
        <f>IFERROR(__xludf.DUMMYFUNCTION("IF(OR(W966="""",X966="""",AE966="""",AD966=""""),"""",
   TEXT(
     (
       (AE966+AD966 + IF(AE966+AD966 &lt; W966+X966,1,0)) - (W966+X966)
     )
     - IF(AND(AB966&lt;&gt;"""",AC966&lt;&gt;""""), 
          SUM(ARRAYFORMULA(SPLIT(AC966,"","") - SPLIT(AB966,"",""))"&amp;"), 
          0
       ),
     ""[hh]:mm""
   )
)
"),"08:23")</f>
        <v>08:23</v>
      </c>
      <c r="AJ966" s="27">
        <f t="shared" si="16"/>
        <v>0</v>
      </c>
      <c r="AK966" s="63" t="str">
        <f t="shared" si="17"/>
        <v>Pass</v>
      </c>
    </row>
    <row r="967">
      <c r="A967" s="45">
        <v>45992.0</v>
      </c>
      <c r="B967" s="49">
        <v>0.4097222222222222</v>
      </c>
      <c r="C967" s="45">
        <v>45992.0</v>
      </c>
      <c r="D967" s="49">
        <v>0.4125</v>
      </c>
      <c r="E967" s="21" t="s">
        <v>7346</v>
      </c>
      <c r="F967" s="21" t="s">
        <v>7347</v>
      </c>
      <c r="G967" s="21" t="s">
        <v>7348</v>
      </c>
      <c r="H967" s="21" t="s">
        <v>130</v>
      </c>
      <c r="I967" s="21" t="s">
        <v>60</v>
      </c>
      <c r="J967" s="21" t="s">
        <v>3813</v>
      </c>
      <c r="K967" s="21" t="s">
        <v>61</v>
      </c>
      <c r="L967" s="21" t="s">
        <v>7349</v>
      </c>
      <c r="M967" s="21" t="s">
        <v>7350</v>
      </c>
      <c r="N967" s="21" t="s">
        <v>2347</v>
      </c>
      <c r="O967" s="48" t="s">
        <v>7351</v>
      </c>
      <c r="P967" s="21" t="s">
        <v>75</v>
      </c>
      <c r="Q967" s="24" t="s">
        <v>65</v>
      </c>
      <c r="R967" s="21" t="s">
        <v>7352</v>
      </c>
      <c r="S967" s="21" t="s">
        <v>51</v>
      </c>
      <c r="T967" s="21" t="s">
        <v>52</v>
      </c>
      <c r="U967" s="21" t="s">
        <v>52</v>
      </c>
      <c r="V967" s="21" t="s">
        <v>52</v>
      </c>
      <c r="W967" s="45">
        <v>45992.0</v>
      </c>
      <c r="X967" s="49">
        <v>0.4125</v>
      </c>
      <c r="Y967" s="45">
        <v>45992.0</v>
      </c>
      <c r="Z967" s="49">
        <v>0.7347222222222223</v>
      </c>
      <c r="AA967" s="49">
        <v>0.7361111111111112</v>
      </c>
      <c r="AB967" s="29"/>
      <c r="AC967" s="29"/>
      <c r="AD967" s="25">
        <v>0.75</v>
      </c>
      <c r="AE967" s="45">
        <v>45992.0</v>
      </c>
      <c r="AF967" s="21" t="s">
        <v>2744</v>
      </c>
      <c r="AG967" s="21" t="s">
        <v>7353</v>
      </c>
      <c r="AH967" s="21" t="s">
        <v>7354</v>
      </c>
      <c r="AI967" s="62" t="str">
        <f>IFERROR(__xludf.DUMMYFUNCTION("IF(OR(W967="""",X967="""",AE967="""",AD967=""""),"""",
   TEXT(
     (
       (AE967+AD967 + IF(AE967+AD967 &lt; W967+X967,1,0)) - (W967+X967)
     )
     - IF(AND(AB967&lt;&gt;"""",AC967&lt;&gt;""""), 
          SUM(ARRAYFORMULA(SPLIT(AC967,"","") - SPLIT(AB967,"",""))"&amp;"), 
          0
       ),
     ""[hh]:mm""
   )
)
"),"08:06")</f>
        <v>08:06</v>
      </c>
      <c r="AJ967" s="27">
        <f t="shared" si="16"/>
        <v>0</v>
      </c>
      <c r="AK967" s="63" t="str">
        <f t="shared" si="17"/>
        <v>Pass</v>
      </c>
    </row>
    <row r="968">
      <c r="A968" s="45">
        <v>45992.0</v>
      </c>
      <c r="B968" s="49">
        <v>0.43680555555555556</v>
      </c>
      <c r="C968" s="45">
        <v>45992.0</v>
      </c>
      <c r="D968" s="49">
        <v>0.43680555555555556</v>
      </c>
      <c r="E968" s="21" t="s">
        <v>7355</v>
      </c>
      <c r="F968" s="21" t="s">
        <v>3057</v>
      </c>
      <c r="G968" s="21" t="s">
        <v>3058</v>
      </c>
      <c r="H968" s="21" t="s">
        <v>756</v>
      </c>
      <c r="I968" s="21" t="s">
        <v>234</v>
      </c>
      <c r="J968" s="21" t="s">
        <v>3813</v>
      </c>
      <c r="K968" s="21" t="s">
        <v>61</v>
      </c>
      <c r="L968" s="21" t="s">
        <v>183</v>
      </c>
      <c r="M968" s="21" t="s">
        <v>7356</v>
      </c>
      <c r="N968" s="21" t="s">
        <v>7357</v>
      </c>
      <c r="O968" s="48" t="s">
        <v>7358</v>
      </c>
      <c r="P968" s="21" t="s">
        <v>75</v>
      </c>
      <c r="Q968" s="24" t="s">
        <v>49</v>
      </c>
      <c r="R968" s="21" t="s">
        <v>7359</v>
      </c>
      <c r="S968" s="21" t="s">
        <v>51</v>
      </c>
      <c r="T968" s="21" t="s">
        <v>7360</v>
      </c>
      <c r="U968" s="21" t="s">
        <v>52</v>
      </c>
      <c r="V968" s="21" t="s">
        <v>52</v>
      </c>
      <c r="W968" s="45">
        <v>45992.0</v>
      </c>
      <c r="X968" s="49">
        <v>0.43680555555555556</v>
      </c>
      <c r="Y968" s="45">
        <v>45992.0</v>
      </c>
      <c r="Z968" s="49">
        <v>0.4375</v>
      </c>
      <c r="AA968" s="49">
        <v>0.4361111111111111</v>
      </c>
      <c r="AB968" s="24" t="s">
        <v>7361</v>
      </c>
      <c r="AC968" s="24" t="s">
        <v>7362</v>
      </c>
      <c r="AD968" s="25">
        <v>0.625</v>
      </c>
      <c r="AE968" s="45">
        <v>45992.0</v>
      </c>
      <c r="AF968" s="21" t="s">
        <v>2744</v>
      </c>
      <c r="AG968" s="21" t="s">
        <v>2086</v>
      </c>
      <c r="AH968" s="21" t="s">
        <v>7363</v>
      </c>
      <c r="AI968" s="62" t="str">
        <f>IFERROR(__xludf.DUMMYFUNCTION("IF(OR(W968="""",X968="""",AE968="""",AD968=""""),"""",
   TEXT(
     (
       (AE968+AD968 + IF(AE968+AD968 &lt; W968+X968,1,0)) - (W968+X968)
     )
     - IF(AND(AB968&lt;&gt;"""",AC968&lt;&gt;""""), 
          SUM(ARRAYFORMULA(SPLIT(AC968,"","") - SPLIT(AB968,"",""))"&amp;"), 
          0
       ),
     ""[hh]:mm""
   )
)
"),"01:54")</f>
        <v>01:54</v>
      </c>
      <c r="AJ968" s="27">
        <f t="shared" si="16"/>
        <v>0</v>
      </c>
      <c r="AK968" s="63" t="str">
        <f t="shared" si="17"/>
        <v>Pass</v>
      </c>
    </row>
    <row r="969">
      <c r="A969" s="45">
        <v>45992.0</v>
      </c>
      <c r="B969" s="49">
        <v>0.6256944444444444</v>
      </c>
      <c r="C969" s="45">
        <v>45992.0</v>
      </c>
      <c r="D969" s="49">
        <v>0.6291666666666667</v>
      </c>
      <c r="E969" s="21" t="s">
        <v>7364</v>
      </c>
      <c r="F969" s="21" t="s">
        <v>2642</v>
      </c>
      <c r="G969" s="21" t="s">
        <v>2643</v>
      </c>
      <c r="H969" s="21" t="s">
        <v>566</v>
      </c>
      <c r="I969" s="21" t="s">
        <v>95</v>
      </c>
      <c r="J969" s="21" t="s">
        <v>95</v>
      </c>
      <c r="K969" s="21" t="s">
        <v>143</v>
      </c>
      <c r="L969" s="21" t="s">
        <v>3175</v>
      </c>
      <c r="M969" s="21" t="s">
        <v>7365</v>
      </c>
      <c r="N969" s="21" t="s">
        <v>7366</v>
      </c>
      <c r="O969" s="48" t="s">
        <v>7367</v>
      </c>
      <c r="P969" s="21" t="s">
        <v>48</v>
      </c>
      <c r="Q969" s="24" t="s">
        <v>198</v>
      </c>
      <c r="R969" s="21" t="s">
        <v>7368</v>
      </c>
      <c r="S969" s="21" t="s">
        <v>51</v>
      </c>
      <c r="T969" s="21" t="s">
        <v>52</v>
      </c>
      <c r="U969" s="21" t="s">
        <v>52</v>
      </c>
      <c r="V969" s="21" t="s">
        <v>52</v>
      </c>
      <c r="W969" s="45">
        <v>45992.0</v>
      </c>
      <c r="X969" s="49">
        <v>0.6291666666666667</v>
      </c>
      <c r="Y969" s="45">
        <v>45992.0</v>
      </c>
      <c r="Z969" s="49">
        <v>0.7597222222222222</v>
      </c>
      <c r="AA969" s="49">
        <v>0.7611111111111111</v>
      </c>
      <c r="AB969" s="25">
        <v>0.7965277777777777</v>
      </c>
      <c r="AC969" s="25">
        <v>0.8416666666666667</v>
      </c>
      <c r="AD969" s="25">
        <v>0.8625</v>
      </c>
      <c r="AE969" s="45">
        <v>45992.0</v>
      </c>
      <c r="AF969" s="21" t="s">
        <v>7212</v>
      </c>
      <c r="AG969" s="21" t="s">
        <v>7369</v>
      </c>
      <c r="AH969" s="21" t="s">
        <v>7370</v>
      </c>
      <c r="AI969" s="62" t="str">
        <f>IFERROR(__xludf.DUMMYFUNCTION("IF(OR(W969="""",X969="""",AE969="""",AD969=""""),"""",
   TEXT(
     (
       (AE969+AD969 + IF(AE969+AD969 &lt; W969+X969,1,0)) - (W969+X969)
     )
     - IF(AND(AB969&lt;&gt;"""",AC969&lt;&gt;""""), 
          SUM(ARRAYFORMULA(SPLIT(AC969,"","") - SPLIT(AB969,"",""))"&amp;"), 
          0
       ),
     ""[hh]:mm""
   )
)
"),"04:31")</f>
        <v>04:31</v>
      </c>
      <c r="AJ969" s="27">
        <f t="shared" si="16"/>
        <v>0</v>
      </c>
      <c r="AK969" s="63" t="str">
        <f t="shared" si="17"/>
        <v>Pass</v>
      </c>
    </row>
    <row r="970">
      <c r="A970" s="45">
        <v>45992.0</v>
      </c>
      <c r="B970" s="49">
        <v>0.6319444444444444</v>
      </c>
      <c r="C970" s="45">
        <v>45992.0</v>
      </c>
      <c r="D970" s="49">
        <v>0.6354166666666666</v>
      </c>
      <c r="E970" s="21" t="s">
        <v>7371</v>
      </c>
      <c r="F970" s="21" t="s">
        <v>473</v>
      </c>
      <c r="G970" s="21" t="s">
        <v>474</v>
      </c>
      <c r="H970" s="21" t="s">
        <v>6041</v>
      </c>
      <c r="I970" s="21" t="s">
        <v>107</v>
      </c>
      <c r="J970" s="21" t="s">
        <v>3806</v>
      </c>
      <c r="K970" s="21" t="s">
        <v>43</v>
      </c>
      <c r="L970" s="21" t="s">
        <v>617</v>
      </c>
      <c r="M970" s="21" t="s">
        <v>7372</v>
      </c>
      <c r="N970" s="21" t="s">
        <v>7373</v>
      </c>
      <c r="O970" s="48" t="s">
        <v>7374</v>
      </c>
      <c r="P970" s="21" t="s">
        <v>75</v>
      </c>
      <c r="Q970" s="24" t="s">
        <v>49</v>
      </c>
      <c r="R970" s="21" t="s">
        <v>7375</v>
      </c>
      <c r="S970" s="21" t="s">
        <v>51</v>
      </c>
      <c r="T970" s="21" t="s">
        <v>52</v>
      </c>
      <c r="U970" s="21" t="s">
        <v>52</v>
      </c>
      <c r="V970" s="21" t="s">
        <v>52</v>
      </c>
      <c r="W970" s="45">
        <v>45992.0</v>
      </c>
      <c r="X970" s="49">
        <v>0.6354166666666666</v>
      </c>
      <c r="Y970" s="45">
        <v>45992.0</v>
      </c>
      <c r="Z970" s="49">
        <v>0.7708333333333334</v>
      </c>
      <c r="AA970" s="49">
        <v>0.7777777777777778</v>
      </c>
      <c r="AB970" s="25">
        <v>0.65625</v>
      </c>
      <c r="AC970" s="25">
        <v>0.7291666666666666</v>
      </c>
      <c r="AD970" s="25">
        <v>0.8125</v>
      </c>
      <c r="AE970" s="45">
        <v>45992.0</v>
      </c>
      <c r="AF970" s="21" t="s">
        <v>7212</v>
      </c>
      <c r="AG970" s="21" t="s">
        <v>78</v>
      </c>
      <c r="AH970" s="21" t="s">
        <v>7376</v>
      </c>
      <c r="AI970" s="62" t="str">
        <f>IFERROR(__xludf.DUMMYFUNCTION("IF(OR(W970="""",X970="""",AE970="""",AD970=""""),"""",
   TEXT(
     (
       (AE970+AD970 + IF(AE970+AD970 &lt; W970+X970,1,0)) - (W970+X970)
     )
     - IF(AND(AB970&lt;&gt;"""",AC970&lt;&gt;""""), 
          SUM(ARRAYFORMULA(SPLIT(AC970,"","") - SPLIT(AB970,"",""))"&amp;"), 
          0
       ),
     ""[hh]:mm""
   )
)
"),"02:30")</f>
        <v>02:30</v>
      </c>
      <c r="AJ970" s="27">
        <f t="shared" si="16"/>
        <v>0</v>
      </c>
      <c r="AK970" s="63" t="str">
        <f t="shared" si="17"/>
        <v>Pass</v>
      </c>
    </row>
    <row r="971">
      <c r="A971" s="45">
        <v>45992.0</v>
      </c>
      <c r="B971" s="49">
        <v>0.6270833333333333</v>
      </c>
      <c r="C971" s="45">
        <v>45992.0</v>
      </c>
      <c r="D971" s="49">
        <v>0.6270833333333333</v>
      </c>
      <c r="E971" s="21" t="s">
        <v>7377</v>
      </c>
      <c r="F971" s="21" t="s">
        <v>7135</v>
      </c>
      <c r="G971" s="21" t="s">
        <v>7378</v>
      </c>
      <c r="H971" s="21" t="s">
        <v>6679</v>
      </c>
      <c r="I971" s="21" t="s">
        <v>60</v>
      </c>
      <c r="J971" s="21" t="s">
        <v>3806</v>
      </c>
      <c r="K971" s="21" t="s">
        <v>43</v>
      </c>
      <c r="L971" s="21" t="s">
        <v>2663</v>
      </c>
      <c r="M971" s="21" t="s">
        <v>7379</v>
      </c>
      <c r="N971" s="21" t="s">
        <v>7380</v>
      </c>
      <c r="O971" s="48" t="s">
        <v>7381</v>
      </c>
      <c r="P971" s="21" t="s">
        <v>75</v>
      </c>
      <c r="Q971" s="24" t="s">
        <v>65</v>
      </c>
      <c r="R971" s="21" t="s">
        <v>7382</v>
      </c>
      <c r="S971" s="21" t="s">
        <v>51</v>
      </c>
      <c r="T971" s="21" t="s">
        <v>2032</v>
      </c>
      <c r="U971" s="21" t="s">
        <v>7379</v>
      </c>
      <c r="V971" s="21" t="s">
        <v>7224</v>
      </c>
      <c r="W971" s="45">
        <v>45992.0</v>
      </c>
      <c r="X971" s="76">
        <v>0.6270833333333333</v>
      </c>
      <c r="Y971" s="45">
        <v>45992.0</v>
      </c>
      <c r="Z971" s="49">
        <v>0.68125</v>
      </c>
      <c r="AA971" s="49">
        <v>0.6840277777777778</v>
      </c>
      <c r="AB971" s="29"/>
      <c r="AC971" s="29"/>
      <c r="AD971" s="25">
        <v>0.7013888888888888</v>
      </c>
      <c r="AE971" s="45">
        <v>45992.0</v>
      </c>
      <c r="AF971" s="21" t="s">
        <v>6542</v>
      </c>
      <c r="AG971" s="21" t="s">
        <v>2086</v>
      </c>
      <c r="AH971" s="21" t="s">
        <v>7383</v>
      </c>
      <c r="AI971" s="62" t="str">
        <f>IFERROR(__xludf.DUMMYFUNCTION("IF(OR(W971="""",X971="""",AE971="""",AD971=""""),"""",
   TEXT(
     (
       (AE971+AD971 + IF(AE971+AD971 &lt; W971+X971,1,0)) - (W971+X971)
     )
     - IF(AND(AB971&lt;&gt;"""",AC971&lt;&gt;""""), 
          SUM(ARRAYFORMULA(SPLIT(AC971,"","") - SPLIT(AB971,"",""))"&amp;"), 
          0
       ),
     ""[hh]:mm""
   )
)
"),"01:47")</f>
        <v>01:47</v>
      </c>
      <c r="AJ971" s="27">
        <f t="shared" si="16"/>
        <v>0</v>
      </c>
      <c r="AK971" s="63" t="str">
        <f t="shared" si="17"/>
        <v>Pass</v>
      </c>
    </row>
    <row r="972">
      <c r="A972" s="45">
        <v>45986.0</v>
      </c>
      <c r="B972" s="49">
        <v>0.6833333333333333</v>
      </c>
      <c r="C972" s="45">
        <v>45986.0</v>
      </c>
      <c r="D972" s="49">
        <v>0.6909722222222222</v>
      </c>
      <c r="E972" s="21" t="s">
        <v>7008</v>
      </c>
      <c r="F972" s="95" t="s">
        <v>2921</v>
      </c>
      <c r="G972" s="22" t="s">
        <v>6082</v>
      </c>
      <c r="H972" s="21" t="s">
        <v>1287</v>
      </c>
      <c r="I972" s="21" t="s">
        <v>131</v>
      </c>
      <c r="J972" s="21" t="s">
        <v>4708</v>
      </c>
      <c r="K972" s="21" t="s">
        <v>61</v>
      </c>
      <c r="L972" s="21" t="s">
        <v>1699</v>
      </c>
      <c r="M972" s="21" t="s">
        <v>7009</v>
      </c>
      <c r="N972" s="21" t="s">
        <v>4446</v>
      </c>
      <c r="O972" s="48" t="s">
        <v>7384</v>
      </c>
      <c r="P972" s="21" t="s">
        <v>75</v>
      </c>
      <c r="Q972" s="24" t="s">
        <v>65</v>
      </c>
      <c r="R972" s="102" t="s">
        <v>7385</v>
      </c>
      <c r="S972" s="21" t="s">
        <v>51</v>
      </c>
      <c r="T972" s="21" t="s">
        <v>2032</v>
      </c>
      <c r="U972" s="21" t="s">
        <v>7224</v>
      </c>
      <c r="V972" s="21" t="s">
        <v>7386</v>
      </c>
      <c r="W972" s="45">
        <v>45992.0</v>
      </c>
      <c r="X972" s="49">
        <v>0.6527777777777778</v>
      </c>
      <c r="Y972" s="45">
        <v>45992.0</v>
      </c>
      <c r="Z972" s="49">
        <v>0.7673611111111112</v>
      </c>
      <c r="AA972" s="49">
        <v>0.7708333333333334</v>
      </c>
      <c r="AB972" s="29"/>
      <c r="AC972" s="29"/>
      <c r="AD972" s="85">
        <v>0.8125</v>
      </c>
      <c r="AE972" s="45">
        <v>45992.0</v>
      </c>
      <c r="AF972" s="21" t="s">
        <v>6542</v>
      </c>
      <c r="AG972" s="21" t="s">
        <v>2086</v>
      </c>
      <c r="AH972" s="21" t="s">
        <v>7387</v>
      </c>
      <c r="AI972" s="62" t="str">
        <f>IFERROR(__xludf.DUMMYFUNCTION("IF(OR(W972="""",X972="""",AE972="""",AD972=""""),"""",
   TEXT(
     (
       (AE972+AD972 + IF(AE972+AD972 &lt; W972+X972,1,0)) - (W972+X972)
     )
     - IF(AND(AB972&lt;&gt;"""",AC972&lt;&gt;""""), 
          SUM(ARRAYFORMULA(SPLIT(AC972,"","") - SPLIT(AB972,"",""))"&amp;"), 
          0
       ),
     ""[hh]:mm""
   )
)
"),"03:50")</f>
        <v>03:50</v>
      </c>
      <c r="AJ972" s="27">
        <f t="shared" si="16"/>
        <v>0</v>
      </c>
      <c r="AK972" s="63" t="str">
        <f t="shared" si="17"/>
        <v>Pass</v>
      </c>
    </row>
    <row r="973">
      <c r="A973" s="18">
        <v>45992.0</v>
      </c>
      <c r="B973" s="20">
        <v>0.9305555555555556</v>
      </c>
      <c r="C973" s="18">
        <v>45992.0</v>
      </c>
      <c r="D973" s="20">
        <v>0.9340277777777778</v>
      </c>
      <c r="E973" s="22" t="s">
        <v>7388</v>
      </c>
      <c r="F973" s="22" t="s">
        <v>7389</v>
      </c>
      <c r="G973" s="22" t="s">
        <v>7390</v>
      </c>
      <c r="H973" s="22" t="s">
        <v>566</v>
      </c>
      <c r="I973" s="22" t="s">
        <v>815</v>
      </c>
      <c r="J973" s="22" t="s">
        <v>1084</v>
      </c>
      <c r="K973" s="22" t="s">
        <v>1998</v>
      </c>
      <c r="L973" s="22" t="s">
        <v>1999</v>
      </c>
      <c r="M973" s="22" t="s">
        <v>7391</v>
      </c>
      <c r="N973" s="22" t="s">
        <v>7392</v>
      </c>
      <c r="O973" s="23" t="s">
        <v>7393</v>
      </c>
      <c r="P973" s="22" t="s">
        <v>48</v>
      </c>
      <c r="Q973" s="50" t="s">
        <v>65</v>
      </c>
      <c r="R973" s="22" t="s">
        <v>7394</v>
      </c>
      <c r="S973" s="22" t="s">
        <v>51</v>
      </c>
      <c r="T973" s="22" t="s">
        <v>52</v>
      </c>
      <c r="U973" s="22" t="s">
        <v>52</v>
      </c>
      <c r="V973" s="22" t="s">
        <v>52</v>
      </c>
      <c r="W973" s="18">
        <v>45993.0</v>
      </c>
      <c r="X973" s="20">
        <v>0.5770833333333333</v>
      </c>
      <c r="Y973" s="18">
        <v>45993.0</v>
      </c>
      <c r="Z973" s="20">
        <v>0.6361111111111111</v>
      </c>
      <c r="AA973" s="20">
        <v>0.6368055555555555</v>
      </c>
      <c r="AB973" s="54"/>
      <c r="AC973" s="54"/>
      <c r="AD973" s="51">
        <v>0.7083333333333334</v>
      </c>
      <c r="AE973" s="18">
        <v>45993.0</v>
      </c>
      <c r="AF973" s="22" t="s">
        <v>2918</v>
      </c>
      <c r="AG973" s="22" t="s">
        <v>3191</v>
      </c>
      <c r="AH973" s="22" t="s">
        <v>7395</v>
      </c>
      <c r="AI973" s="62" t="str">
        <f>IFERROR(__xludf.DUMMYFUNCTION("IF(OR(W973="""",X973="""",AE973="""",AD973=""""),"""",
   TEXT(
     (
       (AE973+AD973 + IF(AE973+AD973 &lt; W973+X973,1,0)) - (W973+X973)
     )
     - IF(AND(AB973&lt;&gt;"""",AC973&lt;&gt;""""), 
          SUM(ARRAYFORMULA(SPLIT(AC973,"","") - SPLIT(AB973,"",""))"&amp;"), 
          0
       ),
     ""[hh]:mm""
   )
)
"),"03:09")</f>
        <v>03:09</v>
      </c>
      <c r="AJ973" s="27">
        <f t="shared" si="16"/>
        <v>0</v>
      </c>
      <c r="AK973" s="63" t="str">
        <f t="shared" si="17"/>
        <v>Pass</v>
      </c>
    </row>
    <row r="974">
      <c r="A974" s="18">
        <v>45992.0</v>
      </c>
      <c r="B974" s="20">
        <v>0.9618055555555556</v>
      </c>
      <c r="C974" s="18">
        <v>45992.0</v>
      </c>
      <c r="D974" s="20" t="s">
        <v>2036</v>
      </c>
      <c r="E974" s="22" t="s">
        <v>7396</v>
      </c>
      <c r="F974" s="22" t="s">
        <v>7023</v>
      </c>
      <c r="G974" s="22" t="s">
        <v>7397</v>
      </c>
      <c r="H974" s="22" t="s">
        <v>1468</v>
      </c>
      <c r="I974" s="22" t="s">
        <v>856</v>
      </c>
      <c r="J974" s="22" t="s">
        <v>1084</v>
      </c>
      <c r="K974" s="22" t="s">
        <v>1470</v>
      </c>
      <c r="L974" s="22" t="s">
        <v>6860</v>
      </c>
      <c r="M974" s="22">
        <v>8.67719050019642E14</v>
      </c>
      <c r="N974" s="22" t="s">
        <v>7398</v>
      </c>
      <c r="O974" s="23" t="s">
        <v>7399</v>
      </c>
      <c r="P974" s="22" t="s">
        <v>48</v>
      </c>
      <c r="Q974" s="50" t="s">
        <v>198</v>
      </c>
      <c r="R974" s="22" t="s">
        <v>6863</v>
      </c>
      <c r="S974" s="22" t="s">
        <v>51</v>
      </c>
      <c r="T974" s="22" t="s">
        <v>52</v>
      </c>
      <c r="U974" s="22" t="s">
        <v>52</v>
      </c>
      <c r="V974" s="22" t="s">
        <v>52</v>
      </c>
      <c r="W974" s="18">
        <v>45993.0</v>
      </c>
      <c r="X974" s="20">
        <v>0.375</v>
      </c>
      <c r="Y974" s="18">
        <v>45993.0</v>
      </c>
      <c r="Z974" s="20">
        <v>0.4</v>
      </c>
      <c r="AA974" s="20">
        <v>0.40625</v>
      </c>
      <c r="AB974" s="54"/>
      <c r="AC974" s="54"/>
      <c r="AD974" s="51">
        <v>0.5694444444444444</v>
      </c>
      <c r="AE974" s="18">
        <v>45993.0</v>
      </c>
      <c r="AF974" s="22" t="s">
        <v>2918</v>
      </c>
      <c r="AG974" s="22" t="s">
        <v>583</v>
      </c>
      <c r="AH974" s="22" t="s">
        <v>7400</v>
      </c>
      <c r="AI974" s="62" t="str">
        <f>IFERROR(__xludf.DUMMYFUNCTION("IF(OR(W974="""",X974="""",AE974="""",AD974=""""),"""",
   TEXT(
     (
       (AE974+AD974 + IF(AE974+AD974 &lt; W974+X974,1,0)) - (W974+X974)
     )
     - IF(AND(AB974&lt;&gt;"""",AC974&lt;&gt;""""), 
          SUM(ARRAYFORMULA(SPLIT(AC974,"","") - SPLIT(AB974,"",""))"&amp;"), 
          0
       ),
     ""[hh]:mm""
   )
)
"),"04:40")</f>
        <v>04:40</v>
      </c>
      <c r="AJ974" s="27">
        <f t="shared" si="16"/>
        <v>0</v>
      </c>
      <c r="AK974" s="63" t="str">
        <f t="shared" si="17"/>
        <v>Pass</v>
      </c>
    </row>
    <row r="975">
      <c r="A975" s="45">
        <v>45993.0</v>
      </c>
      <c r="B975" s="49">
        <v>1.0402777777777779</v>
      </c>
      <c r="C975" s="45">
        <v>45993.0</v>
      </c>
      <c r="D975" s="49">
        <v>0.2861111111111111</v>
      </c>
      <c r="E975" s="21" t="s">
        <v>7401</v>
      </c>
      <c r="F975" s="21" t="s">
        <v>2547</v>
      </c>
      <c r="G975" s="21" t="s">
        <v>2548</v>
      </c>
      <c r="H975" s="21" t="s">
        <v>746</v>
      </c>
      <c r="I975" s="21" t="s">
        <v>7402</v>
      </c>
      <c r="J975" s="21" t="s">
        <v>2655</v>
      </c>
      <c r="K975" s="21" t="s">
        <v>43</v>
      </c>
      <c r="L975" s="21" t="s">
        <v>52</v>
      </c>
      <c r="M975" s="21" t="s">
        <v>7403</v>
      </c>
      <c r="N975" s="21" t="s">
        <v>7404</v>
      </c>
      <c r="O975" s="48" t="s">
        <v>7405</v>
      </c>
      <c r="P975" s="21" t="s">
        <v>75</v>
      </c>
      <c r="Q975" s="24" t="s">
        <v>49</v>
      </c>
      <c r="R975" s="21" t="s">
        <v>7406</v>
      </c>
      <c r="S975" s="21" t="s">
        <v>51</v>
      </c>
      <c r="T975" s="21" t="s">
        <v>52</v>
      </c>
      <c r="U975" s="21" t="s">
        <v>52</v>
      </c>
      <c r="V975" s="21" t="s">
        <v>52</v>
      </c>
      <c r="W975" s="45">
        <v>45995.0</v>
      </c>
      <c r="X975" s="49">
        <v>0.3333333333333333</v>
      </c>
      <c r="Y975" s="45">
        <v>45995.0</v>
      </c>
      <c r="Z975" s="49">
        <v>0.3958333333333333</v>
      </c>
      <c r="AA975" s="49">
        <v>0.4166666666666667</v>
      </c>
      <c r="AB975" s="29"/>
      <c r="AC975" s="29"/>
      <c r="AD975" s="25">
        <v>0.4479166666666667</v>
      </c>
      <c r="AE975" s="45">
        <v>45995.0</v>
      </c>
      <c r="AF975" s="21" t="s">
        <v>2788</v>
      </c>
      <c r="AG975" s="21" t="s">
        <v>6787</v>
      </c>
      <c r="AH975" s="21" t="s">
        <v>7407</v>
      </c>
      <c r="AI975" s="62" t="str">
        <f>IFERROR(__xludf.DUMMYFUNCTION("IF(OR(W975="""",X975="""",AE975="""",AD975=""""),"""",
   TEXT(
     (
       (AE975+AD975 + IF(AE975+AD975 &lt; W975+X975,1,0)) - (W975+X975)
     )
     - IF(AND(AB975&lt;&gt;"""",AC975&lt;&gt;""""), 
          SUM(ARRAYFORMULA(SPLIT(AC975,"","") - SPLIT(AB975,"",""))"&amp;"), 
          0
       ),
     ""[hh]:mm""
   )
)
"),"02:45")</f>
        <v>02:45</v>
      </c>
      <c r="AJ975" s="27">
        <f t="shared" si="16"/>
        <v>0</v>
      </c>
      <c r="AK975" s="63" t="str">
        <f t="shared" si="17"/>
        <v>Pass</v>
      </c>
    </row>
    <row r="976">
      <c r="A976" s="18">
        <v>45993.0</v>
      </c>
      <c r="B976" s="20">
        <v>0.3326388888888889</v>
      </c>
      <c r="C976" s="18">
        <v>45993.0</v>
      </c>
      <c r="D976" s="20">
        <v>0.33958333333333335</v>
      </c>
      <c r="E976" s="22" t="s">
        <v>7408</v>
      </c>
      <c r="F976" s="22" t="s">
        <v>7409</v>
      </c>
      <c r="G976" s="22" t="s">
        <v>7410</v>
      </c>
      <c r="H976" s="22" t="s">
        <v>156</v>
      </c>
      <c r="I976" s="22" t="s">
        <v>616</v>
      </c>
      <c r="J976" s="22" t="s">
        <v>3806</v>
      </c>
      <c r="K976" s="22" t="s">
        <v>43</v>
      </c>
      <c r="L976" s="22" t="s">
        <v>617</v>
      </c>
      <c r="M976" s="22" t="s">
        <v>7411</v>
      </c>
      <c r="N976" s="22" t="s">
        <v>7412</v>
      </c>
      <c r="O976" s="23" t="s">
        <v>7413</v>
      </c>
      <c r="P976" s="22" t="s">
        <v>75</v>
      </c>
      <c r="Q976" s="50" t="s">
        <v>65</v>
      </c>
      <c r="R976" s="22" t="s">
        <v>7414</v>
      </c>
      <c r="S976" s="22" t="s">
        <v>51</v>
      </c>
      <c r="T976" s="22" t="s">
        <v>52</v>
      </c>
      <c r="U976" s="22" t="s">
        <v>52</v>
      </c>
      <c r="V976" s="22" t="s">
        <v>52</v>
      </c>
      <c r="W976" s="18">
        <v>45993.0</v>
      </c>
      <c r="X976" s="20">
        <v>0.33958333333333335</v>
      </c>
      <c r="Y976" s="18">
        <v>45993.0</v>
      </c>
      <c r="Z976" s="20">
        <v>0.5208333333333334</v>
      </c>
      <c r="AA976" s="20">
        <v>0.5277777777777778</v>
      </c>
      <c r="AB976" s="54"/>
      <c r="AC976" s="54"/>
      <c r="AD976" s="51">
        <v>0.5833333333333334</v>
      </c>
      <c r="AE976" s="18">
        <v>45993.0</v>
      </c>
      <c r="AF976" s="22" t="s">
        <v>53</v>
      </c>
      <c r="AG976" s="22" t="s">
        <v>2086</v>
      </c>
      <c r="AH976" s="22" t="s">
        <v>7415</v>
      </c>
      <c r="AI976" s="62" t="str">
        <f>IFERROR(__xludf.DUMMYFUNCTION("IF(OR(W976="""",X976="""",AE976="""",AD976=""""),"""",
   TEXT(
     (
       (AE976+AD976 + IF(AE976+AD976 &lt; W976+X976,1,0)) - (W976+X976)
     )
     - IF(AND(AB976&lt;&gt;"""",AC976&lt;&gt;""""), 
          SUM(ARRAYFORMULA(SPLIT(AC976,"","") - SPLIT(AB976,"",""))"&amp;"), 
          0
       ),
     ""[hh]:mm""
   )
)
"),"05:51")</f>
        <v>05:51</v>
      </c>
      <c r="AJ976" s="27">
        <f t="shared" si="16"/>
        <v>0</v>
      </c>
      <c r="AK976" s="63" t="str">
        <f t="shared" si="17"/>
        <v>Pass</v>
      </c>
    </row>
    <row r="977">
      <c r="A977" s="18">
        <v>45993.0</v>
      </c>
      <c r="B977" s="20">
        <v>0.3597222222222222</v>
      </c>
      <c r="C977" s="18">
        <v>45993.0</v>
      </c>
      <c r="D977" s="20">
        <v>0.3625</v>
      </c>
      <c r="E977" s="22" t="s">
        <v>7416</v>
      </c>
      <c r="F977" s="22" t="s">
        <v>2921</v>
      </c>
      <c r="G977" s="22" t="s">
        <v>2922</v>
      </c>
      <c r="H977" s="22" t="s">
        <v>566</v>
      </c>
      <c r="I977" s="22" t="s">
        <v>95</v>
      </c>
      <c r="J977" s="22" t="s">
        <v>95</v>
      </c>
      <c r="K977" s="22" t="s">
        <v>143</v>
      </c>
      <c r="L977" s="22" t="s">
        <v>52</v>
      </c>
      <c r="M977" s="22" t="s">
        <v>6963</v>
      </c>
      <c r="N977" s="22" t="s">
        <v>7417</v>
      </c>
      <c r="O977" s="23" t="s">
        <v>7418</v>
      </c>
      <c r="P977" s="22" t="s">
        <v>48</v>
      </c>
      <c r="Q977" s="50" t="s">
        <v>49</v>
      </c>
      <c r="R977" s="22" t="s">
        <v>7419</v>
      </c>
      <c r="S977" s="22" t="s">
        <v>51</v>
      </c>
      <c r="T977" s="22" t="s">
        <v>52</v>
      </c>
      <c r="U977" s="22" t="s">
        <v>52</v>
      </c>
      <c r="V977" s="22" t="s">
        <v>52</v>
      </c>
      <c r="W977" s="18">
        <v>45993.0</v>
      </c>
      <c r="X977" s="20">
        <v>0.3770833333333333</v>
      </c>
      <c r="Y977" s="18">
        <v>45993.0</v>
      </c>
      <c r="Z977" s="20">
        <v>0.4444444444444444</v>
      </c>
      <c r="AA977" s="20">
        <v>0.4479166666666667</v>
      </c>
      <c r="AB977" s="50" t="s">
        <v>7420</v>
      </c>
      <c r="AC977" s="50" t="s">
        <v>7421</v>
      </c>
      <c r="AD977" s="51">
        <v>0.6527777777777778</v>
      </c>
      <c r="AE977" s="18">
        <v>45993.0</v>
      </c>
      <c r="AF977" s="22" t="s">
        <v>2918</v>
      </c>
      <c r="AG977" s="22" t="s">
        <v>293</v>
      </c>
      <c r="AH977" s="22" t="s">
        <v>2932</v>
      </c>
      <c r="AI977" s="62" t="str">
        <f>IFERROR(__xludf.DUMMYFUNCTION("IF(OR(W977="""",X977="""",AE977="""",AD977=""""),"""",
   TEXT(
     (
       (AE977+AD977 + IF(AE977+AD977 &lt; W977+X977,1,0)) - (W977+X977)
     )
     - IF(AND(AB977&lt;&gt;"""",AC977&lt;&gt;""""), 
          SUM(ARRAYFORMULA(SPLIT(AC977,"","") - SPLIT(AB977,"",""))"&amp;"), 
          0
       ),
     ""[hh]:mm""
   )
)
"),"02:37")</f>
        <v>02:37</v>
      </c>
      <c r="AJ977" s="27">
        <f t="shared" si="16"/>
        <v>0</v>
      </c>
      <c r="AK977" s="63" t="str">
        <f t="shared" si="17"/>
        <v>Pass</v>
      </c>
    </row>
    <row r="978">
      <c r="A978" s="45">
        <v>45993.0</v>
      </c>
      <c r="B978" s="49">
        <v>0.37569444444444444</v>
      </c>
      <c r="C978" s="45">
        <v>45993.0</v>
      </c>
      <c r="D978" s="49">
        <v>0.3770833333333333</v>
      </c>
      <c r="E978" s="21" t="s">
        <v>7422</v>
      </c>
      <c r="F978" s="95" t="s">
        <v>6316</v>
      </c>
      <c r="G978" s="21" t="s">
        <v>6317</v>
      </c>
      <c r="H978" s="21" t="s">
        <v>7423</v>
      </c>
      <c r="I978" s="21" t="s">
        <v>616</v>
      </c>
      <c r="J978" s="21" t="s">
        <v>2253</v>
      </c>
      <c r="K978" s="21" t="s">
        <v>43</v>
      </c>
      <c r="L978" s="21" t="s">
        <v>617</v>
      </c>
      <c r="M978" s="21" t="s">
        <v>7424</v>
      </c>
      <c r="N978" s="21" t="s">
        <v>7425</v>
      </c>
      <c r="O978" s="48" t="s">
        <v>7426</v>
      </c>
      <c r="P978" s="21" t="s">
        <v>75</v>
      </c>
      <c r="Q978" s="24" t="s">
        <v>65</v>
      </c>
      <c r="R978" s="21" t="s">
        <v>7427</v>
      </c>
      <c r="S978" s="21" t="s">
        <v>51</v>
      </c>
      <c r="T978" s="21" t="s">
        <v>52</v>
      </c>
      <c r="U978" s="21" t="s">
        <v>52</v>
      </c>
      <c r="V978" s="21" t="s">
        <v>52</v>
      </c>
      <c r="W978" s="45">
        <v>45993.0</v>
      </c>
      <c r="X978" s="49">
        <v>0.3770833333333333</v>
      </c>
      <c r="Y978" s="45">
        <v>45993.0</v>
      </c>
      <c r="Z978" s="49">
        <v>0.46805555555555556</v>
      </c>
      <c r="AA978" s="49">
        <v>0.4791666666666667</v>
      </c>
      <c r="AB978" s="29"/>
      <c r="AC978" s="29"/>
      <c r="AD978" s="25">
        <v>0.5</v>
      </c>
      <c r="AE978" s="45">
        <v>45993.0</v>
      </c>
      <c r="AF978" s="21" t="s">
        <v>2989</v>
      </c>
      <c r="AG978" s="21" t="s">
        <v>2086</v>
      </c>
      <c r="AH978" s="21" t="s">
        <v>7428</v>
      </c>
      <c r="AI978" s="62" t="str">
        <f>IFERROR(__xludf.DUMMYFUNCTION("IF(OR(W978="""",X978="""",AE978="""",AD978=""""),"""",
   TEXT(
     (
       (AE978+AD978 + IF(AE978+AD978 &lt; W978+X978,1,0)) - (W978+X978)
     )
     - IF(AND(AB978&lt;&gt;"""",AC978&lt;&gt;""""), 
          SUM(ARRAYFORMULA(SPLIT(AC978,"","") - SPLIT(AB978,"",""))"&amp;"), 
          0
       ),
     ""[hh]:mm""
   )
)
"),"02:57")</f>
        <v>02:57</v>
      </c>
      <c r="AJ978" s="27">
        <f t="shared" si="16"/>
        <v>0</v>
      </c>
      <c r="AK978" s="63" t="str">
        <f t="shared" si="17"/>
        <v>Pass</v>
      </c>
    </row>
    <row r="979">
      <c r="A979" s="45">
        <v>45993.0</v>
      </c>
      <c r="B979" s="49">
        <v>0.38958333333333334</v>
      </c>
      <c r="C979" s="45">
        <v>45993.0</v>
      </c>
      <c r="D979" s="49">
        <v>0.3923611111111111</v>
      </c>
      <c r="E979" s="21" t="s">
        <v>7429</v>
      </c>
      <c r="F979" s="21" t="s">
        <v>694</v>
      </c>
      <c r="G979" s="21" t="s">
        <v>7430</v>
      </c>
      <c r="H979" s="21" t="s">
        <v>156</v>
      </c>
      <c r="I979" s="21" t="s">
        <v>131</v>
      </c>
      <c r="J979" s="21" t="s">
        <v>2253</v>
      </c>
      <c r="K979" s="21" t="s">
        <v>43</v>
      </c>
      <c r="L979" s="21" t="s">
        <v>617</v>
      </c>
      <c r="M979" s="21" t="s">
        <v>7431</v>
      </c>
      <c r="N979" s="21" t="s">
        <v>7432</v>
      </c>
      <c r="O979" s="48" t="s">
        <v>7433</v>
      </c>
      <c r="P979" s="21" t="s">
        <v>75</v>
      </c>
      <c r="Q979" s="24" t="s">
        <v>65</v>
      </c>
      <c r="R979" s="21" t="s">
        <v>7434</v>
      </c>
      <c r="S979" s="21" t="s">
        <v>51</v>
      </c>
      <c r="T979" s="21" t="s">
        <v>52</v>
      </c>
      <c r="U979" s="21" t="s">
        <v>52</v>
      </c>
      <c r="V979" s="21" t="s">
        <v>52</v>
      </c>
      <c r="W979" s="45">
        <v>45993.0</v>
      </c>
      <c r="X979" s="49">
        <v>0.3923611111111111</v>
      </c>
      <c r="Y979" s="45">
        <v>45993.0</v>
      </c>
      <c r="Z979" s="49">
        <v>0.45625</v>
      </c>
      <c r="AA979" s="49">
        <v>0.45694444444444443</v>
      </c>
      <c r="AB979" s="25">
        <v>0.4583333333333333</v>
      </c>
      <c r="AC979" s="25">
        <v>0.4861111111111111</v>
      </c>
      <c r="AD979" s="25">
        <v>0.4861111111111111</v>
      </c>
      <c r="AE979" s="45">
        <v>45993.0</v>
      </c>
      <c r="AF979" s="21" t="s">
        <v>2828</v>
      </c>
      <c r="AG979" s="21" t="s">
        <v>775</v>
      </c>
      <c r="AH979" s="21" t="s">
        <v>7435</v>
      </c>
      <c r="AI979" s="62" t="str">
        <f>IFERROR(__xludf.DUMMYFUNCTION("IF(OR(W979="""",X979="""",AE979="""",AD979=""""),"""",
   TEXT(
     (
       (AE979+AD979 + IF(AE979+AD979 &lt; W979+X979,1,0)) - (W979+X979)
     )
     - IF(AND(AB979&lt;&gt;"""",AC979&lt;&gt;""""), 
          SUM(ARRAYFORMULA(SPLIT(AC979,"","") - SPLIT(AB979,"",""))"&amp;"), 
          0
       ),
     ""[hh]:mm""
   )
)
"),"01:35")</f>
        <v>01:35</v>
      </c>
      <c r="AJ979" s="27">
        <f t="shared" si="16"/>
        <v>0</v>
      </c>
      <c r="AK979" s="63" t="str">
        <f t="shared" si="17"/>
        <v>Pass</v>
      </c>
    </row>
    <row r="980">
      <c r="A980" s="45">
        <v>45993.0</v>
      </c>
      <c r="B980" s="49">
        <v>0.4048611111111111</v>
      </c>
      <c r="C980" s="45">
        <v>45993.0</v>
      </c>
      <c r="D980" s="49">
        <v>0.4222222222222222</v>
      </c>
      <c r="E980" s="21" t="s">
        <v>7436</v>
      </c>
      <c r="F980" s="21" t="s">
        <v>7437</v>
      </c>
      <c r="G980" s="21" t="s">
        <v>7438</v>
      </c>
      <c r="H980" s="21" t="s">
        <v>2858</v>
      </c>
      <c r="I980" s="21" t="s">
        <v>1326</v>
      </c>
      <c r="J980" s="21" t="s">
        <v>768</v>
      </c>
      <c r="K980" s="21" t="s">
        <v>769</v>
      </c>
      <c r="L980" s="21" t="s">
        <v>770</v>
      </c>
      <c r="M980" s="21" t="s">
        <v>7439</v>
      </c>
      <c r="N980" s="21" t="s">
        <v>7440</v>
      </c>
      <c r="O980" s="48" t="s">
        <v>7441</v>
      </c>
      <c r="P980" s="21" t="s">
        <v>75</v>
      </c>
      <c r="Q980" s="24" t="s">
        <v>65</v>
      </c>
      <c r="R980" s="21" t="s">
        <v>4869</v>
      </c>
      <c r="S980" s="21" t="s">
        <v>51</v>
      </c>
      <c r="T980" s="21" t="s">
        <v>52</v>
      </c>
      <c r="U980" s="21" t="s">
        <v>52</v>
      </c>
      <c r="V980" s="21" t="s">
        <v>52</v>
      </c>
      <c r="W980" s="45">
        <v>45993.0</v>
      </c>
      <c r="X980" s="49">
        <v>0.4222222222222222</v>
      </c>
      <c r="Y980" s="45">
        <v>45993.0</v>
      </c>
      <c r="Z980" s="49">
        <v>0.5027777777777778</v>
      </c>
      <c r="AA980" s="49">
        <v>0.5034722222222222</v>
      </c>
      <c r="AB980" s="29"/>
      <c r="AC980" s="29"/>
      <c r="AD980" s="25">
        <v>0.5555555555555556</v>
      </c>
      <c r="AE980" s="45">
        <v>45993.0</v>
      </c>
      <c r="AF980" s="21" t="s">
        <v>3358</v>
      </c>
      <c r="AG980" s="21" t="s">
        <v>775</v>
      </c>
      <c r="AH980" s="21" t="s">
        <v>7442</v>
      </c>
      <c r="AI980" s="62" t="str">
        <f>IFERROR(__xludf.DUMMYFUNCTION("IF(OR(W980="""",X980="""",AE980="""",AD980=""""),"""",
   TEXT(
     (
       (AE980+AD980 + IF(AE980+AD980 &lt; W980+X980,1,0)) - (W980+X980)
     )
     - IF(AND(AB980&lt;&gt;"""",AC980&lt;&gt;""""), 
          SUM(ARRAYFORMULA(SPLIT(AC980,"","") - SPLIT(AB980,"",""))"&amp;"), 
          0
       ),
     ""[hh]:mm""
   )
)
"),"03:12")</f>
        <v>03:12</v>
      </c>
      <c r="AJ980" s="27">
        <f t="shared" si="16"/>
        <v>0</v>
      </c>
      <c r="AK980" s="63" t="str">
        <f t="shared" si="17"/>
        <v>Pass</v>
      </c>
    </row>
    <row r="981">
      <c r="A981" s="18">
        <v>45993.0</v>
      </c>
      <c r="B981" s="20">
        <v>0.41458333333333336</v>
      </c>
      <c r="C981" s="18">
        <v>45993.0</v>
      </c>
      <c r="D981" s="20">
        <v>0.45625</v>
      </c>
      <c r="E981" s="22" t="s">
        <v>7443</v>
      </c>
      <c r="F981" s="22" t="s">
        <v>3057</v>
      </c>
      <c r="G981" s="22" t="s">
        <v>7444</v>
      </c>
      <c r="H981" s="22" t="s">
        <v>253</v>
      </c>
      <c r="I981" s="22" t="s">
        <v>60</v>
      </c>
      <c r="J981" s="22" t="s">
        <v>3813</v>
      </c>
      <c r="K981" s="22" t="s">
        <v>61</v>
      </c>
      <c r="L981" s="22" t="s">
        <v>183</v>
      </c>
      <c r="M981" s="22" t="s">
        <v>7356</v>
      </c>
      <c r="N981" s="22" t="s">
        <v>7445</v>
      </c>
      <c r="O981" s="23" t="s">
        <v>7446</v>
      </c>
      <c r="P981" s="22" t="s">
        <v>187</v>
      </c>
      <c r="Q981" s="50" t="s">
        <v>198</v>
      </c>
      <c r="R981" s="22" t="s">
        <v>7447</v>
      </c>
      <c r="S981" s="22" t="s">
        <v>51</v>
      </c>
      <c r="T981" s="22" t="s">
        <v>52</v>
      </c>
      <c r="U981" s="22" t="s">
        <v>52</v>
      </c>
      <c r="V981" s="22" t="s">
        <v>52</v>
      </c>
      <c r="W981" s="18">
        <v>45993.0</v>
      </c>
      <c r="X981" s="20">
        <v>0.45625</v>
      </c>
      <c r="Y981" s="18">
        <v>45993.0</v>
      </c>
      <c r="Z981" s="20">
        <v>0.5833333333333334</v>
      </c>
      <c r="AA981" s="20">
        <v>0.5854166666666667</v>
      </c>
      <c r="AB981" s="51">
        <v>0.6041666666666666</v>
      </c>
      <c r="AC981" s="51">
        <v>0.6458333333333334</v>
      </c>
      <c r="AD981" s="51">
        <v>0.6458333333333334</v>
      </c>
      <c r="AE981" s="18">
        <v>45993.0</v>
      </c>
      <c r="AF981" s="22" t="s">
        <v>7448</v>
      </c>
      <c r="AG981" s="22" t="s">
        <v>6108</v>
      </c>
      <c r="AH981" s="22" t="s">
        <v>7449</v>
      </c>
      <c r="AI981" s="62" t="str">
        <f>IFERROR(__xludf.DUMMYFUNCTION("IF(OR(W981="""",X981="""",AE981="""",AD981=""""),"""",
   TEXT(
     (
       (AE981+AD981 + IF(AE981+AD981 &lt; W981+X981,1,0)) - (W981+X981)
     )
     - IF(AND(AB981&lt;&gt;"""",AC981&lt;&gt;""""), 
          SUM(ARRAYFORMULA(SPLIT(AC981,"","") - SPLIT(AB981,"",""))"&amp;"), 
          0
       ),
     ""[hh]:mm""
   )
)
"),"03:33")</f>
        <v>03:33</v>
      </c>
      <c r="AJ981" s="27">
        <f t="shared" si="16"/>
        <v>0</v>
      </c>
      <c r="AK981" s="63" t="str">
        <f t="shared" si="17"/>
        <v>Pass</v>
      </c>
    </row>
    <row r="982">
      <c r="A982" s="18">
        <v>45993.0</v>
      </c>
      <c r="B982" s="20">
        <v>0.5291666666666667</v>
      </c>
      <c r="C982" s="18">
        <v>45993.0</v>
      </c>
      <c r="D982" s="20">
        <v>0.5340277777777778</v>
      </c>
      <c r="E982" s="22" t="s">
        <v>7450</v>
      </c>
      <c r="F982" s="22" t="s">
        <v>4394</v>
      </c>
      <c r="G982" s="22" t="s">
        <v>4395</v>
      </c>
      <c r="H982" s="22" t="s">
        <v>1610</v>
      </c>
      <c r="I982" s="22" t="s">
        <v>1612</v>
      </c>
      <c r="J982" s="22" t="s">
        <v>1612</v>
      </c>
      <c r="K982" s="22" t="s">
        <v>143</v>
      </c>
      <c r="L982" s="22" t="s">
        <v>1613</v>
      </c>
      <c r="M982" s="22" t="s">
        <v>7451</v>
      </c>
      <c r="N982" s="22" t="s">
        <v>7452</v>
      </c>
      <c r="O982" s="23" t="s">
        <v>7453</v>
      </c>
      <c r="P982" s="22" t="s">
        <v>187</v>
      </c>
      <c r="Q982" s="50" t="s">
        <v>65</v>
      </c>
      <c r="R982" s="22" t="s">
        <v>5822</v>
      </c>
      <c r="S982" s="22" t="s">
        <v>51</v>
      </c>
      <c r="T982" s="22" t="s">
        <v>52</v>
      </c>
      <c r="U982" s="22" t="s">
        <v>52</v>
      </c>
      <c r="V982" s="22" t="s">
        <v>52</v>
      </c>
      <c r="W982" s="18">
        <v>45993.0</v>
      </c>
      <c r="X982" s="20">
        <v>0.5340277777777778</v>
      </c>
      <c r="Y982" s="18">
        <v>45993.0</v>
      </c>
      <c r="Z982" s="20">
        <v>0.6201388888888889</v>
      </c>
      <c r="AA982" s="20">
        <v>0.6215277777777778</v>
      </c>
      <c r="AB982" s="54"/>
      <c r="AC982" s="54"/>
      <c r="AD982" s="51">
        <v>0.7777777777777778</v>
      </c>
      <c r="AE982" s="18">
        <v>45993.0</v>
      </c>
      <c r="AF982" s="22" t="s">
        <v>53</v>
      </c>
      <c r="AG982" s="22" t="s">
        <v>7454</v>
      </c>
      <c r="AH982" s="22" t="s">
        <v>7455</v>
      </c>
      <c r="AI982" s="62" t="str">
        <f>IFERROR(__xludf.DUMMYFUNCTION("IF(OR(W982="""",X982="""",AE982="""",AD982=""""),"""",
   TEXT(
     (
       (AE982+AD982 + IF(AE982+AD982 &lt; W982+X982,1,0)) - (W982+X982)
     )
     - IF(AND(AB982&lt;&gt;"""",AC982&lt;&gt;""""), 
          SUM(ARRAYFORMULA(SPLIT(AC982,"","") - SPLIT(AB982,"",""))"&amp;"), 
          0
       ),
     ""[hh]:mm""
   )
)
"),"05:51")</f>
        <v>05:51</v>
      </c>
      <c r="AJ982" s="27">
        <f t="shared" si="16"/>
        <v>0</v>
      </c>
      <c r="AK982" s="63" t="str">
        <f t="shared" si="17"/>
        <v>Pass</v>
      </c>
    </row>
    <row r="983">
      <c r="A983" s="18">
        <v>45993.0</v>
      </c>
      <c r="B983" s="20">
        <v>0.6708333333333333</v>
      </c>
      <c r="C983" s="18">
        <v>45993.0</v>
      </c>
      <c r="D983" s="20">
        <v>0.675</v>
      </c>
      <c r="E983" s="22" t="s">
        <v>7456</v>
      </c>
      <c r="F983" s="22" t="s">
        <v>7457</v>
      </c>
      <c r="G983" s="22" t="s">
        <v>7458</v>
      </c>
      <c r="H983" s="22" t="s">
        <v>746</v>
      </c>
      <c r="I983" s="22" t="s">
        <v>1632</v>
      </c>
      <c r="J983" s="22" t="s">
        <v>2655</v>
      </c>
      <c r="K983" s="22" t="s">
        <v>43</v>
      </c>
      <c r="L983" s="22" t="s">
        <v>52</v>
      </c>
      <c r="M983" s="22">
        <v>2.0220328027E11</v>
      </c>
      <c r="N983" s="22" t="s">
        <v>7459</v>
      </c>
      <c r="O983" s="23" t="s">
        <v>7460</v>
      </c>
      <c r="P983" s="22" t="s">
        <v>75</v>
      </c>
      <c r="Q983" s="50" t="s">
        <v>65</v>
      </c>
      <c r="R983" s="22" t="s">
        <v>3435</v>
      </c>
      <c r="S983" s="22" t="s">
        <v>51</v>
      </c>
      <c r="T983" s="22" t="s">
        <v>4119</v>
      </c>
      <c r="U983" s="22" t="s">
        <v>52</v>
      </c>
      <c r="V983" s="22" t="s">
        <v>52</v>
      </c>
      <c r="W983" s="18">
        <v>45993.0</v>
      </c>
      <c r="X983" s="20">
        <v>0.675</v>
      </c>
      <c r="Y983" s="18">
        <v>45993.0</v>
      </c>
      <c r="Z983" s="20">
        <v>0.7381944444444445</v>
      </c>
      <c r="AA983" s="20">
        <v>0.7395833333333334</v>
      </c>
      <c r="AB983" s="51">
        <v>0.7479166666666667</v>
      </c>
      <c r="AC983" s="51">
        <v>0.8430555555555556</v>
      </c>
      <c r="AD983" s="51">
        <v>0.8763888888888889</v>
      </c>
      <c r="AE983" s="18">
        <v>45993.0</v>
      </c>
      <c r="AF983" s="22" t="s">
        <v>2931</v>
      </c>
      <c r="AG983" s="22" t="s">
        <v>7461</v>
      </c>
      <c r="AH983" s="22" t="s">
        <v>7462</v>
      </c>
      <c r="AI983" s="62" t="str">
        <f>IFERROR(__xludf.DUMMYFUNCTION("IF(OR(W983="""",X983="""",AE983="""",AD983=""""),"""",
   TEXT(
     (
       (AE983+AD983 + IF(AE983+AD983 &lt; W983+X983,1,0)) - (W983+X983)
     )
     - IF(AND(AB983&lt;&gt;"""",AC983&lt;&gt;""""), 
          SUM(ARRAYFORMULA(SPLIT(AC983,"","") - SPLIT(AB983,"",""))"&amp;"), 
          0
       ),
     ""[hh]:mm""
   )
)
"),"02:33")</f>
        <v>02:33</v>
      </c>
      <c r="AJ983" s="27">
        <f t="shared" si="16"/>
        <v>0</v>
      </c>
      <c r="AK983" s="63" t="str">
        <f t="shared" si="17"/>
        <v>Pass</v>
      </c>
    </row>
    <row r="984">
      <c r="A984" s="45">
        <v>45993.0</v>
      </c>
      <c r="B984" s="49">
        <v>0.7125</v>
      </c>
      <c r="C984" s="45">
        <v>45993.0</v>
      </c>
      <c r="D984" s="49">
        <v>0.7138888888888889</v>
      </c>
      <c r="E984" s="21" t="s">
        <v>7463</v>
      </c>
      <c r="F984" s="95" t="s">
        <v>7326</v>
      </c>
      <c r="G984" s="21" t="s">
        <v>7327</v>
      </c>
      <c r="H984" s="21" t="s">
        <v>253</v>
      </c>
      <c r="I984" s="21" t="s">
        <v>60</v>
      </c>
      <c r="J984" s="21" t="s">
        <v>3813</v>
      </c>
      <c r="K984" s="21" t="s">
        <v>52</v>
      </c>
      <c r="L984" s="21" t="s">
        <v>52</v>
      </c>
      <c r="M984" s="21" t="s">
        <v>52</v>
      </c>
      <c r="N984" s="21" t="s">
        <v>7464</v>
      </c>
      <c r="O984" s="48" t="s">
        <v>7465</v>
      </c>
      <c r="P984" s="21" t="s">
        <v>75</v>
      </c>
      <c r="Q984" s="24" t="s">
        <v>198</v>
      </c>
      <c r="R984" s="21" t="s">
        <v>7466</v>
      </c>
      <c r="S984" s="21" t="s">
        <v>51</v>
      </c>
      <c r="T984" s="21" t="s">
        <v>52</v>
      </c>
      <c r="U984" s="21" t="s">
        <v>52</v>
      </c>
      <c r="V984" s="21" t="s">
        <v>52</v>
      </c>
      <c r="W984" s="45">
        <v>45994.0</v>
      </c>
      <c r="X984" s="49">
        <v>0.3333333333333333</v>
      </c>
      <c r="Y984" s="45">
        <v>45994.0</v>
      </c>
      <c r="Z984" s="49">
        <v>0.3541666666666667</v>
      </c>
      <c r="AA984" s="49">
        <v>0.3645833333333333</v>
      </c>
      <c r="AB984" s="29"/>
      <c r="AC984" s="29"/>
      <c r="AD984" s="25">
        <v>0.4375</v>
      </c>
      <c r="AE984" s="45">
        <v>45994.0</v>
      </c>
      <c r="AF984" s="21" t="s">
        <v>2839</v>
      </c>
      <c r="AG984" s="21" t="s">
        <v>78</v>
      </c>
      <c r="AH984" s="21" t="s">
        <v>7467</v>
      </c>
      <c r="AI984" s="62" t="str">
        <f>IFERROR(__xludf.DUMMYFUNCTION("IF(OR(W984="""",X984="""",AE984="""",AD984=""""),"""",
   TEXT(
     (
       (AE984+AD984 + IF(AE984+AD984 &lt; W984+X984,1,0)) - (W984+X984)
     )
     - IF(AND(AB984&lt;&gt;"""",AC984&lt;&gt;""""), 
          SUM(ARRAYFORMULA(SPLIT(AC984,"","") - SPLIT(AB984,"",""))"&amp;"), 
          0
       ),
     ""[hh]:mm""
   )
)
"),"02:30")</f>
        <v>02:30</v>
      </c>
      <c r="AJ984" s="27">
        <f t="shared" si="16"/>
        <v>0</v>
      </c>
      <c r="AK984" s="63" t="str">
        <f t="shared" si="17"/>
        <v>Pass</v>
      </c>
    </row>
    <row r="985">
      <c r="A985" s="45">
        <v>45993.0</v>
      </c>
      <c r="B985" s="49">
        <v>0.8611111111111112</v>
      </c>
      <c r="C985" s="45">
        <v>45993.0</v>
      </c>
      <c r="D985" s="49">
        <v>0.8666666666666667</v>
      </c>
      <c r="E985" s="21" t="s">
        <v>7468</v>
      </c>
      <c r="F985" s="21" t="s">
        <v>6821</v>
      </c>
      <c r="G985" s="21" t="s">
        <v>6822</v>
      </c>
      <c r="H985" s="21" t="s">
        <v>1881</v>
      </c>
      <c r="I985" s="21" t="s">
        <v>7469</v>
      </c>
      <c r="J985" s="21" t="s">
        <v>644</v>
      </c>
      <c r="K985" s="21" t="s">
        <v>143</v>
      </c>
      <c r="L985" s="21" t="s">
        <v>606</v>
      </c>
      <c r="M985" s="21" t="s">
        <v>7470</v>
      </c>
      <c r="N985" s="21" t="s">
        <v>1882</v>
      </c>
      <c r="O985" s="48" t="s">
        <v>7471</v>
      </c>
      <c r="P985" s="21" t="s">
        <v>187</v>
      </c>
      <c r="Q985" s="24" t="s">
        <v>198</v>
      </c>
      <c r="R985" s="21" t="s">
        <v>7472</v>
      </c>
      <c r="S985" s="21" t="s">
        <v>51</v>
      </c>
      <c r="T985" s="21" t="s">
        <v>52</v>
      </c>
      <c r="U985" s="21" t="s">
        <v>52</v>
      </c>
      <c r="V985" s="21" t="s">
        <v>52</v>
      </c>
      <c r="W985" s="45">
        <v>45994.0</v>
      </c>
      <c r="X985" s="49">
        <v>0.375</v>
      </c>
      <c r="Y985" s="45">
        <v>45994.0</v>
      </c>
      <c r="Z985" s="49">
        <v>0.4395833333333333</v>
      </c>
      <c r="AA985" s="49">
        <v>0.4409722222222222</v>
      </c>
      <c r="AB985" s="29"/>
      <c r="AC985" s="29"/>
      <c r="AD985" s="25">
        <v>0.4930555555555556</v>
      </c>
      <c r="AE985" s="45">
        <v>45994.0</v>
      </c>
      <c r="AF985" s="21" t="s">
        <v>2839</v>
      </c>
      <c r="AG985" s="21" t="s">
        <v>775</v>
      </c>
      <c r="AH985" s="21" t="s">
        <v>6827</v>
      </c>
      <c r="AI985" s="62" t="str">
        <f>IFERROR(__xludf.DUMMYFUNCTION("IF(OR(W985="""",X985="""",AE985="""",AD985=""""),"""",
   TEXT(
     (
       (AE985+AD985 + IF(AE985+AD985 &lt; W985+X985,1,0)) - (W985+X985)
     )
     - IF(AND(AB985&lt;&gt;"""",AC985&lt;&gt;""""), 
          SUM(ARRAYFORMULA(SPLIT(AC985,"","") - SPLIT(AB985,"",""))"&amp;"), 
          0
       ),
     ""[hh]:mm""
   )
)
"),"02:50")</f>
        <v>02:50</v>
      </c>
      <c r="AJ985" s="27">
        <f t="shared" si="16"/>
        <v>0</v>
      </c>
      <c r="AK985" s="63" t="str">
        <f t="shared" si="17"/>
        <v>Pass</v>
      </c>
    </row>
    <row r="986">
      <c r="A986" s="45">
        <v>45993.0</v>
      </c>
      <c r="B986" s="49">
        <v>0.8611111111111112</v>
      </c>
      <c r="C986" s="45">
        <v>45993.0</v>
      </c>
      <c r="D986" s="49">
        <v>0.8666666666666667</v>
      </c>
      <c r="E986" s="21" t="s">
        <v>7473</v>
      </c>
      <c r="F986" s="21" t="s">
        <v>6821</v>
      </c>
      <c r="G986" s="21" t="s">
        <v>6822</v>
      </c>
      <c r="H986" s="21" t="s">
        <v>566</v>
      </c>
      <c r="I986" s="21" t="s">
        <v>95</v>
      </c>
      <c r="J986" s="21" t="s">
        <v>95</v>
      </c>
      <c r="K986" s="21" t="s">
        <v>143</v>
      </c>
      <c r="L986" s="21" t="s">
        <v>606</v>
      </c>
      <c r="M986" s="21" t="s">
        <v>7474</v>
      </c>
      <c r="N986" s="21" t="s">
        <v>7475</v>
      </c>
      <c r="O986" s="48" t="s">
        <v>7476</v>
      </c>
      <c r="P986" s="21" t="s">
        <v>48</v>
      </c>
      <c r="Q986" s="24" t="s">
        <v>65</v>
      </c>
      <c r="R986" s="21" t="s">
        <v>7477</v>
      </c>
      <c r="S986" s="21" t="s">
        <v>51</v>
      </c>
      <c r="T986" s="21" t="s">
        <v>52</v>
      </c>
      <c r="U986" s="21" t="s">
        <v>52</v>
      </c>
      <c r="V986" s="21" t="s">
        <v>52</v>
      </c>
      <c r="W986" s="45">
        <v>45994.0</v>
      </c>
      <c r="X986" s="49">
        <v>0.375</v>
      </c>
      <c r="Y986" s="45">
        <v>45994.0</v>
      </c>
      <c r="Z986" s="49">
        <v>0.4395833333333333</v>
      </c>
      <c r="AA986" s="49">
        <v>0.4409722222222222</v>
      </c>
      <c r="AB986" s="29"/>
      <c r="AC986" s="29"/>
      <c r="AD986" s="25">
        <v>0.4930555555555556</v>
      </c>
      <c r="AE986" s="45">
        <v>45994.0</v>
      </c>
      <c r="AF986" s="21" t="s">
        <v>2839</v>
      </c>
      <c r="AG986" s="21" t="s">
        <v>775</v>
      </c>
      <c r="AH986" s="21" t="s">
        <v>6827</v>
      </c>
      <c r="AI986" s="62" t="str">
        <f>IFERROR(__xludf.DUMMYFUNCTION("IF(OR(W986="""",X986="""",AE986="""",AD986=""""),"""",
   TEXT(
     (
       (AE986+AD986 + IF(AE986+AD986 &lt; W986+X986,1,0)) - (W986+X986)
     )
     - IF(AND(AB986&lt;&gt;"""",AC986&lt;&gt;""""), 
          SUM(ARRAYFORMULA(SPLIT(AC986,"","") - SPLIT(AB986,"",""))"&amp;"), 
          0
       ),
     ""[hh]:mm""
   )
)
"),"02:50")</f>
        <v>02:50</v>
      </c>
      <c r="AJ986" s="27">
        <f t="shared" si="16"/>
        <v>0</v>
      </c>
      <c r="AK986" s="63" t="str">
        <f t="shared" si="17"/>
        <v>Pass</v>
      </c>
    </row>
    <row r="987">
      <c r="A987" s="45">
        <v>45993.0</v>
      </c>
      <c r="B987" s="49">
        <v>0.86875</v>
      </c>
      <c r="C987" s="45">
        <v>45993.0</v>
      </c>
      <c r="D987" s="49">
        <v>0.8715277777777778</v>
      </c>
      <c r="E987" s="21" t="s">
        <v>7478</v>
      </c>
      <c r="F987" s="21" t="s">
        <v>6537</v>
      </c>
      <c r="G987" s="21" t="s">
        <v>6538</v>
      </c>
      <c r="H987" s="21" t="s">
        <v>566</v>
      </c>
      <c r="I987" s="21" t="s">
        <v>95</v>
      </c>
      <c r="J987" s="21" t="s">
        <v>95</v>
      </c>
      <c r="K987" s="21" t="s">
        <v>143</v>
      </c>
      <c r="L987" s="21" t="s">
        <v>606</v>
      </c>
      <c r="M987" s="21" t="s">
        <v>7479</v>
      </c>
      <c r="N987" s="21" t="s">
        <v>7480</v>
      </c>
      <c r="O987" s="48" t="s">
        <v>7481</v>
      </c>
      <c r="P987" s="21" t="s">
        <v>48</v>
      </c>
      <c r="Q987" s="24" t="s">
        <v>65</v>
      </c>
      <c r="R987" s="21" t="s">
        <v>7482</v>
      </c>
      <c r="S987" s="21" t="s">
        <v>51</v>
      </c>
      <c r="T987" s="21" t="s">
        <v>52</v>
      </c>
      <c r="U987" s="21" t="s">
        <v>52</v>
      </c>
      <c r="V987" s="21" t="s">
        <v>52</v>
      </c>
      <c r="W987" s="45">
        <v>45994.0</v>
      </c>
      <c r="X987" s="49">
        <v>0.375</v>
      </c>
      <c r="Y987" s="45">
        <v>45994.0</v>
      </c>
      <c r="Z987" s="49">
        <v>0.4583333333333333</v>
      </c>
      <c r="AA987" s="49">
        <v>0.4618055555555556</v>
      </c>
      <c r="AB987" s="24" t="s">
        <v>7483</v>
      </c>
      <c r="AC987" s="24" t="s">
        <v>7484</v>
      </c>
      <c r="AD987" s="25">
        <v>0.7951388888888888</v>
      </c>
      <c r="AE987" s="45">
        <v>45994.0</v>
      </c>
      <c r="AF987" s="21" t="s">
        <v>2839</v>
      </c>
      <c r="AG987" s="21" t="s">
        <v>293</v>
      </c>
      <c r="AH987" s="21" t="s">
        <v>7485</v>
      </c>
      <c r="AI987" s="62" t="str">
        <f>IFERROR(__xludf.DUMMYFUNCTION("IF(OR(W987="""",X987="""",AE987="""",AD987=""""),"""",
   TEXT(
     (
       (AE987+AD987 + IF(AE987+AD987 &lt; W987+X987,1,0)) - (W987+X987)
     )
     - IF(AND(AB987&lt;&gt;"""",AC987&lt;&gt;""""), 
          SUM(ARRAYFORMULA(SPLIT(AC987,"","") - SPLIT(AB987,"",""))"&amp;"), 
          0
       ),
     ""[hh]:mm""
   )
)
"),"02:45")</f>
        <v>02:45</v>
      </c>
      <c r="AJ987" s="27">
        <f t="shared" si="16"/>
        <v>0</v>
      </c>
      <c r="AK987" s="63" t="str">
        <f t="shared" si="17"/>
        <v>Pass</v>
      </c>
    </row>
    <row r="988">
      <c r="A988" s="45">
        <v>45993.0</v>
      </c>
      <c r="B988" s="49">
        <v>0.8798611111111111</v>
      </c>
      <c r="C988" s="45">
        <v>45993.0</v>
      </c>
      <c r="D988" s="49">
        <v>0.9083333333333333</v>
      </c>
      <c r="E988" s="21" t="s">
        <v>7486</v>
      </c>
      <c r="F988" s="21" t="s">
        <v>3232</v>
      </c>
      <c r="G988" s="21" t="s">
        <v>3233</v>
      </c>
      <c r="H988" s="21" t="s">
        <v>566</v>
      </c>
      <c r="I988" s="21" t="s">
        <v>644</v>
      </c>
      <c r="J988" s="21" t="s">
        <v>644</v>
      </c>
      <c r="K988" s="21" t="s">
        <v>333</v>
      </c>
      <c r="L988" s="21" t="s">
        <v>1441</v>
      </c>
      <c r="M988" s="21" t="s">
        <v>7487</v>
      </c>
      <c r="N988" s="21" t="s">
        <v>7488</v>
      </c>
      <c r="O988" s="48" t="s">
        <v>7489</v>
      </c>
      <c r="P988" s="21" t="s">
        <v>48</v>
      </c>
      <c r="Q988" s="24" t="s">
        <v>65</v>
      </c>
      <c r="R988" s="21" t="s">
        <v>7490</v>
      </c>
      <c r="S988" s="21" t="s">
        <v>51</v>
      </c>
      <c r="T988" s="21" t="s">
        <v>52</v>
      </c>
      <c r="U988" s="21" t="s">
        <v>52</v>
      </c>
      <c r="V988" s="21" t="s">
        <v>52</v>
      </c>
      <c r="W988" s="45">
        <v>45994.0</v>
      </c>
      <c r="X988" s="49">
        <v>0.375</v>
      </c>
      <c r="Y988" s="45">
        <v>45994.0</v>
      </c>
      <c r="Z988" s="49">
        <v>0.42986111111111114</v>
      </c>
      <c r="AA988" s="49">
        <v>0.42986111111111114</v>
      </c>
      <c r="AB988" s="29"/>
      <c r="AC988" s="29"/>
      <c r="AD988" s="25">
        <v>0.44166666666666665</v>
      </c>
      <c r="AE988" s="45">
        <v>45994.0</v>
      </c>
      <c r="AF988" s="21" t="s">
        <v>2839</v>
      </c>
      <c r="AG988" s="21" t="s">
        <v>162</v>
      </c>
      <c r="AH988" s="21" t="s">
        <v>7491</v>
      </c>
      <c r="AI988" s="62" t="str">
        <f>IFERROR(__xludf.DUMMYFUNCTION("IF(OR(W988="""",X988="""",AE988="""",AD988=""""),"""",
   TEXT(
     (
       (AE988+AD988 + IF(AE988+AD988 &lt; W988+X988,1,0)) - (W988+X988)
     )
     - IF(AND(AB988&lt;&gt;"""",AC988&lt;&gt;""""), 
          SUM(ARRAYFORMULA(SPLIT(AC988,"","") - SPLIT(AB988,"",""))"&amp;"), 
          0
       ),
     ""[hh]:mm""
   )
)
"),"01:36")</f>
        <v>01:36</v>
      </c>
      <c r="AJ988" s="27">
        <f t="shared" si="16"/>
        <v>0</v>
      </c>
      <c r="AK988" s="63" t="str">
        <f t="shared" si="17"/>
        <v>Pass</v>
      </c>
    </row>
    <row r="989">
      <c r="A989" s="18">
        <v>45993.0</v>
      </c>
      <c r="B989" s="20">
        <v>0.9368055555555556</v>
      </c>
      <c r="C989" s="18">
        <v>45994.0</v>
      </c>
      <c r="D989" s="20">
        <v>0.30416666666666664</v>
      </c>
      <c r="E989" s="22" t="s">
        <v>7492</v>
      </c>
      <c r="F989" s="22" t="s">
        <v>1978</v>
      </c>
      <c r="G989" s="22" t="s">
        <v>1979</v>
      </c>
      <c r="H989" s="22" t="s">
        <v>1610</v>
      </c>
      <c r="I989" s="22" t="s">
        <v>1612</v>
      </c>
      <c r="J989" s="22" t="s">
        <v>1612</v>
      </c>
      <c r="K989" s="22" t="s">
        <v>143</v>
      </c>
      <c r="L989" s="22" t="s">
        <v>1613</v>
      </c>
      <c r="M989" s="22" t="s">
        <v>7493</v>
      </c>
      <c r="N989" s="22" t="s">
        <v>7494</v>
      </c>
      <c r="O989" s="23" t="s">
        <v>7495</v>
      </c>
      <c r="P989" s="22" t="s">
        <v>187</v>
      </c>
      <c r="Q989" s="50" t="s">
        <v>65</v>
      </c>
      <c r="R989" s="22" t="s">
        <v>5622</v>
      </c>
      <c r="S989" s="22" t="s">
        <v>51</v>
      </c>
      <c r="T989" s="22" t="s">
        <v>52</v>
      </c>
      <c r="U989" s="22" t="s">
        <v>52</v>
      </c>
      <c r="V989" s="22" t="s">
        <v>52</v>
      </c>
      <c r="W989" s="18">
        <v>45994.0</v>
      </c>
      <c r="X989" s="20">
        <v>0.30416666666666664</v>
      </c>
      <c r="Y989" s="18">
        <v>45994.0</v>
      </c>
      <c r="Z989" s="20">
        <v>0.4131944444444444</v>
      </c>
      <c r="AA989" s="20">
        <v>0.4166666666666667</v>
      </c>
      <c r="AB989" s="54"/>
      <c r="AC989" s="54"/>
      <c r="AD989" s="51">
        <v>0.6215277777777778</v>
      </c>
      <c r="AE989" s="18">
        <v>45994.0</v>
      </c>
      <c r="AF989" s="22" t="s">
        <v>4369</v>
      </c>
      <c r="AG989" s="22" t="s">
        <v>5541</v>
      </c>
      <c r="AH989" s="22" t="s">
        <v>4776</v>
      </c>
      <c r="AI989" s="62" t="str">
        <f>IFERROR(__xludf.DUMMYFUNCTION("IF(OR(W989="""",X989="""",AE989="""",AD989=""""),"""",
   TEXT(
     (
       (AE989+AD989 + IF(AE989+AD989 &lt; W989+X989,1,0)) - (W989+X989)
     )
     - IF(AND(AB989&lt;&gt;"""",AC989&lt;&gt;""""), 
          SUM(ARRAYFORMULA(SPLIT(AC989,"","") - SPLIT(AB989,"",""))"&amp;"), 
          0
       ),
     ""[hh]:mm""
   )
)
"),"07:37")</f>
        <v>07:37</v>
      </c>
      <c r="AJ989" s="27">
        <f t="shared" si="16"/>
        <v>0</v>
      </c>
      <c r="AK989" s="63" t="str">
        <f t="shared" si="17"/>
        <v>Pass</v>
      </c>
    </row>
    <row r="990">
      <c r="A990" s="18">
        <v>45993.0</v>
      </c>
      <c r="B990" s="20">
        <v>0.9416666666666667</v>
      </c>
      <c r="C990" s="18">
        <v>45994.0</v>
      </c>
      <c r="D990" s="20">
        <v>0.30486111111111114</v>
      </c>
      <c r="E990" s="22" t="s">
        <v>7496</v>
      </c>
      <c r="F990" s="22" t="s">
        <v>1978</v>
      </c>
      <c r="G990" s="22" t="s">
        <v>1979</v>
      </c>
      <c r="H990" s="22" t="s">
        <v>1610</v>
      </c>
      <c r="I990" s="22" t="s">
        <v>1612</v>
      </c>
      <c r="J990" s="22" t="s">
        <v>1612</v>
      </c>
      <c r="K990" s="22" t="s">
        <v>143</v>
      </c>
      <c r="L990" s="22" t="s">
        <v>1613</v>
      </c>
      <c r="M990" s="22" t="s">
        <v>7497</v>
      </c>
      <c r="N990" s="22" t="s">
        <v>7498</v>
      </c>
      <c r="O990" s="23" t="s">
        <v>7499</v>
      </c>
      <c r="P990" s="22" t="s">
        <v>187</v>
      </c>
      <c r="Q990" s="50" t="s">
        <v>65</v>
      </c>
      <c r="R990" s="22" t="s">
        <v>5622</v>
      </c>
      <c r="S990" s="22" t="s">
        <v>51</v>
      </c>
      <c r="T990" s="22" t="s">
        <v>52</v>
      </c>
      <c r="U990" s="22" t="s">
        <v>52</v>
      </c>
      <c r="V990" s="22" t="s">
        <v>52</v>
      </c>
      <c r="W990" s="18">
        <v>45994.0</v>
      </c>
      <c r="X990" s="20">
        <v>0.30486111111111114</v>
      </c>
      <c r="Y990" s="18">
        <v>45994.0</v>
      </c>
      <c r="Z990" s="20">
        <v>0.4131944444444444</v>
      </c>
      <c r="AA990" s="20">
        <v>0.4166666666666667</v>
      </c>
      <c r="AB990" s="54"/>
      <c r="AC990" s="54"/>
      <c r="AD990" s="51">
        <v>0.6215277777777778</v>
      </c>
      <c r="AE990" s="18">
        <v>45994.0</v>
      </c>
      <c r="AF990" s="22" t="s">
        <v>4369</v>
      </c>
      <c r="AG990" s="22" t="s">
        <v>5541</v>
      </c>
      <c r="AH990" s="22" t="s">
        <v>4776</v>
      </c>
      <c r="AI990" s="62" t="str">
        <f>IFERROR(__xludf.DUMMYFUNCTION("IF(OR(W990="""",X990="""",AE990="""",AD990=""""),"""",
   TEXT(
     (
       (AE990+AD990 + IF(AE990+AD990 &lt; W990+X990,1,0)) - (W990+X990)
     )
     - IF(AND(AB990&lt;&gt;"""",AC990&lt;&gt;""""), 
          SUM(ARRAYFORMULA(SPLIT(AC990,"","") - SPLIT(AB990,"",""))"&amp;"), 
          0
       ),
     ""[hh]:mm""
   )
)
"),"07:36")</f>
        <v>07:36</v>
      </c>
      <c r="AJ990" s="27">
        <f t="shared" si="16"/>
        <v>0</v>
      </c>
      <c r="AK990" s="63" t="str">
        <f t="shared" si="17"/>
        <v>Pass</v>
      </c>
    </row>
    <row r="991">
      <c r="A991" s="45">
        <v>45994.0</v>
      </c>
      <c r="B991" s="49">
        <v>0.13055555555555556</v>
      </c>
      <c r="C991" s="45">
        <v>45994.0</v>
      </c>
      <c r="D991" s="49">
        <v>0.3194444444444444</v>
      </c>
      <c r="E991" s="21" t="s">
        <v>7500</v>
      </c>
      <c r="F991" s="21" t="s">
        <v>2399</v>
      </c>
      <c r="G991" s="21" t="s">
        <v>2400</v>
      </c>
      <c r="H991" s="21" t="s">
        <v>156</v>
      </c>
      <c r="I991" s="21" t="s">
        <v>616</v>
      </c>
      <c r="J991" s="21" t="s">
        <v>2253</v>
      </c>
      <c r="K991" s="21" t="s">
        <v>43</v>
      </c>
      <c r="L991" s="21" t="s">
        <v>5260</v>
      </c>
      <c r="M991" s="21" t="s">
        <v>7501</v>
      </c>
      <c r="N991" s="21" t="s">
        <v>7502</v>
      </c>
      <c r="O991" s="48" t="s">
        <v>7503</v>
      </c>
      <c r="P991" s="21" t="s">
        <v>75</v>
      </c>
      <c r="Q991" s="24" t="s">
        <v>65</v>
      </c>
      <c r="R991" s="21" t="s">
        <v>7504</v>
      </c>
      <c r="S991" s="21" t="s">
        <v>51</v>
      </c>
      <c r="T991" s="21" t="s">
        <v>52</v>
      </c>
      <c r="U991" s="21" t="s">
        <v>52</v>
      </c>
      <c r="V991" s="21" t="s">
        <v>52</v>
      </c>
      <c r="W991" s="45">
        <v>45994.0</v>
      </c>
      <c r="X991" s="49">
        <v>0.3194444444444444</v>
      </c>
      <c r="Y991" s="45">
        <v>45994.0</v>
      </c>
      <c r="Z991" s="49">
        <v>0.4625</v>
      </c>
      <c r="AA991" s="49">
        <v>0.4652777777777778</v>
      </c>
      <c r="AB991" s="29"/>
      <c r="AC991" s="29"/>
      <c r="AD991" s="25">
        <v>0.4861111111111111</v>
      </c>
      <c r="AE991" s="45">
        <v>45994.0</v>
      </c>
      <c r="AF991" s="21" t="s">
        <v>2839</v>
      </c>
      <c r="AG991" s="21" t="s">
        <v>313</v>
      </c>
      <c r="AH991" s="21" t="s">
        <v>4502</v>
      </c>
      <c r="AI991" s="62" t="str">
        <f>IFERROR(__xludf.DUMMYFUNCTION("IF(OR(W991="""",X991="""",AE991="""",AD991=""""),"""",
   TEXT(
     (
       (AE991+AD991 + IF(AE991+AD991 &lt; W991+X991,1,0)) - (W991+X991)
     )
     - IF(AND(AB991&lt;&gt;"""",AC991&lt;&gt;""""), 
          SUM(ARRAYFORMULA(SPLIT(AC991,"","") - SPLIT(AB991,"",""))"&amp;"), 
          0
       ),
     ""[hh]:mm""
   )
)
"),"04:00")</f>
        <v>04:00</v>
      </c>
      <c r="AJ991" s="27">
        <f t="shared" si="16"/>
        <v>0</v>
      </c>
      <c r="AK991" s="63" t="str">
        <f t="shared" si="17"/>
        <v>Pass</v>
      </c>
    </row>
    <row r="992">
      <c r="A992" s="18">
        <v>45994.0</v>
      </c>
      <c r="B992" s="20">
        <v>0.43472222222222223</v>
      </c>
      <c r="C992" s="18">
        <v>45994.0</v>
      </c>
      <c r="D992" s="20">
        <v>0.4409722222222222</v>
      </c>
      <c r="E992" s="22" t="s">
        <v>7505</v>
      </c>
      <c r="F992" s="22" t="s">
        <v>2011</v>
      </c>
      <c r="G992" s="22" t="s">
        <v>2012</v>
      </c>
      <c r="H992" s="22" t="s">
        <v>4040</v>
      </c>
      <c r="I992" s="22" t="s">
        <v>567</v>
      </c>
      <c r="J992" s="22" t="s">
        <v>567</v>
      </c>
      <c r="K992" s="22" t="s">
        <v>568</v>
      </c>
      <c r="L992" s="22" t="s">
        <v>7506</v>
      </c>
      <c r="M992" s="22" t="s">
        <v>7507</v>
      </c>
      <c r="N992" s="22" t="s">
        <v>7508</v>
      </c>
      <c r="O992" s="23" t="s">
        <v>7509</v>
      </c>
      <c r="P992" s="22" t="s">
        <v>48</v>
      </c>
      <c r="Q992" s="50" t="s">
        <v>65</v>
      </c>
      <c r="R992" s="22" t="s">
        <v>7510</v>
      </c>
      <c r="S992" s="22" t="s">
        <v>51</v>
      </c>
      <c r="T992" s="22" t="s">
        <v>52</v>
      </c>
      <c r="U992" s="22" t="s">
        <v>52</v>
      </c>
      <c r="V992" s="22" t="s">
        <v>52</v>
      </c>
      <c r="W992" s="18">
        <v>45994.0</v>
      </c>
      <c r="X992" s="20">
        <v>0.4409722222222222</v>
      </c>
      <c r="Y992" s="18">
        <v>45994.0</v>
      </c>
      <c r="Z992" s="20">
        <v>0.4583333333333333</v>
      </c>
      <c r="AA992" s="20">
        <v>0.4618055555555556</v>
      </c>
      <c r="AB992" s="54"/>
      <c r="AC992" s="54"/>
      <c r="AD992" s="51">
        <v>0.5208333333333334</v>
      </c>
      <c r="AE992" s="18">
        <v>45994.0</v>
      </c>
      <c r="AF992" s="22" t="s">
        <v>4369</v>
      </c>
      <c r="AG992" s="22" t="s">
        <v>78</v>
      </c>
      <c r="AH992" s="22" t="s">
        <v>2732</v>
      </c>
      <c r="AI992" s="62" t="str">
        <f>IFERROR(__xludf.DUMMYFUNCTION("IF(OR(W992="""",X992="""",AE992="""",AD992=""""),"""",
   TEXT(
     (
       (AE992+AD992 + IF(AE992+AD992 &lt; W992+X992,1,0)) - (W992+X992)
     )
     - IF(AND(AB992&lt;&gt;"""",AC992&lt;&gt;""""), 
          SUM(ARRAYFORMULA(SPLIT(AC992,"","") - SPLIT(AB992,"",""))"&amp;"), 
          0
       ),
     ""[hh]:mm""
   )
)
"),"01:55")</f>
        <v>01:55</v>
      </c>
      <c r="AJ992" s="27">
        <f t="shared" si="16"/>
        <v>0</v>
      </c>
      <c r="AK992" s="63" t="str">
        <f t="shared" si="17"/>
        <v>Pass</v>
      </c>
    </row>
    <row r="993">
      <c r="A993" s="45">
        <v>45994.0</v>
      </c>
      <c r="B993" s="49">
        <v>0.6159722222222223</v>
      </c>
      <c r="C993" s="45">
        <v>45994.0</v>
      </c>
      <c r="D993" s="49">
        <v>0.6201388888888889</v>
      </c>
      <c r="E993" s="21" t="s">
        <v>7511</v>
      </c>
      <c r="F993" s="21" t="s">
        <v>7512</v>
      </c>
      <c r="G993" s="21" t="s">
        <v>7513</v>
      </c>
      <c r="H993" s="21" t="s">
        <v>1468</v>
      </c>
      <c r="I993" s="21" t="s">
        <v>815</v>
      </c>
      <c r="J993" s="21" t="s">
        <v>1084</v>
      </c>
      <c r="K993" s="21" t="s">
        <v>1936</v>
      </c>
      <c r="L993" s="21" t="s">
        <v>52</v>
      </c>
      <c r="M993" s="21" t="s">
        <v>7514</v>
      </c>
      <c r="N993" s="21" t="s">
        <v>7025</v>
      </c>
      <c r="O993" s="48" t="s">
        <v>7515</v>
      </c>
      <c r="P993" s="21" t="s">
        <v>48</v>
      </c>
      <c r="Q993" s="24" t="s">
        <v>198</v>
      </c>
      <c r="R993" s="21" t="s">
        <v>7516</v>
      </c>
      <c r="S993" s="21" t="s">
        <v>51</v>
      </c>
      <c r="T993" s="21" t="s">
        <v>7517</v>
      </c>
      <c r="U993" s="21" t="s">
        <v>7514</v>
      </c>
      <c r="V993" s="21">
        <v>8.61585041577741E14</v>
      </c>
      <c r="W993" s="45">
        <v>45995.0</v>
      </c>
      <c r="X993" s="49">
        <v>0.4166666666666667</v>
      </c>
      <c r="Y993" s="45">
        <v>45995.0</v>
      </c>
      <c r="Z993" s="49">
        <v>0.4201388888888889</v>
      </c>
      <c r="AA993" s="49">
        <v>0.4222222222222222</v>
      </c>
      <c r="AB993" s="85">
        <v>0.5</v>
      </c>
      <c r="AC993" s="85">
        <v>0.5416666666666666</v>
      </c>
      <c r="AD993" s="25">
        <v>0.5694444444444444</v>
      </c>
      <c r="AE993" s="45">
        <v>45995.0</v>
      </c>
      <c r="AF993" s="21" t="s">
        <v>7518</v>
      </c>
      <c r="AG993" s="21" t="s">
        <v>313</v>
      </c>
      <c r="AH993" s="21" t="s">
        <v>7519</v>
      </c>
      <c r="AI993" s="62" t="str">
        <f>IFERROR(__xludf.DUMMYFUNCTION("IF(OR(W993="""",X993="""",AE993="""",AD993=""""),"""",
   TEXT(
     (
       (AE993+AD993 + IF(AE993+AD993 &lt; W993+X993,1,0)) - (W993+X993)
     )
     - IF(AND(AB993&lt;&gt;"""",AC993&lt;&gt;""""), 
          SUM(ARRAYFORMULA(SPLIT(AC993,"","") - SPLIT(AB993,"",""))"&amp;"), 
          0
       ),
     ""[hh]:mm""
   )
)
"),"02:40")</f>
        <v>02:40</v>
      </c>
      <c r="AJ993" s="27">
        <f t="shared" si="16"/>
        <v>0</v>
      </c>
      <c r="AK993" s="63" t="str">
        <f t="shared" si="17"/>
        <v>Pass</v>
      </c>
    </row>
    <row r="994">
      <c r="A994" s="18">
        <v>45994.0</v>
      </c>
      <c r="B994" s="49">
        <v>0.6270833333333333</v>
      </c>
      <c r="C994" s="18">
        <v>45994.0</v>
      </c>
      <c r="D994" s="49">
        <v>0.6270833333333333</v>
      </c>
      <c r="E994" s="21" t="s">
        <v>7520</v>
      </c>
      <c r="F994" s="21" t="s">
        <v>2881</v>
      </c>
      <c r="G994" s="21" t="s">
        <v>7521</v>
      </c>
      <c r="H994" s="21" t="s">
        <v>3093</v>
      </c>
      <c r="I994" s="21" t="s">
        <v>60</v>
      </c>
      <c r="J994" s="21" t="s">
        <v>3806</v>
      </c>
      <c r="K994" s="21" t="s">
        <v>43</v>
      </c>
      <c r="L994" s="21" t="s">
        <v>2663</v>
      </c>
      <c r="M994" s="21" t="s">
        <v>3187</v>
      </c>
      <c r="N994" s="21" t="s">
        <v>7522</v>
      </c>
      <c r="O994" s="48" t="s">
        <v>7523</v>
      </c>
      <c r="P994" s="21" t="s">
        <v>75</v>
      </c>
      <c r="Q994" s="24" t="s">
        <v>65</v>
      </c>
      <c r="R994" s="21" t="s">
        <v>7524</v>
      </c>
      <c r="S994" s="21" t="s">
        <v>51</v>
      </c>
      <c r="T994" s="22" t="s">
        <v>2253</v>
      </c>
      <c r="U994" s="21" t="s">
        <v>7525</v>
      </c>
      <c r="V994" s="21" t="s">
        <v>3187</v>
      </c>
      <c r="W994" s="18">
        <v>45994.0</v>
      </c>
      <c r="X994" s="49">
        <v>0.6270833333333333</v>
      </c>
      <c r="Y994" s="18">
        <v>45994.0</v>
      </c>
      <c r="Z994" s="49">
        <v>0.6625</v>
      </c>
      <c r="AA994" s="49">
        <v>0.6944444444444444</v>
      </c>
      <c r="AB994" s="85">
        <v>0.6944444444444444</v>
      </c>
      <c r="AC994" s="85">
        <v>0.7256944444444444</v>
      </c>
      <c r="AD994" s="25">
        <v>0.7291666666666666</v>
      </c>
      <c r="AE994" s="18">
        <v>45994.0</v>
      </c>
      <c r="AF994" s="21" t="s">
        <v>7047</v>
      </c>
      <c r="AG994" s="21" t="s">
        <v>2086</v>
      </c>
      <c r="AH994" s="21" t="s">
        <v>7526</v>
      </c>
      <c r="AI994" s="62" t="str">
        <f>IFERROR(__xludf.DUMMYFUNCTION("IF(OR(W994="""",X994="""",AE994="""",AD994=""""),"""",
   TEXT(
     (
       (AE994+AD994 + IF(AE994+AD994 &lt; W994+X994,1,0)) - (W994+X994)
     )
     - IF(AND(AB994&lt;&gt;"""",AC994&lt;&gt;""""), 
          SUM(ARRAYFORMULA(SPLIT(AC994,"","") - SPLIT(AB994,"",""))"&amp;"), 
          0
       ),
     ""[hh]:mm""
   )
)
"),"01:42")</f>
        <v>01:42</v>
      </c>
      <c r="AJ994" s="27">
        <f t="shared" si="16"/>
        <v>0</v>
      </c>
      <c r="AK994" s="63" t="str">
        <f t="shared" si="17"/>
        <v>Pass</v>
      </c>
    </row>
    <row r="995">
      <c r="A995" s="45">
        <v>45994.0</v>
      </c>
      <c r="B995" s="49">
        <v>0.7145833333333333</v>
      </c>
      <c r="C995" s="45">
        <v>45994.0</v>
      </c>
      <c r="D995" s="49">
        <v>0.7333333333333333</v>
      </c>
      <c r="E995" s="21" t="s">
        <v>7527</v>
      </c>
      <c r="F995" s="21" t="s">
        <v>7528</v>
      </c>
      <c r="G995" s="21" t="s">
        <v>7529</v>
      </c>
      <c r="H995" s="21" t="s">
        <v>566</v>
      </c>
      <c r="I995" s="21" t="s">
        <v>95</v>
      </c>
      <c r="J995" s="21" t="s">
        <v>95</v>
      </c>
      <c r="K995" s="21" t="s">
        <v>143</v>
      </c>
      <c r="L995" s="21" t="s">
        <v>606</v>
      </c>
      <c r="M995" s="21" t="s">
        <v>7530</v>
      </c>
      <c r="N995" s="21" t="s">
        <v>7531</v>
      </c>
      <c r="O995" s="48" t="s">
        <v>7532</v>
      </c>
      <c r="P995" s="21" t="s">
        <v>48</v>
      </c>
      <c r="Q995" s="24" t="s">
        <v>49</v>
      </c>
      <c r="R995" s="21" t="s">
        <v>7533</v>
      </c>
      <c r="S995" s="21" t="s">
        <v>51</v>
      </c>
      <c r="T995" s="21" t="s">
        <v>52</v>
      </c>
      <c r="U995" s="21" t="s">
        <v>52</v>
      </c>
      <c r="V995" s="21" t="s">
        <v>52</v>
      </c>
      <c r="W995" s="45">
        <v>45994.0</v>
      </c>
      <c r="X995" s="49">
        <v>0.8402777777777778</v>
      </c>
      <c r="Y995" s="45">
        <v>45994.0</v>
      </c>
      <c r="Z995" s="49">
        <v>0.8402777777777778</v>
      </c>
      <c r="AA995" s="49">
        <v>0.84375</v>
      </c>
      <c r="AB995" s="24" t="s">
        <v>7534</v>
      </c>
      <c r="AC995" s="24" t="s">
        <v>5431</v>
      </c>
      <c r="AD995" s="25">
        <v>0.08333333333333333</v>
      </c>
      <c r="AE995" s="45">
        <v>45995.0</v>
      </c>
      <c r="AF995" s="21" t="s">
        <v>3327</v>
      </c>
      <c r="AG995" s="21" t="s">
        <v>3713</v>
      </c>
      <c r="AH995" s="21" t="s">
        <v>7535</v>
      </c>
      <c r="AI995" s="62" t="str">
        <f>IFERROR(__xludf.DUMMYFUNCTION("IF(OR(W995="""",X995="""",AE995="""",AD995=""""),"""",
   TEXT(
     (
       (AE995+AD995 + IF(AE995+AD995 &lt; W995+X995,1,0)) - (W995+X995)
     )
     - IF(AND(AB995&lt;&gt;"""",AC995&lt;&gt;""""), 
          SUM(ARRAYFORMULA(SPLIT(AC995,"","") - SPLIT(AB995,"",""))"&amp;"), 
          0
       ),
     ""[hh]:mm""
   )
)
"),"01:06")</f>
        <v>01:06</v>
      </c>
      <c r="AJ995" s="27">
        <f t="shared" si="16"/>
        <v>0</v>
      </c>
      <c r="AK995" s="63" t="str">
        <f t="shared" si="17"/>
        <v>Pass</v>
      </c>
    </row>
    <row r="996">
      <c r="A996" s="45">
        <v>45994.0</v>
      </c>
      <c r="B996" s="49">
        <v>0.7763888888888889</v>
      </c>
      <c r="C996" s="45">
        <v>45994.0</v>
      </c>
      <c r="D996" s="49">
        <v>0.7791666666666667</v>
      </c>
      <c r="E996" s="21" t="s">
        <v>7536</v>
      </c>
      <c r="F996" s="21" t="s">
        <v>7528</v>
      </c>
      <c r="G996" s="21" t="s">
        <v>7529</v>
      </c>
      <c r="H996" s="21" t="s">
        <v>756</v>
      </c>
      <c r="I996" s="21" t="s">
        <v>95</v>
      </c>
      <c r="J996" s="21" t="s">
        <v>95</v>
      </c>
      <c r="K996" s="21" t="s">
        <v>143</v>
      </c>
      <c r="L996" s="21" t="s">
        <v>606</v>
      </c>
      <c r="M996" s="21" t="s">
        <v>7530</v>
      </c>
      <c r="N996" s="21" t="s">
        <v>1882</v>
      </c>
      <c r="O996" s="48" t="s">
        <v>7537</v>
      </c>
      <c r="P996" s="21" t="s">
        <v>187</v>
      </c>
      <c r="Q996" s="24" t="s">
        <v>198</v>
      </c>
      <c r="R996" s="21" t="s">
        <v>7538</v>
      </c>
      <c r="S996" s="21" t="s">
        <v>51</v>
      </c>
      <c r="T996" s="21" t="s">
        <v>52</v>
      </c>
      <c r="U996" s="21" t="s">
        <v>52</v>
      </c>
      <c r="V996" s="21" t="s">
        <v>52</v>
      </c>
      <c r="W996" s="45">
        <v>45994.0</v>
      </c>
      <c r="X996" s="49">
        <v>0.7791666666666667</v>
      </c>
      <c r="Y996" s="45">
        <v>45994.0</v>
      </c>
      <c r="Z996" s="49">
        <v>0.8402777777777778</v>
      </c>
      <c r="AA996" s="49">
        <v>0.84375</v>
      </c>
      <c r="AB996" s="29"/>
      <c r="AC996" s="29"/>
      <c r="AD996" s="25">
        <v>0.8472222222222222</v>
      </c>
      <c r="AE996" s="45">
        <v>45994.0</v>
      </c>
      <c r="AF996" s="21" t="s">
        <v>3327</v>
      </c>
      <c r="AG996" s="21" t="s">
        <v>3713</v>
      </c>
      <c r="AH996" s="21" t="s">
        <v>7535</v>
      </c>
      <c r="AI996" s="62" t="str">
        <f>IFERROR(__xludf.DUMMYFUNCTION("IF(OR(W996="""",X996="""",AE996="""",AD996=""""),"""",
   TEXT(
     (
       (AE996+AD996 + IF(AE996+AD996 &lt; W996+X996,1,0)) - (W996+X996)
     )
     - IF(AND(AB996&lt;&gt;"""",AC996&lt;&gt;""""), 
          SUM(ARRAYFORMULA(SPLIT(AC996,"","") - SPLIT(AB996,"",""))"&amp;"), 
          0
       ),
     ""[hh]:mm""
   )
)
"),"01:38")</f>
        <v>01:38</v>
      </c>
      <c r="AJ996" s="27">
        <f t="shared" si="16"/>
        <v>0</v>
      </c>
      <c r="AK996" s="63" t="str">
        <f t="shared" si="17"/>
        <v>Pass</v>
      </c>
    </row>
    <row r="997">
      <c r="A997" s="45">
        <v>45995.0</v>
      </c>
      <c r="B997" s="49">
        <v>0.325</v>
      </c>
      <c r="C997" s="45">
        <v>45995.0</v>
      </c>
      <c r="D997" s="49">
        <v>0.33611111111111114</v>
      </c>
      <c r="E997" s="21" t="s">
        <v>7539</v>
      </c>
      <c r="F997" s="21" t="s">
        <v>435</v>
      </c>
      <c r="G997" s="21" t="s">
        <v>436</v>
      </c>
      <c r="H997" s="21" t="s">
        <v>566</v>
      </c>
      <c r="I997" s="21" t="s">
        <v>95</v>
      </c>
      <c r="J997" s="21" t="s">
        <v>95</v>
      </c>
      <c r="K997" s="21" t="s">
        <v>143</v>
      </c>
      <c r="L997" s="21" t="s">
        <v>606</v>
      </c>
      <c r="M997" s="21" t="s">
        <v>7540</v>
      </c>
      <c r="N997" s="21" t="s">
        <v>7541</v>
      </c>
      <c r="O997" s="48" t="s">
        <v>7542</v>
      </c>
      <c r="P997" s="21" t="s">
        <v>48</v>
      </c>
      <c r="Q997" s="24" t="s">
        <v>49</v>
      </c>
      <c r="R997" s="21" t="s">
        <v>7543</v>
      </c>
      <c r="S997" s="21" t="s">
        <v>51</v>
      </c>
      <c r="T997" s="21" t="s">
        <v>52</v>
      </c>
      <c r="U997" s="21" t="s">
        <v>52</v>
      </c>
      <c r="V997" s="21" t="s">
        <v>52</v>
      </c>
      <c r="W997" s="45">
        <v>45995.0</v>
      </c>
      <c r="X997" s="49">
        <v>0.375</v>
      </c>
      <c r="Y997" s="45">
        <v>45995.0</v>
      </c>
      <c r="Z997" s="49">
        <v>0.4791666666666667</v>
      </c>
      <c r="AA997" s="49">
        <v>0.4826388888888889</v>
      </c>
      <c r="AB997" s="25">
        <v>0.5416666666666666</v>
      </c>
      <c r="AC997" s="25">
        <v>0.6041666666666666</v>
      </c>
      <c r="AD997" s="25">
        <v>0.6041666666666666</v>
      </c>
      <c r="AE997" s="45">
        <v>45995.0</v>
      </c>
      <c r="AF997" s="21" t="s">
        <v>7020</v>
      </c>
      <c r="AG997" s="21" t="s">
        <v>78</v>
      </c>
      <c r="AH997" s="21" t="s">
        <v>7544</v>
      </c>
      <c r="AI997" s="62" t="str">
        <f>IFERROR(__xludf.DUMMYFUNCTION("IF(OR(W997="""",X997="""",AE997="""",AD997=""""),"""",
   TEXT(
     (
       (AE997+AD997 + IF(AE997+AD997 &lt; W997+X997,1,0)) - (W997+X997)
     )
     - IF(AND(AB997&lt;&gt;"""",AC997&lt;&gt;""""), 
          SUM(ARRAYFORMULA(SPLIT(AC997,"","") - SPLIT(AB997,"",""))"&amp;"), 
          0
       ),
     ""[hh]:mm""
   )
)
"),"04:00")</f>
        <v>04:00</v>
      </c>
      <c r="AJ997" s="27">
        <f t="shared" si="16"/>
        <v>0</v>
      </c>
      <c r="AK997" s="63" t="str">
        <f t="shared" si="17"/>
        <v>Pass</v>
      </c>
    </row>
    <row r="998">
      <c r="A998" s="45">
        <v>45996.0</v>
      </c>
      <c r="B998" s="49">
        <v>0.05277777777777778</v>
      </c>
      <c r="C998" s="45">
        <v>45996.0</v>
      </c>
      <c r="D998" s="49">
        <v>0.30625</v>
      </c>
      <c r="E998" s="21" t="s">
        <v>7545</v>
      </c>
      <c r="F998" s="21" t="s">
        <v>140</v>
      </c>
      <c r="G998" s="21" t="s">
        <v>835</v>
      </c>
      <c r="H998" s="21" t="s">
        <v>4040</v>
      </c>
      <c r="I998" s="21" t="s">
        <v>1854</v>
      </c>
      <c r="J998" s="21" t="s">
        <v>1056</v>
      </c>
      <c r="K998" s="21" t="s">
        <v>635</v>
      </c>
      <c r="L998" s="21" t="s">
        <v>7546</v>
      </c>
      <c r="M998" s="21" t="s">
        <v>7547</v>
      </c>
      <c r="N998" s="21" t="s">
        <v>6770</v>
      </c>
      <c r="O998" s="48" t="s">
        <v>7548</v>
      </c>
      <c r="P998" s="21" t="s">
        <v>48</v>
      </c>
      <c r="Q998" s="24" t="s">
        <v>65</v>
      </c>
      <c r="R998" s="21" t="s">
        <v>7549</v>
      </c>
      <c r="S998" s="21" t="s">
        <v>51</v>
      </c>
      <c r="T998" s="21" t="s">
        <v>52</v>
      </c>
      <c r="U998" s="21" t="s">
        <v>52</v>
      </c>
      <c r="V998" s="21" t="s">
        <v>52</v>
      </c>
      <c r="W998" s="45">
        <v>45995.0</v>
      </c>
      <c r="X998" s="49">
        <v>0.4340277777777778</v>
      </c>
      <c r="Y998" s="45">
        <v>45995.0</v>
      </c>
      <c r="Z998" s="49">
        <v>0.5888888888888889</v>
      </c>
      <c r="AA998" s="49">
        <v>0.5895833333333333</v>
      </c>
      <c r="AB998" s="29"/>
      <c r="AC998" s="29"/>
      <c r="AD998" s="25">
        <v>0.6486111111111111</v>
      </c>
      <c r="AE998" s="45">
        <v>45995.0</v>
      </c>
      <c r="AF998" s="21" t="s">
        <v>3007</v>
      </c>
      <c r="AG998" s="21" t="s">
        <v>162</v>
      </c>
      <c r="AH998" s="21" t="s">
        <v>1483</v>
      </c>
      <c r="AI998" s="62" t="str">
        <f>IFERROR(__xludf.DUMMYFUNCTION("IF(OR(W998="""",X998="""",AE998="""",AD998=""""),"""",
   TEXT(
     (
       (AE998+AD998 + IF(AE998+AD998 &lt; W998+X998,1,0)) - (W998+X998)
     )
     - IF(AND(AB998&lt;&gt;"""",AC998&lt;&gt;""""), 
          SUM(ARRAYFORMULA(SPLIT(AC998,"","") - SPLIT(AB998,"",""))"&amp;"), 
          0
       ),
     ""[hh]:mm""
   )
)
"),"05:09")</f>
        <v>05:09</v>
      </c>
      <c r="AJ998" s="27">
        <f t="shared" si="16"/>
        <v>0</v>
      </c>
      <c r="AK998" s="63" t="str">
        <f t="shared" si="17"/>
        <v>Pass</v>
      </c>
    </row>
    <row r="999">
      <c r="A999" s="45">
        <v>45995.0</v>
      </c>
      <c r="B999" s="49">
        <v>0.4652777777777778</v>
      </c>
      <c r="C999" s="45">
        <v>45995.0</v>
      </c>
      <c r="D999" s="49">
        <v>0.47291666666666665</v>
      </c>
      <c r="E999" s="21" t="s">
        <v>7550</v>
      </c>
      <c r="F999" s="21" t="s">
        <v>352</v>
      </c>
      <c r="G999" s="21" t="s">
        <v>353</v>
      </c>
      <c r="H999" s="21" t="s">
        <v>1287</v>
      </c>
      <c r="I999" s="21" t="s">
        <v>131</v>
      </c>
      <c r="J999" s="21" t="s">
        <v>3806</v>
      </c>
      <c r="K999" s="21" t="s">
        <v>43</v>
      </c>
      <c r="L999" s="21" t="s">
        <v>6144</v>
      </c>
      <c r="M999" s="21" t="s">
        <v>2236</v>
      </c>
      <c r="N999" s="21" t="s">
        <v>7551</v>
      </c>
      <c r="O999" s="48" t="s">
        <v>7552</v>
      </c>
      <c r="P999" s="21" t="s">
        <v>75</v>
      </c>
      <c r="Q999" s="24" t="s">
        <v>65</v>
      </c>
      <c r="R999" s="21" t="s">
        <v>7553</v>
      </c>
      <c r="S999" s="21" t="s">
        <v>51</v>
      </c>
      <c r="T999" s="21" t="s">
        <v>5148</v>
      </c>
      <c r="U999" s="21" t="s">
        <v>7554</v>
      </c>
      <c r="V999" s="21" t="s">
        <v>2236</v>
      </c>
      <c r="W999" s="45">
        <v>45995.0</v>
      </c>
      <c r="X999" s="49">
        <v>0.47291666666666665</v>
      </c>
      <c r="Y999" s="45">
        <v>45995.0</v>
      </c>
      <c r="Z999" s="49">
        <v>0.5208333333333334</v>
      </c>
      <c r="AA999" s="49">
        <v>0.59375</v>
      </c>
      <c r="AB999" s="24" t="s">
        <v>7555</v>
      </c>
      <c r="AC999" s="24" t="s">
        <v>7556</v>
      </c>
      <c r="AD999" s="25">
        <v>0.6229166666666667</v>
      </c>
      <c r="AE999" s="45">
        <v>45995.0</v>
      </c>
      <c r="AF999" s="21" t="s">
        <v>2989</v>
      </c>
      <c r="AG999" s="21" t="s">
        <v>293</v>
      </c>
      <c r="AH999" s="21" t="s">
        <v>7557</v>
      </c>
      <c r="AI999" s="62" t="str">
        <f>IFERROR(__xludf.DUMMYFUNCTION("IF(OR(W999="""",X999="""",AE999="""",AD999=""""),"""",
   TEXT(
     (
       (AE999+AD999 + IF(AE999+AD999 &lt; W999+X999,1,0)) - (W999+X999)
     )
     - IF(AND(AB999&lt;&gt;"""",AC999&lt;&gt;""""), 
          SUM(ARRAYFORMULA(SPLIT(AC999,"","") - SPLIT(AB999,"",""))"&amp;"), 
          0
       ),
     ""[hh]:mm""
   )
)
"),"01:36")</f>
        <v>01:36</v>
      </c>
      <c r="AJ999" s="27">
        <f t="shared" si="16"/>
        <v>0</v>
      </c>
      <c r="AK999" s="63" t="str">
        <f t="shared" si="17"/>
        <v>Pass</v>
      </c>
    </row>
    <row r="1000">
      <c r="A1000" s="45">
        <v>45995.0</v>
      </c>
      <c r="B1000" s="49">
        <v>0.7201388888888889</v>
      </c>
      <c r="C1000" s="45">
        <v>45995.0</v>
      </c>
      <c r="D1000" s="49">
        <v>0.7201388888888889</v>
      </c>
      <c r="E1000" s="21" t="s">
        <v>7558</v>
      </c>
      <c r="F1000" s="21" t="s">
        <v>7409</v>
      </c>
      <c r="G1000" s="21" t="s">
        <v>7410</v>
      </c>
      <c r="H1000" s="21" t="s">
        <v>156</v>
      </c>
      <c r="I1000" s="21" t="s">
        <v>616</v>
      </c>
      <c r="J1000" s="21" t="s">
        <v>3806</v>
      </c>
      <c r="K1000" s="21" t="s">
        <v>43</v>
      </c>
      <c r="L1000" s="21" t="s">
        <v>6471</v>
      </c>
      <c r="M1000" s="21" t="s">
        <v>7559</v>
      </c>
      <c r="N1000" s="21" t="s">
        <v>7560</v>
      </c>
      <c r="O1000" s="48" t="s">
        <v>7561</v>
      </c>
      <c r="P1000" s="21" t="s">
        <v>75</v>
      </c>
      <c r="Q1000" s="24" t="s">
        <v>65</v>
      </c>
      <c r="R1000" s="102" t="s">
        <v>7562</v>
      </c>
      <c r="S1000" s="21" t="s">
        <v>51</v>
      </c>
      <c r="T1000" s="21" t="s">
        <v>2032</v>
      </c>
      <c r="U1000" s="21" t="s">
        <v>7563</v>
      </c>
      <c r="V1000" s="21" t="s">
        <v>7559</v>
      </c>
      <c r="W1000" s="45">
        <v>45995.0</v>
      </c>
      <c r="X1000" s="49">
        <v>0.7201388888888889</v>
      </c>
      <c r="Y1000" s="45">
        <v>45995.0</v>
      </c>
      <c r="Z1000" s="49">
        <v>0.8013888888888889</v>
      </c>
      <c r="AA1000" s="49">
        <v>0.8020833333333334</v>
      </c>
      <c r="AB1000" s="29"/>
      <c r="AC1000" s="29"/>
      <c r="AD1000" s="25">
        <v>0.8194444444444444</v>
      </c>
      <c r="AE1000" s="45">
        <v>45995.0</v>
      </c>
      <c r="AF1000" s="21" t="s">
        <v>4914</v>
      </c>
      <c r="AG1000" s="21" t="s">
        <v>239</v>
      </c>
      <c r="AH1000" s="21" t="s">
        <v>7564</v>
      </c>
      <c r="AI1000" s="62" t="str">
        <f>IFERROR(__xludf.DUMMYFUNCTION("IF(OR(W1000="""",X1000="""",AE1000="""",AD1000=""""),"""",
   TEXT(
     (
       (AE1000+AD1000 + IF(AE1000+AD1000 &lt; W1000+X1000,1,0)) - (W1000+X1000)
     )
     - IF(AND(AB1000&lt;&gt;"""",AC1000&lt;&gt;""""), 
          SUM(ARRAYFORMULA(SPLIT(AC1000,"","") - SPLI"&amp;"T(AB1000,"",""))), 
          0
       ),
     ""[hh]:mm""
   )
)
"),"02:23")</f>
        <v>02:23</v>
      </c>
      <c r="AJ1000" s="27">
        <f t="shared" si="16"/>
        <v>0</v>
      </c>
      <c r="AK1000" s="63" t="str">
        <f t="shared" si="17"/>
        <v>Pass</v>
      </c>
    </row>
    <row r="1001">
      <c r="A1001" s="45">
        <v>45995.0</v>
      </c>
      <c r="B1001" s="49">
        <v>0.7173611111111111</v>
      </c>
      <c r="C1001" s="45">
        <v>45995.0</v>
      </c>
      <c r="D1001" s="49">
        <v>0.7208333333333333</v>
      </c>
      <c r="E1001" s="21" t="s">
        <v>7565</v>
      </c>
      <c r="F1001" s="95" t="s">
        <v>2831</v>
      </c>
      <c r="G1001" s="21" t="s">
        <v>6717</v>
      </c>
      <c r="H1001" s="21" t="s">
        <v>59</v>
      </c>
      <c r="I1001" s="21" t="s">
        <v>131</v>
      </c>
      <c r="J1001" s="21" t="s">
        <v>3806</v>
      </c>
      <c r="K1001" s="21" t="s">
        <v>43</v>
      </c>
      <c r="L1001" s="21">
        <v>7600.0</v>
      </c>
      <c r="M1001" s="21" t="s">
        <v>2833</v>
      </c>
      <c r="N1001" s="21" t="s">
        <v>7566</v>
      </c>
      <c r="O1001" s="48" t="s">
        <v>7567</v>
      </c>
      <c r="P1001" s="21" t="s">
        <v>75</v>
      </c>
      <c r="Q1001" s="24" t="s">
        <v>65</v>
      </c>
      <c r="R1001" s="21" t="s">
        <v>7568</v>
      </c>
      <c r="S1001" s="21" t="s">
        <v>51</v>
      </c>
      <c r="T1001" s="21" t="s">
        <v>52</v>
      </c>
      <c r="U1001" s="21" t="s">
        <v>52</v>
      </c>
      <c r="V1001" s="21" t="s">
        <v>52</v>
      </c>
      <c r="W1001" s="45">
        <v>45995.0</v>
      </c>
      <c r="X1001" s="49">
        <v>0.7173611111111111</v>
      </c>
      <c r="Y1001" s="45">
        <v>45995.0</v>
      </c>
      <c r="Z1001" s="49">
        <v>0.8194444444444444</v>
      </c>
      <c r="AA1001" s="49">
        <v>0.8263888888888888</v>
      </c>
      <c r="AB1001" s="29"/>
      <c r="AC1001" s="29"/>
      <c r="AD1001" s="25">
        <v>0.8541666666666666</v>
      </c>
      <c r="AE1001" s="45">
        <v>45995.0</v>
      </c>
      <c r="AF1001" s="21" t="s">
        <v>2711</v>
      </c>
      <c r="AG1001" s="21" t="s">
        <v>7569</v>
      </c>
      <c r="AH1001" s="21" t="s">
        <v>7570</v>
      </c>
      <c r="AI1001" s="62" t="str">
        <f>IFERROR(__xludf.DUMMYFUNCTION("IF(OR(W1001="""",X1001="""",AE1001="""",AD1001=""""),"""",
   TEXT(
     (
       (AE1001+AD1001 + IF(AE1001+AD1001 &lt; W1001+X1001,1,0)) - (W1001+X1001)
     )
     - IF(AND(AB1001&lt;&gt;"""",AC1001&lt;&gt;""""), 
          SUM(ARRAYFORMULA(SPLIT(AC1001,"","") - SPLI"&amp;"T(AB1001,"",""))), 
          0
       ),
     ""[hh]:mm""
   )
)
"),"03:17")</f>
        <v>03:17</v>
      </c>
      <c r="AJ1001" s="27">
        <f t="shared" si="16"/>
        <v>0</v>
      </c>
      <c r="AK1001" s="63" t="str">
        <f t="shared" si="17"/>
        <v>Pass</v>
      </c>
    </row>
    <row r="1002">
      <c r="A1002" s="45">
        <v>45996.0</v>
      </c>
      <c r="B1002" s="49">
        <v>0.09444444444444444</v>
      </c>
      <c r="C1002" s="45">
        <v>45996.0</v>
      </c>
      <c r="D1002" s="49">
        <v>0.3020833333333333</v>
      </c>
      <c r="E1002" s="21" t="s">
        <v>7571</v>
      </c>
      <c r="F1002" s="21" t="s">
        <v>2702</v>
      </c>
      <c r="G1002" s="21" t="s">
        <v>2703</v>
      </c>
      <c r="H1002" s="21" t="s">
        <v>3553</v>
      </c>
      <c r="I1002" s="21" t="s">
        <v>234</v>
      </c>
      <c r="J1002" s="21" t="s">
        <v>3813</v>
      </c>
      <c r="K1002" s="21" t="s">
        <v>61</v>
      </c>
      <c r="L1002" s="21" t="s">
        <v>183</v>
      </c>
      <c r="M1002" s="21" t="s">
        <v>5838</v>
      </c>
      <c r="N1002" s="21" t="s">
        <v>7572</v>
      </c>
      <c r="O1002" s="48" t="s">
        <v>7573</v>
      </c>
      <c r="P1002" s="21" t="s">
        <v>75</v>
      </c>
      <c r="Q1002" s="24" t="s">
        <v>65</v>
      </c>
      <c r="R1002" s="21" t="s">
        <v>7574</v>
      </c>
      <c r="S1002" s="21" t="s">
        <v>51</v>
      </c>
      <c r="T1002" s="21" t="s">
        <v>52</v>
      </c>
      <c r="U1002" s="21" t="s">
        <v>52</v>
      </c>
      <c r="V1002" s="21" t="s">
        <v>52</v>
      </c>
      <c r="W1002" s="45">
        <v>45996.0</v>
      </c>
      <c r="X1002" s="49">
        <v>0.3020833333333333</v>
      </c>
      <c r="Y1002" s="45">
        <v>45996.0</v>
      </c>
      <c r="Z1002" s="49">
        <v>0.42569444444444443</v>
      </c>
      <c r="AA1002" s="49">
        <v>0.4270833333333333</v>
      </c>
      <c r="AB1002" s="29"/>
      <c r="AC1002" s="29"/>
      <c r="AD1002" s="25">
        <v>0.4583333333333333</v>
      </c>
      <c r="AE1002" s="45">
        <v>45996.0</v>
      </c>
      <c r="AF1002" s="21" t="s">
        <v>3218</v>
      </c>
      <c r="AG1002" s="21" t="s">
        <v>7575</v>
      </c>
      <c r="AH1002" s="21" t="s">
        <v>7576</v>
      </c>
      <c r="AI1002" s="62" t="str">
        <f>IFERROR(__xludf.DUMMYFUNCTION("IF(OR(W1002="""",X1002="""",AE1002="""",AD1002=""""),"""",
   TEXT(
     (
       (AE1002+AD1002 + IF(AE1002+AD1002 &lt; W1002+X1002,1,0)) - (W1002+X1002)
     )
     - IF(AND(AB1002&lt;&gt;"""",AC1002&lt;&gt;""""), 
          SUM(ARRAYFORMULA(SPLIT(AC1002,"","") - SPLI"&amp;"T(AB1002,"",""))), 
          0
       ),
     ""[hh]:mm""
   )
)
"),"03:45")</f>
        <v>03:45</v>
      </c>
      <c r="AJ1002" s="27">
        <f t="shared" si="16"/>
        <v>0</v>
      </c>
      <c r="AK1002" s="63" t="str">
        <f t="shared" si="17"/>
        <v>Pass</v>
      </c>
    </row>
    <row r="1003">
      <c r="A1003" s="45">
        <v>45996.0</v>
      </c>
      <c r="B1003" s="49">
        <v>0.3951388888888889</v>
      </c>
      <c r="C1003" s="45">
        <v>45996.0</v>
      </c>
      <c r="D1003" s="49">
        <v>0.39791666666666664</v>
      </c>
      <c r="E1003" s="21" t="s">
        <v>7577</v>
      </c>
      <c r="F1003" s="21" t="s">
        <v>2276</v>
      </c>
      <c r="G1003" s="21" t="s">
        <v>7578</v>
      </c>
      <c r="H1003" s="21" t="s">
        <v>1610</v>
      </c>
      <c r="I1003" s="21" t="s">
        <v>1612</v>
      </c>
      <c r="J1003" s="21" t="s">
        <v>1612</v>
      </c>
      <c r="K1003" s="21" t="s">
        <v>143</v>
      </c>
      <c r="L1003" s="21" t="s">
        <v>356</v>
      </c>
      <c r="M1003" s="21" t="s">
        <v>7579</v>
      </c>
      <c r="N1003" s="21" t="s">
        <v>7580</v>
      </c>
      <c r="O1003" s="48" t="s">
        <v>7581</v>
      </c>
      <c r="P1003" s="21" t="s">
        <v>187</v>
      </c>
      <c r="Q1003" s="24" t="s">
        <v>65</v>
      </c>
      <c r="R1003" s="21" t="s">
        <v>7582</v>
      </c>
      <c r="S1003" s="21" t="s">
        <v>51</v>
      </c>
      <c r="T1003" s="21" t="s">
        <v>52</v>
      </c>
      <c r="U1003" s="21" t="s">
        <v>52</v>
      </c>
      <c r="V1003" s="21" t="s">
        <v>52</v>
      </c>
      <c r="W1003" s="45">
        <v>45996.0</v>
      </c>
      <c r="X1003" s="49">
        <v>0.39791666666666664</v>
      </c>
      <c r="Y1003" s="45">
        <v>45996.0</v>
      </c>
      <c r="Z1003" s="49">
        <v>0.48333333333333334</v>
      </c>
      <c r="AA1003" s="49">
        <v>0.4861111111111111</v>
      </c>
      <c r="AB1003" s="29"/>
      <c r="AC1003" s="29"/>
      <c r="AD1003" s="25">
        <v>0.5173611111111112</v>
      </c>
      <c r="AE1003" s="45">
        <v>45996.0</v>
      </c>
      <c r="AF1003" s="21" t="s">
        <v>7020</v>
      </c>
      <c r="AG1003" s="21" t="s">
        <v>102</v>
      </c>
      <c r="AH1003" s="21" t="s">
        <v>7583</v>
      </c>
      <c r="AI1003" s="62" t="str">
        <f>IFERROR(__xludf.DUMMYFUNCTION("IF(OR(W1003="""",X1003="""",AE1003="""",AD1003=""""),"""",
   TEXT(
     (
       (AE1003+AD1003 + IF(AE1003+AD1003 &lt; W1003+X1003,1,0)) - (W1003+X1003)
     )
     - IF(AND(AB1003&lt;&gt;"""",AC1003&lt;&gt;""""), 
          SUM(ARRAYFORMULA(SPLIT(AC1003,"","") - SPLI"&amp;"T(AB1003,"",""))), 
          0
       ),
     ""[hh]:mm""
   )
)
"),"02:52")</f>
        <v>02:52</v>
      </c>
      <c r="AJ1003" s="27">
        <f t="shared" si="16"/>
        <v>0</v>
      </c>
      <c r="AK1003" s="63" t="str">
        <f t="shared" si="17"/>
        <v>Pass</v>
      </c>
    </row>
    <row r="1004">
      <c r="A1004" s="45">
        <v>45996.0</v>
      </c>
      <c r="B1004" s="49">
        <v>0.4479166666666667</v>
      </c>
      <c r="C1004" s="45">
        <v>45996.0</v>
      </c>
      <c r="D1004" s="49">
        <v>0.4527777777777778</v>
      </c>
      <c r="E1004" s="21" t="s">
        <v>7584</v>
      </c>
      <c r="F1004" s="21" t="s">
        <v>6918</v>
      </c>
      <c r="G1004" s="21" t="s">
        <v>7585</v>
      </c>
      <c r="H1004" s="21" t="s">
        <v>1422</v>
      </c>
      <c r="I1004" s="21" t="s">
        <v>644</v>
      </c>
      <c r="J1004" s="21" t="s">
        <v>644</v>
      </c>
      <c r="K1004" s="21" t="s">
        <v>143</v>
      </c>
      <c r="L1004" s="21" t="s">
        <v>1498</v>
      </c>
      <c r="M1004" s="21" t="s">
        <v>7586</v>
      </c>
      <c r="N1004" s="21" t="s">
        <v>7587</v>
      </c>
      <c r="O1004" s="48" t="s">
        <v>7588</v>
      </c>
      <c r="P1004" s="21" t="s">
        <v>75</v>
      </c>
      <c r="Q1004" s="24" t="s">
        <v>65</v>
      </c>
      <c r="R1004" s="21" t="s">
        <v>7589</v>
      </c>
      <c r="S1004" s="21" t="s">
        <v>51</v>
      </c>
      <c r="T1004" s="21" t="s">
        <v>52</v>
      </c>
      <c r="U1004" s="21" t="s">
        <v>52</v>
      </c>
      <c r="V1004" s="21" t="s">
        <v>52</v>
      </c>
      <c r="W1004" s="45">
        <v>45996.0</v>
      </c>
      <c r="X1004" s="49">
        <v>0.4527777777777778</v>
      </c>
      <c r="Y1004" s="45">
        <v>45996.0</v>
      </c>
      <c r="Z1004" s="49">
        <v>0.5416666666666666</v>
      </c>
      <c r="AA1004" s="49">
        <v>0.5451388888888888</v>
      </c>
      <c r="AB1004" s="25">
        <v>0.5833333333333334</v>
      </c>
      <c r="AC1004" s="25">
        <v>0.625</v>
      </c>
      <c r="AD1004" s="25">
        <v>0.6388888888888888</v>
      </c>
      <c r="AE1004" s="45">
        <v>45996.0</v>
      </c>
      <c r="AF1004" s="21" t="s">
        <v>2839</v>
      </c>
      <c r="AG1004" s="21" t="s">
        <v>293</v>
      </c>
      <c r="AH1004" s="21" t="s">
        <v>6924</v>
      </c>
      <c r="AI1004" s="62" t="str">
        <f>IFERROR(__xludf.DUMMYFUNCTION("IF(OR(W1004="""",X1004="""",AE1004="""",AD1004=""""),"""",
   TEXT(
     (
       (AE1004+AD1004 + IF(AE1004+AD1004 &lt; W1004+X1004,1,0)) - (W1004+X1004)
     )
     - IF(AND(AB1004&lt;&gt;"""",AC1004&lt;&gt;""""), 
          SUM(ARRAYFORMULA(SPLIT(AC1004,"","") - SPLI"&amp;"T(AB1004,"",""))), 
          0
       ),
     ""[hh]:mm""
   )
)
"),"03:28")</f>
        <v>03:28</v>
      </c>
      <c r="AJ1004" s="27">
        <f t="shared" si="16"/>
        <v>0</v>
      </c>
      <c r="AK1004" s="63" t="str">
        <f t="shared" si="17"/>
        <v>Pass</v>
      </c>
    </row>
    <row r="1005">
      <c r="A1005" s="45">
        <v>45996.0</v>
      </c>
      <c r="B1005" s="49">
        <v>0.05138888888888889</v>
      </c>
      <c r="C1005" s="45">
        <v>45996.0</v>
      </c>
      <c r="D1005" s="49">
        <v>0.47152777777777777</v>
      </c>
      <c r="E1005" s="21" t="s">
        <v>7590</v>
      </c>
      <c r="F1005" s="21" t="s">
        <v>4363</v>
      </c>
      <c r="G1005" s="21" t="s">
        <v>4364</v>
      </c>
      <c r="H1005" s="21" t="s">
        <v>3093</v>
      </c>
      <c r="I1005" s="21" t="s">
        <v>1346</v>
      </c>
      <c r="J1005" s="21" t="s">
        <v>2253</v>
      </c>
      <c r="K1005" s="21" t="s">
        <v>43</v>
      </c>
      <c r="L1005" s="21" t="s">
        <v>2663</v>
      </c>
      <c r="M1005" s="21" t="s">
        <v>7591</v>
      </c>
      <c r="N1005" s="21" t="s">
        <v>7592</v>
      </c>
      <c r="O1005" s="48" t="s">
        <v>7593</v>
      </c>
      <c r="P1005" s="21" t="s">
        <v>75</v>
      </c>
      <c r="Q1005" s="24" t="s">
        <v>65</v>
      </c>
      <c r="R1005" s="21" t="s">
        <v>7594</v>
      </c>
      <c r="S1005" s="21" t="s">
        <v>51</v>
      </c>
      <c r="T1005" s="21" t="s">
        <v>52</v>
      </c>
      <c r="U1005" s="21" t="s">
        <v>52</v>
      </c>
      <c r="V1005" s="21" t="s">
        <v>52</v>
      </c>
      <c r="W1005" s="45">
        <v>45996.0</v>
      </c>
      <c r="X1005" s="49">
        <v>0.47152777777777777</v>
      </c>
      <c r="Y1005" s="45">
        <v>45996.0</v>
      </c>
      <c r="Z1005" s="49">
        <v>0.5131944444444444</v>
      </c>
      <c r="AA1005" s="49">
        <v>0.6458333333333334</v>
      </c>
      <c r="AB1005" s="25">
        <v>0.5138888888888888</v>
      </c>
      <c r="AC1005" s="25">
        <v>0.6493055555555556</v>
      </c>
      <c r="AD1005" s="25">
        <v>0.6520833333333333</v>
      </c>
      <c r="AE1005" s="45">
        <v>45996.0</v>
      </c>
      <c r="AF1005" s="21" t="s">
        <v>3007</v>
      </c>
      <c r="AG1005" s="21" t="s">
        <v>3098</v>
      </c>
      <c r="AH1005" s="21" t="s">
        <v>7595</v>
      </c>
      <c r="AI1005" s="62" t="str">
        <f>IFERROR(__xludf.DUMMYFUNCTION("IF(OR(W1005="""",X1005="""",AE1005="""",AD1005=""""),"""",
   TEXT(
     (
       (AE1005+AD1005 + IF(AE1005+AD1005 &lt; W1005+X1005,1,0)) - (W1005+X1005)
     )
     - IF(AND(AB1005&lt;&gt;"""",AC1005&lt;&gt;""""), 
          SUM(ARRAYFORMULA(SPLIT(AC1005,"","") - SPLI"&amp;"T(AB1005,"",""))), 
          0
       ),
     ""[hh]:mm""
   )
)
"),"01:05")</f>
        <v>01:05</v>
      </c>
      <c r="AJ1005" s="27">
        <f t="shared" si="16"/>
        <v>0</v>
      </c>
      <c r="AK1005" s="63" t="str">
        <f t="shared" si="17"/>
        <v>Pass</v>
      </c>
    </row>
    <row r="1006">
      <c r="A1006" s="45">
        <v>45996.0</v>
      </c>
      <c r="B1006" s="49">
        <v>0.5263888888888889</v>
      </c>
      <c r="C1006" s="45">
        <v>45996.0</v>
      </c>
      <c r="D1006" s="49">
        <v>0.5333333333333333</v>
      </c>
      <c r="E1006" s="21" t="s">
        <v>7596</v>
      </c>
      <c r="F1006" s="21" t="s">
        <v>5887</v>
      </c>
      <c r="G1006" s="21" t="s">
        <v>7597</v>
      </c>
      <c r="H1006" s="21" t="s">
        <v>3840</v>
      </c>
      <c r="I1006" s="21" t="s">
        <v>951</v>
      </c>
      <c r="J1006" s="21" t="s">
        <v>3813</v>
      </c>
      <c r="K1006" s="21" t="s">
        <v>7598</v>
      </c>
      <c r="L1006" s="21" t="s">
        <v>7598</v>
      </c>
      <c r="M1006" s="21" t="s">
        <v>7599</v>
      </c>
      <c r="N1006" s="21" t="s">
        <v>7600</v>
      </c>
      <c r="O1006" s="48" t="s">
        <v>7601</v>
      </c>
      <c r="P1006" s="21" t="s">
        <v>75</v>
      </c>
      <c r="Q1006" s="24" t="s">
        <v>198</v>
      </c>
      <c r="R1006" s="21" t="s">
        <v>7602</v>
      </c>
      <c r="S1006" s="21" t="s">
        <v>51</v>
      </c>
      <c r="T1006" s="21" t="s">
        <v>52</v>
      </c>
      <c r="U1006" s="21" t="s">
        <v>52</v>
      </c>
      <c r="V1006" s="21" t="s">
        <v>52</v>
      </c>
      <c r="W1006" s="45">
        <v>45996.0</v>
      </c>
      <c r="X1006" s="49">
        <v>0.6666666666666666</v>
      </c>
      <c r="Y1006" s="45">
        <v>45996.0</v>
      </c>
      <c r="Z1006" s="49">
        <v>0.66875</v>
      </c>
      <c r="AA1006" s="49">
        <v>0.66875</v>
      </c>
      <c r="AB1006" s="29"/>
      <c r="AC1006" s="29"/>
      <c r="AD1006" s="25">
        <v>0.7708333333333334</v>
      </c>
      <c r="AE1006" s="45">
        <v>45996.0</v>
      </c>
      <c r="AF1006" s="21" t="s">
        <v>2839</v>
      </c>
      <c r="AG1006" s="21" t="s">
        <v>239</v>
      </c>
      <c r="AH1006" s="21" t="s">
        <v>7603</v>
      </c>
      <c r="AI1006" s="62" t="str">
        <f>IFERROR(__xludf.DUMMYFUNCTION("IF(OR(W1006="""",X1006="""",AE1006="""",AD1006=""""),"""",
   TEXT(
     (
       (AE1006+AD1006 + IF(AE1006+AD1006 &lt; W1006+X1006,1,0)) - (W1006+X1006)
     )
     - IF(AND(AB1006&lt;&gt;"""",AC1006&lt;&gt;""""), 
          SUM(ARRAYFORMULA(SPLIT(AC1006,"","") - SPLI"&amp;"T(AB1006,"",""))), 
          0
       ),
     ""[hh]:mm""
   )
)
"),"02:30")</f>
        <v>02:30</v>
      </c>
      <c r="AJ1006" s="27">
        <f t="shared" si="16"/>
        <v>0</v>
      </c>
      <c r="AK1006" s="63" t="str">
        <f t="shared" si="17"/>
        <v>Pass</v>
      </c>
    </row>
    <row r="1007">
      <c r="A1007" s="18">
        <v>45977.0</v>
      </c>
      <c r="B1007" s="20">
        <v>0.5590277777777778</v>
      </c>
      <c r="C1007" s="18">
        <v>45977.0</v>
      </c>
      <c r="D1007" s="20">
        <v>0.5847222222222223</v>
      </c>
      <c r="E1007" s="22" t="s">
        <v>7604</v>
      </c>
      <c r="F1007" s="22" t="s">
        <v>7605</v>
      </c>
      <c r="G1007" s="22" t="s">
        <v>7606</v>
      </c>
      <c r="H1007" s="22" t="s">
        <v>4256</v>
      </c>
      <c r="I1007" s="22" t="s">
        <v>616</v>
      </c>
      <c r="J1007" s="22" t="s">
        <v>2253</v>
      </c>
      <c r="K1007" s="22" t="s">
        <v>43</v>
      </c>
      <c r="L1007" s="21" t="s">
        <v>805</v>
      </c>
      <c r="M1007" s="22" t="s">
        <v>7607</v>
      </c>
      <c r="N1007" s="22" t="s">
        <v>7608</v>
      </c>
      <c r="O1007" s="23" t="s">
        <v>7609</v>
      </c>
      <c r="P1007" s="22" t="s">
        <v>75</v>
      </c>
      <c r="Q1007" s="50" t="s">
        <v>65</v>
      </c>
      <c r="R1007" s="21" t="s">
        <v>7610</v>
      </c>
      <c r="S1007" s="22" t="s">
        <v>51</v>
      </c>
      <c r="T1007" s="22" t="s">
        <v>6676</v>
      </c>
      <c r="U1007" s="22" t="s">
        <v>7611</v>
      </c>
      <c r="V1007" s="22" t="s">
        <v>7607</v>
      </c>
      <c r="W1007" s="18">
        <v>45996.0</v>
      </c>
      <c r="X1007" s="20">
        <v>0.8472222222222222</v>
      </c>
      <c r="Y1007" s="18">
        <v>45996.0</v>
      </c>
      <c r="Z1007" s="20">
        <v>0.875</v>
      </c>
      <c r="AA1007" s="20">
        <v>0.90625</v>
      </c>
      <c r="AB1007" s="51">
        <v>0.875</v>
      </c>
      <c r="AC1007" s="51">
        <v>0.9166666666666666</v>
      </c>
      <c r="AD1007" s="51">
        <v>0.9583333333333334</v>
      </c>
      <c r="AE1007" s="18">
        <v>45996.0</v>
      </c>
      <c r="AF1007" s="22" t="s">
        <v>2828</v>
      </c>
      <c r="AG1007" s="22" t="s">
        <v>7612</v>
      </c>
      <c r="AH1007" s="22" t="s">
        <v>7613</v>
      </c>
      <c r="AI1007" s="62" t="str">
        <f>IFERROR(__xludf.DUMMYFUNCTION("IF(OR(W1007="""",X1007="""",AE1007="""",AD1007=""""),"""",
   TEXT(
     (
       (AE1007+AD1007 + IF(AE1007+AD1007 &lt; W1007+X1007,1,0)) - (W1007+X1007)
     )
     - IF(AND(AB1007&lt;&gt;"""",AC1007&lt;&gt;""""), 
          SUM(ARRAYFORMULA(SPLIT(AC1007,"","") - SPLI"&amp;"T(AB1007,"",""))), 
          0
       ),
     ""[hh]:mm""
   )
)
"),"01:40")</f>
        <v>01:40</v>
      </c>
      <c r="AJ1007" s="27">
        <f t="shared" si="16"/>
        <v>0</v>
      </c>
      <c r="AK1007" s="63" t="str">
        <f t="shared" si="17"/>
        <v>Pass</v>
      </c>
    </row>
    <row r="1008">
      <c r="A1008" s="18">
        <v>45996.0</v>
      </c>
      <c r="B1008" s="20">
        <v>0.49722222222222223</v>
      </c>
      <c r="C1008" s="18">
        <v>45996.0</v>
      </c>
      <c r="D1008" s="20">
        <v>0.4986111111111111</v>
      </c>
      <c r="E1008" s="22" t="s">
        <v>7614</v>
      </c>
      <c r="F1008" s="22" t="s">
        <v>7615</v>
      </c>
      <c r="G1008" s="22" t="s">
        <v>7616</v>
      </c>
      <c r="H1008" s="22" t="s">
        <v>746</v>
      </c>
      <c r="I1008" s="22" t="s">
        <v>1162</v>
      </c>
      <c r="J1008" s="22" t="s">
        <v>2637</v>
      </c>
      <c r="K1008" s="22" t="s">
        <v>61</v>
      </c>
      <c r="L1008" s="22" t="s">
        <v>1179</v>
      </c>
      <c r="M1008" s="22" t="s">
        <v>7617</v>
      </c>
      <c r="N1008" s="22" t="s">
        <v>7618</v>
      </c>
      <c r="O1008" s="23" t="s">
        <v>7619</v>
      </c>
      <c r="P1008" s="22" t="s">
        <v>75</v>
      </c>
      <c r="Q1008" s="50" t="s">
        <v>65</v>
      </c>
      <c r="R1008" s="22" t="s">
        <v>7620</v>
      </c>
      <c r="S1008" s="22" t="s">
        <v>51</v>
      </c>
      <c r="T1008" s="22" t="s">
        <v>5249</v>
      </c>
      <c r="U1008" s="22" t="s">
        <v>52</v>
      </c>
      <c r="V1008" s="22" t="s">
        <v>52</v>
      </c>
      <c r="W1008" s="18">
        <v>45997.0</v>
      </c>
      <c r="X1008" s="20">
        <v>0.37916666666666665</v>
      </c>
      <c r="Y1008" s="18">
        <v>45997.0</v>
      </c>
      <c r="Z1008" s="20">
        <v>0.4444444444444444</v>
      </c>
      <c r="AA1008" s="20">
        <v>0.4513888888888889</v>
      </c>
      <c r="AB1008" s="50" t="s">
        <v>7621</v>
      </c>
      <c r="AC1008" s="50" t="s">
        <v>7622</v>
      </c>
      <c r="AD1008" s="51">
        <v>0.5625</v>
      </c>
      <c r="AE1008" s="18">
        <v>45997.0</v>
      </c>
      <c r="AF1008" s="22" t="s">
        <v>7020</v>
      </c>
      <c r="AG1008" s="22" t="s">
        <v>293</v>
      </c>
      <c r="AH1008" s="22" t="s">
        <v>7623</v>
      </c>
      <c r="AI1008" s="62" t="str">
        <f>IFERROR(__xludf.DUMMYFUNCTION("IF(OR(W1008="""",X1008="""",AE1008="""",AD1008=""""),"""",
   TEXT(
     (
       (AE1008+AD1008 + IF(AE1008+AD1008 &lt; W1008+X1008,1,0)) - (W1008+X1008)
     )
     - IF(AND(AB1008&lt;&gt;"""",AC1008&lt;&gt;""""), 
          SUM(ARRAYFORMULA(SPLIT(AC1008,"","") - SPLI"&amp;"T(AB1008,"",""))), 
          0
       ),
     ""[hh]:mm""
   )
)
"),"01:44")</f>
        <v>01:44</v>
      </c>
      <c r="AJ1008" s="27">
        <f t="shared" si="16"/>
        <v>0</v>
      </c>
      <c r="AK1008" s="63" t="str">
        <f t="shared" si="17"/>
        <v>Pass</v>
      </c>
    </row>
    <row r="1009">
      <c r="A1009" s="18">
        <v>45989.0</v>
      </c>
      <c r="B1009" s="20">
        <v>0.6909722222222222</v>
      </c>
      <c r="C1009" s="18">
        <v>45989.0</v>
      </c>
      <c r="D1009" s="20">
        <v>0.6930555555555555</v>
      </c>
      <c r="E1009" s="22" t="s">
        <v>7624</v>
      </c>
      <c r="F1009" s="22" t="s">
        <v>1903</v>
      </c>
      <c r="G1009" s="22" t="s">
        <v>1904</v>
      </c>
      <c r="H1009" s="22" t="s">
        <v>6041</v>
      </c>
      <c r="I1009" s="22" t="s">
        <v>991</v>
      </c>
      <c r="J1009" s="22" t="s">
        <v>3806</v>
      </c>
      <c r="K1009" s="22" t="s">
        <v>43</v>
      </c>
      <c r="L1009" s="22" t="s">
        <v>805</v>
      </c>
      <c r="M1009" s="22" t="s">
        <v>7625</v>
      </c>
      <c r="N1009" s="22" t="s">
        <v>7626</v>
      </c>
      <c r="O1009" s="23" t="s">
        <v>7627</v>
      </c>
      <c r="P1009" s="22" t="s">
        <v>75</v>
      </c>
      <c r="Q1009" s="50" t="s">
        <v>65</v>
      </c>
      <c r="R1009" s="22" t="s">
        <v>7628</v>
      </c>
      <c r="S1009" s="22" t="s">
        <v>51</v>
      </c>
      <c r="T1009" s="22" t="s">
        <v>2253</v>
      </c>
      <c r="U1009" s="22" t="s">
        <v>7629</v>
      </c>
      <c r="V1009" s="22" t="s">
        <v>7625</v>
      </c>
      <c r="W1009" s="18">
        <v>45997.0</v>
      </c>
      <c r="X1009" s="20">
        <v>0.45208333333333334</v>
      </c>
      <c r="Y1009" s="18">
        <v>45997.0</v>
      </c>
      <c r="Z1009" s="20">
        <v>0.6604166666666667</v>
      </c>
      <c r="AA1009" s="20">
        <v>0.6736111111111112</v>
      </c>
      <c r="AB1009" s="51">
        <v>0.6611111111111111</v>
      </c>
      <c r="AC1009" s="51">
        <v>0.6736111111111112</v>
      </c>
      <c r="AD1009" s="51">
        <v>0.6875</v>
      </c>
      <c r="AE1009" s="18">
        <v>45997.0</v>
      </c>
      <c r="AF1009" s="22" t="s">
        <v>3327</v>
      </c>
      <c r="AG1009" s="22" t="s">
        <v>6108</v>
      </c>
      <c r="AH1009" s="22" t="s">
        <v>7630</v>
      </c>
      <c r="AI1009" s="62" t="str">
        <f>IFERROR(__xludf.DUMMYFUNCTION("IF(OR(W1009="""",X1009="""",AE1009="""",AD1009=""""),"""",
   TEXT(
     (
       (AE1009+AD1009 + IF(AE1009+AD1009 &lt; W1009+X1009,1,0)) - (W1009+X1009)
     )
     - IF(AND(AB1009&lt;&gt;"""",AC1009&lt;&gt;""""), 
          SUM(ARRAYFORMULA(SPLIT(AC1009,"","") - SPLI"&amp;"T(AB1009,"",""))), 
          0
       ),
     ""[hh]:mm""
   )
)
"),"05:21")</f>
        <v>05:21</v>
      </c>
      <c r="AJ1009" s="27">
        <f t="shared" si="16"/>
        <v>0</v>
      </c>
      <c r="AK1009" s="63" t="str">
        <f t="shared" si="17"/>
        <v>Pass</v>
      </c>
    </row>
    <row r="1010">
      <c r="A1010" s="18">
        <v>45995.0</v>
      </c>
      <c r="B1010" s="20">
        <v>0.7173611111111111</v>
      </c>
      <c r="C1010" s="18">
        <v>45995.0</v>
      </c>
      <c r="D1010" s="20">
        <v>0.7208333333333333</v>
      </c>
      <c r="E1010" s="22" t="s">
        <v>7565</v>
      </c>
      <c r="F1010" s="22" t="s">
        <v>2831</v>
      </c>
      <c r="G1010" s="22" t="s">
        <v>6717</v>
      </c>
      <c r="H1010" s="22" t="s">
        <v>59</v>
      </c>
      <c r="I1010" s="22" t="s">
        <v>131</v>
      </c>
      <c r="J1010" s="22" t="s">
        <v>3806</v>
      </c>
      <c r="K1010" s="22" t="s">
        <v>43</v>
      </c>
      <c r="L1010" s="22" t="s">
        <v>805</v>
      </c>
      <c r="M1010" s="22" t="s">
        <v>2833</v>
      </c>
      <c r="N1010" s="22" t="s">
        <v>7566</v>
      </c>
      <c r="O1010" s="23" t="s">
        <v>7631</v>
      </c>
      <c r="P1010" s="22" t="s">
        <v>75</v>
      </c>
      <c r="Q1010" s="50" t="s">
        <v>65</v>
      </c>
      <c r="R1010" s="102" t="s">
        <v>7632</v>
      </c>
      <c r="S1010" s="22" t="s">
        <v>51</v>
      </c>
      <c r="T1010" s="22" t="s">
        <v>6676</v>
      </c>
      <c r="U1010" s="22" t="s">
        <v>7633</v>
      </c>
      <c r="V1010" s="22" t="s">
        <v>52</v>
      </c>
      <c r="W1010" s="18">
        <v>45997.0</v>
      </c>
      <c r="X1010" s="20">
        <v>0.85</v>
      </c>
      <c r="Y1010" s="18">
        <v>45997.0</v>
      </c>
      <c r="Z1010" s="20">
        <v>0.8993055555555556</v>
      </c>
      <c r="AA1010" s="20">
        <v>0.9020833333333333</v>
      </c>
      <c r="AB1010" s="51">
        <v>0.9027777777777778</v>
      </c>
      <c r="AC1010" s="51">
        <v>0.9743055555555555</v>
      </c>
      <c r="AD1010" s="51">
        <v>0.0</v>
      </c>
      <c r="AE1010" s="18">
        <v>45997.0</v>
      </c>
      <c r="AF1010" s="22" t="s">
        <v>2711</v>
      </c>
      <c r="AG1010" s="22" t="s">
        <v>151</v>
      </c>
      <c r="AH1010" s="22" t="s">
        <v>7634</v>
      </c>
      <c r="AI1010" s="62" t="str">
        <f>IFERROR(__xludf.DUMMYFUNCTION("IF(OR(W1010="""",X1010="""",AE1010="""",AD1010=""""),"""",
   TEXT(
     (
       (AE1010+AD1010 + IF(AE1010+AD1010 &lt; W1010+X1010,1,0)) - (W1010+X1010)
     )
     - IF(AND(AB1010&lt;&gt;"""",AC1010&lt;&gt;""""), 
          SUM(ARRAYFORMULA(SPLIT(AC1010,"","") - SPLI"&amp;"T(AB1010,"",""))), 
          0
       ),
     ""[hh]:mm""
   )
)
"),"01:53")</f>
        <v>01:53</v>
      </c>
      <c r="AJ1010" s="27">
        <f t="shared" si="16"/>
        <v>0</v>
      </c>
      <c r="AK1010" s="63" t="str">
        <f t="shared" si="17"/>
        <v>Pass</v>
      </c>
    </row>
    <row r="1011">
      <c r="A1011" s="18">
        <v>45997.0</v>
      </c>
      <c r="B1011" s="20">
        <v>0.6118055555555556</v>
      </c>
      <c r="C1011" s="18">
        <v>45997.0</v>
      </c>
      <c r="D1011" s="20">
        <v>0.6208333333333333</v>
      </c>
      <c r="E1011" s="22" t="s">
        <v>7635</v>
      </c>
      <c r="F1011" s="22" t="s">
        <v>7636</v>
      </c>
      <c r="G1011" s="22" t="s">
        <v>7637</v>
      </c>
      <c r="H1011" s="22" t="s">
        <v>4040</v>
      </c>
      <c r="I1011" s="22" t="s">
        <v>836</v>
      </c>
      <c r="J1011" s="22" t="s">
        <v>1056</v>
      </c>
      <c r="K1011" s="22" t="s">
        <v>635</v>
      </c>
      <c r="L1011" s="22" t="s">
        <v>1585</v>
      </c>
      <c r="M1011" s="22" t="s">
        <v>7638</v>
      </c>
      <c r="N1011" s="22" t="s">
        <v>7639</v>
      </c>
      <c r="O1011" s="23" t="s">
        <v>7640</v>
      </c>
      <c r="P1011" s="22" t="s">
        <v>48</v>
      </c>
      <c r="Q1011" s="50" t="s">
        <v>65</v>
      </c>
      <c r="R1011" s="22" t="s">
        <v>7641</v>
      </c>
      <c r="S1011" s="22" t="s">
        <v>51</v>
      </c>
      <c r="T1011" s="22" t="s">
        <v>52</v>
      </c>
      <c r="U1011" s="22" t="s">
        <v>52</v>
      </c>
      <c r="V1011" s="22" t="s">
        <v>52</v>
      </c>
      <c r="W1011" s="18">
        <v>45997.0</v>
      </c>
      <c r="X1011" s="20">
        <v>0.6208333333333333</v>
      </c>
      <c r="Y1011" s="18">
        <v>45997.0</v>
      </c>
      <c r="Z1011" s="20">
        <v>0.74375</v>
      </c>
      <c r="AA1011" s="20">
        <v>0.7208333333333333</v>
      </c>
      <c r="AB1011" s="54"/>
      <c r="AC1011" s="54"/>
      <c r="AD1011" s="51">
        <v>0.7326388888888888</v>
      </c>
      <c r="AE1011" s="18">
        <v>45997.0</v>
      </c>
      <c r="AF1011" s="22" t="s">
        <v>2839</v>
      </c>
      <c r="AG1011" s="22" t="s">
        <v>879</v>
      </c>
      <c r="AH1011" s="22" t="s">
        <v>7642</v>
      </c>
      <c r="AI1011" s="62" t="str">
        <f>IFERROR(__xludf.DUMMYFUNCTION("IF(OR(W1011="""",X1011="""",AE1011="""",AD1011=""""),"""",
   TEXT(
     (
       (AE1011+AD1011 + IF(AE1011+AD1011 &lt; W1011+X1011,1,0)) - (W1011+X1011)
     )
     - IF(AND(AB1011&lt;&gt;"""",AC1011&lt;&gt;""""), 
          SUM(ARRAYFORMULA(SPLIT(AC1011,"","") - SPLI"&amp;"T(AB1011,"",""))), 
          0
       ),
     ""[hh]:mm""
   )
)
"),"02:41")</f>
        <v>02:41</v>
      </c>
      <c r="AJ1011" s="27">
        <f t="shared" si="16"/>
        <v>0</v>
      </c>
      <c r="AK1011" s="63" t="str">
        <f t="shared" si="17"/>
        <v>Pass</v>
      </c>
    </row>
    <row r="1012">
      <c r="A1012" s="45">
        <v>45998.0</v>
      </c>
      <c r="B1012" s="49">
        <v>0.3263888888888889</v>
      </c>
      <c r="C1012" s="45">
        <v>45998.0</v>
      </c>
      <c r="D1012" s="49">
        <v>0.375</v>
      </c>
      <c r="E1012" s="21" t="s">
        <v>7643</v>
      </c>
      <c r="F1012" s="21" t="s">
        <v>7097</v>
      </c>
      <c r="G1012" s="21" t="s">
        <v>7098</v>
      </c>
      <c r="H1012" s="21" t="s">
        <v>2461</v>
      </c>
      <c r="I1012" s="21" t="s">
        <v>476</v>
      </c>
      <c r="J1012" s="21" t="s">
        <v>5330</v>
      </c>
      <c r="K1012" s="21" t="s">
        <v>3249</v>
      </c>
      <c r="L1012" s="21" t="s">
        <v>5331</v>
      </c>
      <c r="M1012" s="21" t="s">
        <v>7644</v>
      </c>
      <c r="N1012" s="21" t="s">
        <v>7645</v>
      </c>
      <c r="O1012" s="48" t="s">
        <v>7646</v>
      </c>
      <c r="P1012" s="21" t="s">
        <v>48</v>
      </c>
      <c r="Q1012" s="24" t="s">
        <v>65</v>
      </c>
      <c r="R1012" s="21" t="s">
        <v>7647</v>
      </c>
      <c r="S1012" s="21" t="s">
        <v>51</v>
      </c>
      <c r="T1012" s="21" t="s">
        <v>52</v>
      </c>
      <c r="U1012" s="21" t="s">
        <v>52</v>
      </c>
      <c r="V1012" s="21" t="s">
        <v>52</v>
      </c>
      <c r="W1012" s="45">
        <v>45998.0</v>
      </c>
      <c r="X1012" s="49">
        <v>0.375</v>
      </c>
      <c r="Y1012" s="45">
        <v>45998.0</v>
      </c>
      <c r="Z1012" s="49">
        <v>0.49930555555555556</v>
      </c>
      <c r="AA1012" s="49">
        <v>0.5138888888888888</v>
      </c>
      <c r="AB1012" s="29"/>
      <c r="AC1012" s="29"/>
      <c r="AD1012" s="25">
        <v>0.6840277777777778</v>
      </c>
      <c r="AE1012" s="45">
        <v>45998.0</v>
      </c>
      <c r="AF1012" s="21" t="s">
        <v>2931</v>
      </c>
      <c r="AG1012" s="21" t="s">
        <v>583</v>
      </c>
      <c r="AH1012" s="21" t="s">
        <v>7648</v>
      </c>
      <c r="AI1012" s="62" t="str">
        <f>IFERROR(__xludf.DUMMYFUNCTION("IF(OR(W1012="""",X1012="""",AE1012="""",AD1012=""""),"""",
   TEXT(
     (
       (AE1012+AD1012 + IF(AE1012+AD1012 &lt; W1012+X1012,1,0)) - (W1012+X1012)
     )
     - IF(AND(AB1012&lt;&gt;"""",AC1012&lt;&gt;""""), 
          SUM(ARRAYFORMULA(SPLIT(AC1012,"","") - SPLI"&amp;"T(AB1012,"",""))), 
          0
       ),
     ""[hh]:mm""
   )
)
"),"07:25")</f>
        <v>07:25</v>
      </c>
      <c r="AJ1012" s="27">
        <f t="shared" si="16"/>
        <v>0</v>
      </c>
      <c r="AK1012" s="63" t="str">
        <f t="shared" si="17"/>
        <v>Pass</v>
      </c>
    </row>
    <row r="1013">
      <c r="A1013" s="45">
        <v>45998.0</v>
      </c>
      <c r="B1013" s="49">
        <v>0.4534722222222222</v>
      </c>
      <c r="C1013" s="45">
        <v>45998.0</v>
      </c>
      <c r="D1013" s="49">
        <v>0.4597222222222222</v>
      </c>
      <c r="E1013" s="21" t="s">
        <v>7649</v>
      </c>
      <c r="F1013" s="21" t="s">
        <v>1192</v>
      </c>
      <c r="G1013" s="21" t="s">
        <v>7650</v>
      </c>
      <c r="H1013" s="21" t="s">
        <v>1610</v>
      </c>
      <c r="I1013" s="21" t="s">
        <v>1612</v>
      </c>
      <c r="J1013" s="21" t="s">
        <v>1612</v>
      </c>
      <c r="K1013" s="21" t="s">
        <v>143</v>
      </c>
      <c r="L1013" s="21" t="s">
        <v>1613</v>
      </c>
      <c r="M1013" s="21" t="s">
        <v>7651</v>
      </c>
      <c r="N1013" s="21" t="s">
        <v>7652</v>
      </c>
      <c r="O1013" s="48" t="s">
        <v>7653</v>
      </c>
      <c r="P1013" s="21" t="s">
        <v>187</v>
      </c>
      <c r="Q1013" s="24" t="s">
        <v>65</v>
      </c>
      <c r="R1013" s="21" t="s">
        <v>7654</v>
      </c>
      <c r="S1013" s="21" t="s">
        <v>51</v>
      </c>
      <c r="T1013" s="21" t="s">
        <v>52</v>
      </c>
      <c r="U1013" s="21" t="s">
        <v>52</v>
      </c>
      <c r="V1013" s="21" t="s">
        <v>52</v>
      </c>
      <c r="W1013" s="45">
        <v>45998.0</v>
      </c>
      <c r="X1013" s="88">
        <v>0.4597222222222222</v>
      </c>
      <c r="Y1013" s="45">
        <v>45998.0</v>
      </c>
      <c r="Z1013" s="49">
        <v>0.625</v>
      </c>
      <c r="AA1013" s="49">
        <v>0.6284722222222222</v>
      </c>
      <c r="AB1013" s="29"/>
      <c r="AC1013" s="29"/>
      <c r="AD1013" s="25">
        <v>0.7125</v>
      </c>
      <c r="AE1013" s="45">
        <v>45998.0</v>
      </c>
      <c r="AF1013" s="21" t="s">
        <v>2839</v>
      </c>
      <c r="AG1013" s="21" t="s">
        <v>293</v>
      </c>
      <c r="AH1013" s="21" t="s">
        <v>7655</v>
      </c>
      <c r="AI1013" s="62" t="str">
        <f>IFERROR(__xludf.DUMMYFUNCTION("IF(OR(W1013="""",X1013="""",AE1013="""",AD1013=""""),"""",
   TEXT(
     (
       (AE1013+AD1013 + IF(AE1013+AD1013 &lt; W1013+X1013,1,0)) - (W1013+X1013)
     )
     - IF(AND(AB1013&lt;&gt;"""",AC1013&lt;&gt;""""), 
          SUM(ARRAYFORMULA(SPLIT(AC1013,"","") - SPLI"&amp;"T(AB1013,"",""))), 
          0
       ),
     ""[hh]:mm""
   )
)
"),"06:04")</f>
        <v>06:04</v>
      </c>
      <c r="AJ1013" s="27">
        <f t="shared" si="16"/>
        <v>0</v>
      </c>
      <c r="AK1013" s="63" t="str">
        <f t="shared" si="17"/>
        <v>Pass</v>
      </c>
    </row>
    <row r="1014">
      <c r="A1014" s="45">
        <v>45998.0</v>
      </c>
      <c r="B1014" s="49">
        <v>0.4534722222222222</v>
      </c>
      <c r="C1014" s="45">
        <v>45998.0</v>
      </c>
      <c r="D1014" s="49">
        <v>0.7472222222222222</v>
      </c>
      <c r="E1014" s="21" t="s">
        <v>7656</v>
      </c>
      <c r="F1014" s="21" t="s">
        <v>2558</v>
      </c>
      <c r="G1014" s="21" t="s">
        <v>2559</v>
      </c>
      <c r="H1014" s="21" t="s">
        <v>377</v>
      </c>
      <c r="I1014" s="21" t="s">
        <v>234</v>
      </c>
      <c r="J1014" s="21" t="s">
        <v>3813</v>
      </c>
      <c r="K1014" s="21" t="s">
        <v>61</v>
      </c>
      <c r="L1014" s="21" t="s">
        <v>757</v>
      </c>
      <c r="M1014" s="21" t="s">
        <v>7657</v>
      </c>
      <c r="N1014" s="21" t="s">
        <v>7658</v>
      </c>
      <c r="O1014" s="48" t="s">
        <v>7659</v>
      </c>
      <c r="P1014" s="21" t="s">
        <v>75</v>
      </c>
      <c r="Q1014" s="24" t="s">
        <v>65</v>
      </c>
      <c r="R1014" s="21" t="s">
        <v>7660</v>
      </c>
      <c r="S1014" s="21" t="s">
        <v>51</v>
      </c>
      <c r="T1014" s="21" t="s">
        <v>52</v>
      </c>
      <c r="U1014" s="21" t="s">
        <v>52</v>
      </c>
      <c r="V1014" s="21" t="s">
        <v>52</v>
      </c>
      <c r="W1014" s="45">
        <v>45998.0</v>
      </c>
      <c r="X1014" s="49">
        <v>0.7472222222222222</v>
      </c>
      <c r="Y1014" s="45">
        <v>45998.0</v>
      </c>
      <c r="Z1014" s="49">
        <v>0.7472222222222222</v>
      </c>
      <c r="AA1014" s="49">
        <v>0.75</v>
      </c>
      <c r="AB1014" s="29"/>
      <c r="AC1014" s="29"/>
      <c r="AD1014" s="25">
        <v>0.7916666666666666</v>
      </c>
      <c r="AE1014" s="45">
        <v>45998.0</v>
      </c>
      <c r="AF1014" s="21" t="s">
        <v>2931</v>
      </c>
      <c r="AG1014" s="21" t="s">
        <v>6893</v>
      </c>
      <c r="AH1014" s="21" t="s">
        <v>7661</v>
      </c>
      <c r="AI1014" s="62" t="str">
        <f>IFERROR(__xludf.DUMMYFUNCTION("IF(OR(W1014="""",X1014="""",AE1014="""",AD1014=""""),"""",
   TEXT(
     (
       (AE1014+AD1014 + IF(AE1014+AD1014 &lt; W1014+X1014,1,0)) - (W1014+X1014)
     )
     - IF(AND(AB1014&lt;&gt;"""",AC1014&lt;&gt;""""), 
          SUM(ARRAYFORMULA(SPLIT(AC1014,"","") - SPLI"&amp;"T(AB1014,"",""))), 
          0
       ),
     ""[hh]:mm""
   )
)
"),"01:04")</f>
        <v>01:04</v>
      </c>
      <c r="AJ1014" s="27">
        <f t="shared" si="16"/>
        <v>0</v>
      </c>
      <c r="AK1014" s="63" t="str">
        <f t="shared" si="17"/>
        <v>Pass</v>
      </c>
    </row>
    <row r="1015">
      <c r="A1015" s="45">
        <v>45998.0</v>
      </c>
      <c r="B1015" s="49">
        <v>0.7840277777777778</v>
      </c>
      <c r="C1015" s="45">
        <v>45998.0</v>
      </c>
      <c r="D1015" s="49">
        <v>0.7840277777777778</v>
      </c>
      <c r="E1015" s="21" t="s">
        <v>7662</v>
      </c>
      <c r="F1015" s="21" t="s">
        <v>2591</v>
      </c>
      <c r="G1015" s="21" t="s">
        <v>7663</v>
      </c>
      <c r="H1015" s="21" t="s">
        <v>156</v>
      </c>
      <c r="I1015" s="21" t="s">
        <v>616</v>
      </c>
      <c r="J1015" s="21" t="s">
        <v>2253</v>
      </c>
      <c r="K1015" s="21" t="s">
        <v>43</v>
      </c>
      <c r="L1015" s="21" t="s">
        <v>3906</v>
      </c>
      <c r="M1015" s="21" t="s">
        <v>7664</v>
      </c>
      <c r="N1015" s="21" t="s">
        <v>7665</v>
      </c>
      <c r="O1015" s="48" t="s">
        <v>7666</v>
      </c>
      <c r="P1015" s="21" t="s">
        <v>75</v>
      </c>
      <c r="Q1015" s="24" t="s">
        <v>65</v>
      </c>
      <c r="R1015" s="21" t="s">
        <v>656</v>
      </c>
      <c r="S1015" s="21" t="s">
        <v>51</v>
      </c>
      <c r="T1015" s="21" t="s">
        <v>5148</v>
      </c>
      <c r="U1015" s="21" t="s">
        <v>7667</v>
      </c>
      <c r="V1015" s="21" t="s">
        <v>7668</v>
      </c>
      <c r="W1015" s="45">
        <v>45998.0</v>
      </c>
      <c r="X1015" s="88">
        <v>0.7840277777777778</v>
      </c>
      <c r="Y1015" s="45">
        <v>45998.0</v>
      </c>
      <c r="Z1015" s="49">
        <v>0.7840277777777778</v>
      </c>
      <c r="AA1015" s="49">
        <v>0.7847222222222222</v>
      </c>
      <c r="AB1015" s="92"/>
      <c r="AC1015" s="92"/>
      <c r="AD1015" s="25">
        <v>0.06944444444444445</v>
      </c>
      <c r="AE1015" s="45">
        <v>45998.0</v>
      </c>
      <c r="AF1015" s="21" t="s">
        <v>7669</v>
      </c>
      <c r="AG1015" s="21" t="s">
        <v>7670</v>
      </c>
      <c r="AH1015" s="21" t="s">
        <v>2601</v>
      </c>
      <c r="AI1015" s="62" t="str">
        <f>IFERROR(__xludf.DUMMYFUNCTION("IF(OR(W1015="""",X1015="""",AE1015="""",AD1015=""""),"""",
   TEXT(
     (
       (AE1015+AD1015 + IF(AE1015+AD1015 &lt; W1015+X1015,1,0)) - (W1015+X1015)
     )
     - IF(AND(AB1015&lt;&gt;"""",AC1015&lt;&gt;""""), 
          SUM(ARRAYFORMULA(SPLIT(AC1015,"","") - SPLI"&amp;"T(AB1015,"",""))), 
          0
       ),
     ""[hh]:mm""
   )
)
"),"06:51")</f>
        <v>06:51</v>
      </c>
      <c r="AJ1015" s="27">
        <f t="shared" si="16"/>
        <v>0</v>
      </c>
      <c r="AK1015" s="63" t="str">
        <f t="shared" si="17"/>
        <v>Pass</v>
      </c>
    </row>
    <row r="1016">
      <c r="A1016" s="45">
        <v>45998.0</v>
      </c>
      <c r="B1016" s="49">
        <v>0.8180555555555555</v>
      </c>
      <c r="C1016" s="45">
        <v>45998.0</v>
      </c>
      <c r="D1016" s="49">
        <v>0.8180555555555555</v>
      </c>
      <c r="E1016" s="21" t="s">
        <v>7671</v>
      </c>
      <c r="F1016" s="21" t="s">
        <v>352</v>
      </c>
      <c r="G1016" s="21" t="s">
        <v>353</v>
      </c>
      <c r="H1016" s="21" t="s">
        <v>1287</v>
      </c>
      <c r="I1016" s="21" t="s">
        <v>131</v>
      </c>
      <c r="J1016" s="21" t="s">
        <v>3806</v>
      </c>
      <c r="K1016" s="21" t="s">
        <v>43</v>
      </c>
      <c r="L1016" s="21" t="s">
        <v>6144</v>
      </c>
      <c r="M1016" s="21" t="s">
        <v>2236</v>
      </c>
      <c r="N1016" s="21" t="s">
        <v>7672</v>
      </c>
      <c r="O1016" s="48" t="s">
        <v>7673</v>
      </c>
      <c r="P1016" s="21" t="s">
        <v>75</v>
      </c>
      <c r="Q1016" s="24" t="s">
        <v>65</v>
      </c>
      <c r="R1016" s="21" t="s">
        <v>7674</v>
      </c>
      <c r="S1016" s="21" t="s">
        <v>51</v>
      </c>
      <c r="T1016" s="21" t="s">
        <v>5148</v>
      </c>
      <c r="U1016" s="21" t="s">
        <v>7554</v>
      </c>
      <c r="V1016" s="21" t="s">
        <v>2236</v>
      </c>
      <c r="W1016" s="45">
        <v>45998.0</v>
      </c>
      <c r="X1016" s="88">
        <v>0.8180555555555555</v>
      </c>
      <c r="Y1016" s="45">
        <v>45998.0</v>
      </c>
      <c r="Z1016" s="49">
        <v>0.8180555555555555</v>
      </c>
      <c r="AA1016" s="49">
        <v>0.81875</v>
      </c>
      <c r="AB1016" s="92"/>
      <c r="AC1016" s="92"/>
      <c r="AD1016" s="25">
        <v>0.8333333333333334</v>
      </c>
      <c r="AE1016" s="45">
        <v>45998.0</v>
      </c>
      <c r="AF1016" s="47"/>
      <c r="AG1016" s="21" t="s">
        <v>1475</v>
      </c>
      <c r="AH1016" s="21" t="s">
        <v>361</v>
      </c>
      <c r="AI1016" s="62" t="str">
        <f>IFERROR(__xludf.DUMMYFUNCTION("IF(OR(W1016="""",X1016="""",AE1016="""",AD1016=""""),"""",
   TEXT(
     (
       (AE1016+AD1016 + IF(AE1016+AD1016 &lt; W1016+X1016,1,0)) - (W1016+X1016)
     )
     - IF(AND(AB1016&lt;&gt;"""",AC1016&lt;&gt;""""), 
          SUM(ARRAYFORMULA(SPLIT(AC1016,"","") - SPLI"&amp;"T(AB1016,"",""))), 
          0
       ),
     ""[hh]:mm""
   )
)
"),"00:22")</f>
        <v>00:22</v>
      </c>
      <c r="AJ1016" s="27">
        <f t="shared" si="16"/>
        <v>0</v>
      </c>
      <c r="AK1016" s="63" t="str">
        <f t="shared" si="17"/>
        <v>Pass</v>
      </c>
    </row>
    <row r="1017">
      <c r="A1017" s="45">
        <v>45999.0</v>
      </c>
      <c r="B1017" s="49">
        <v>0.375</v>
      </c>
      <c r="C1017" s="45">
        <v>45999.0</v>
      </c>
      <c r="D1017" s="49">
        <v>0.375</v>
      </c>
      <c r="E1017" s="21" t="s">
        <v>7675</v>
      </c>
      <c r="F1017" s="21" t="s">
        <v>586</v>
      </c>
      <c r="G1017" s="21" t="s">
        <v>587</v>
      </c>
      <c r="H1017" s="21" t="s">
        <v>3451</v>
      </c>
      <c r="I1017" s="21" t="s">
        <v>2185</v>
      </c>
      <c r="J1017" s="21" t="s">
        <v>644</v>
      </c>
      <c r="K1017" s="21" t="s">
        <v>143</v>
      </c>
      <c r="L1017" s="21" t="s">
        <v>7676</v>
      </c>
      <c r="M1017" s="21" t="s">
        <v>7677</v>
      </c>
      <c r="N1017" s="21" t="s">
        <v>7678</v>
      </c>
      <c r="O1017" s="48" t="s">
        <v>7679</v>
      </c>
      <c r="P1017" s="21" t="s">
        <v>75</v>
      </c>
      <c r="Q1017" s="24" t="s">
        <v>65</v>
      </c>
      <c r="R1017" s="21" t="s">
        <v>7680</v>
      </c>
      <c r="S1017" s="21" t="s">
        <v>51</v>
      </c>
      <c r="T1017" s="21" t="s">
        <v>52</v>
      </c>
      <c r="U1017" s="21" t="s">
        <v>52</v>
      </c>
      <c r="V1017" s="21" t="s">
        <v>52</v>
      </c>
      <c r="W1017" s="45">
        <v>45999.0</v>
      </c>
      <c r="X1017" s="49">
        <v>0.375</v>
      </c>
      <c r="Y1017" s="45">
        <v>45999.0</v>
      </c>
      <c r="Z1017" s="49">
        <v>0.3993055555555556</v>
      </c>
      <c r="AA1017" s="49">
        <v>0.4013888888888889</v>
      </c>
      <c r="AB1017" s="29"/>
      <c r="AC1017" s="29"/>
      <c r="AD1017" s="25">
        <v>0.4513888888888889</v>
      </c>
      <c r="AE1017" s="45">
        <v>45999.0</v>
      </c>
      <c r="AF1017" s="21" t="s">
        <v>7681</v>
      </c>
      <c r="AG1017" s="21" t="s">
        <v>593</v>
      </c>
      <c r="AH1017" s="21" t="s">
        <v>7682</v>
      </c>
      <c r="AI1017" s="62" t="str">
        <f>IFERROR(__xludf.DUMMYFUNCTION("IF(OR(W1017="""",X1017="""",AE1017="""",AD1017=""""),"""",
   TEXT(
     (
       (AE1017+AD1017 + IF(AE1017+AD1017 &lt; W1017+X1017,1,0)) - (W1017+X1017)
     )
     - IF(AND(AB1017&lt;&gt;"""",AC1017&lt;&gt;""""), 
          SUM(ARRAYFORMULA(SPLIT(AC1017,"","") - SPLI"&amp;"T(AB1017,"",""))), 
          0
       ),
     ""[hh]:mm""
   )
)
"),"01:50")</f>
        <v>01:50</v>
      </c>
      <c r="AJ1017" s="27">
        <f t="shared" si="16"/>
        <v>0</v>
      </c>
      <c r="AK1017" s="63" t="str">
        <f t="shared" si="17"/>
        <v>Pass</v>
      </c>
    </row>
    <row r="1018">
      <c r="A1018" s="45">
        <v>45999.0</v>
      </c>
      <c r="B1018" s="49">
        <v>0.5194444444444445</v>
      </c>
      <c r="C1018" s="45">
        <v>45999.0</v>
      </c>
      <c r="D1018" s="49">
        <v>0.30972222222222223</v>
      </c>
      <c r="E1018" s="21" t="s">
        <v>7683</v>
      </c>
      <c r="F1018" s="21" t="s">
        <v>2216</v>
      </c>
      <c r="G1018" s="21" t="s">
        <v>2330</v>
      </c>
      <c r="H1018" s="21" t="s">
        <v>566</v>
      </c>
      <c r="I1018" s="21" t="s">
        <v>60</v>
      </c>
      <c r="J1018" s="21" t="s">
        <v>3813</v>
      </c>
      <c r="K1018" s="21" t="s">
        <v>61</v>
      </c>
      <c r="L1018" s="21" t="s">
        <v>757</v>
      </c>
      <c r="M1018" s="21" t="s">
        <v>7684</v>
      </c>
      <c r="N1018" s="21" t="s">
        <v>7685</v>
      </c>
      <c r="O1018" s="48" t="s">
        <v>7686</v>
      </c>
      <c r="P1018" s="21" t="s">
        <v>48</v>
      </c>
      <c r="Q1018" s="24" t="s">
        <v>65</v>
      </c>
      <c r="R1018" s="21" t="s">
        <v>7687</v>
      </c>
      <c r="S1018" s="21" t="s">
        <v>51</v>
      </c>
      <c r="T1018" s="21" t="s">
        <v>52</v>
      </c>
      <c r="U1018" s="21" t="s">
        <v>52</v>
      </c>
      <c r="V1018" s="21" t="s">
        <v>52</v>
      </c>
      <c r="W1018" s="45">
        <v>45999.0</v>
      </c>
      <c r="X1018" s="49">
        <v>0.30972222222222223</v>
      </c>
      <c r="Y1018" s="45">
        <v>45999.0</v>
      </c>
      <c r="Z1018" s="49">
        <v>0.4444444444444444</v>
      </c>
      <c r="AA1018" s="49">
        <v>0.4513888888888889</v>
      </c>
      <c r="AB1018" s="29"/>
      <c r="AC1018" s="29"/>
      <c r="AD1018" s="25">
        <v>0.5590277777777778</v>
      </c>
      <c r="AE1018" s="45">
        <v>45999.0</v>
      </c>
      <c r="AF1018" s="21" t="s">
        <v>3218</v>
      </c>
      <c r="AG1018" s="21" t="s">
        <v>583</v>
      </c>
      <c r="AH1018" s="21" t="s">
        <v>7688</v>
      </c>
      <c r="AI1018" s="62" t="str">
        <f>IFERROR(__xludf.DUMMYFUNCTION("IF(OR(W1018="""",X1018="""",AE1018="""",AD1018=""""),"""",
   TEXT(
     (
       (AE1018+AD1018 + IF(AE1018+AD1018 &lt; W1018+X1018,1,0)) - (W1018+X1018)
     )
     - IF(AND(AB1018&lt;&gt;"""",AC1018&lt;&gt;""""), 
          SUM(ARRAYFORMULA(SPLIT(AC1018,"","") - SPLI"&amp;"T(AB1018,"",""))), 
          0
       ),
     ""[hh]:mm""
   )
)
"),"05:59")</f>
        <v>05:59</v>
      </c>
      <c r="AJ1018" s="27">
        <f t="shared" si="16"/>
        <v>0</v>
      </c>
      <c r="AK1018" s="63" t="str">
        <f t="shared" si="17"/>
        <v>Pass</v>
      </c>
    </row>
    <row r="1019">
      <c r="A1019" s="45">
        <v>45999.0</v>
      </c>
      <c r="B1019" s="49">
        <v>0.19236111111111112</v>
      </c>
      <c r="C1019" s="45">
        <v>45999.0</v>
      </c>
      <c r="D1019" s="49">
        <v>0.3145833333333333</v>
      </c>
      <c r="E1019" s="21" t="s">
        <v>7689</v>
      </c>
      <c r="F1019" s="21" t="s">
        <v>3490</v>
      </c>
      <c r="G1019" s="21" t="s">
        <v>3641</v>
      </c>
      <c r="H1019" s="21" t="s">
        <v>1422</v>
      </c>
      <c r="I1019" s="21" t="s">
        <v>107</v>
      </c>
      <c r="J1019" s="21" t="s">
        <v>3806</v>
      </c>
      <c r="K1019" s="21" t="s">
        <v>43</v>
      </c>
      <c r="L1019" s="21" t="s">
        <v>7690</v>
      </c>
      <c r="M1019" s="21" t="s">
        <v>7691</v>
      </c>
      <c r="N1019" s="21" t="s">
        <v>7692</v>
      </c>
      <c r="O1019" s="48" t="s">
        <v>7693</v>
      </c>
      <c r="P1019" s="21" t="s">
        <v>48</v>
      </c>
      <c r="Q1019" s="24" t="s">
        <v>65</v>
      </c>
      <c r="R1019" s="21" t="s">
        <v>7694</v>
      </c>
      <c r="S1019" s="21" t="s">
        <v>51</v>
      </c>
      <c r="T1019" s="21" t="s">
        <v>52</v>
      </c>
      <c r="U1019" s="21" t="s">
        <v>52</v>
      </c>
      <c r="V1019" s="21" t="s">
        <v>52</v>
      </c>
      <c r="W1019" s="45">
        <v>45999.0</v>
      </c>
      <c r="X1019" s="49">
        <v>0.3145833333333333</v>
      </c>
      <c r="Y1019" s="45">
        <v>45999.0</v>
      </c>
      <c r="Z1019" s="49">
        <v>0.38958333333333334</v>
      </c>
      <c r="AA1019" s="49">
        <v>0.3958333333333333</v>
      </c>
      <c r="AB1019" s="29"/>
      <c r="AC1019" s="29"/>
      <c r="AD1019" s="25">
        <v>0.4236111111111111</v>
      </c>
      <c r="AE1019" s="45">
        <v>45999.0</v>
      </c>
      <c r="AF1019" s="21" t="s">
        <v>3218</v>
      </c>
      <c r="AG1019" s="21" t="s">
        <v>67</v>
      </c>
      <c r="AH1019" s="21" t="s">
        <v>7695</v>
      </c>
      <c r="AI1019" s="62" t="str">
        <f>IFERROR(__xludf.DUMMYFUNCTION("IF(OR(W1019="""",X1019="""",AE1019="""",AD1019=""""),"""",
   TEXT(
     (
       (AE1019+AD1019 + IF(AE1019+AD1019 &lt; W1019+X1019,1,0)) - (W1019+X1019)
     )
     - IF(AND(AB1019&lt;&gt;"""",AC1019&lt;&gt;""""), 
          SUM(ARRAYFORMULA(SPLIT(AC1019,"","") - SPLI"&amp;"T(AB1019,"",""))), 
          0
       ),
     ""[hh]:mm""
   )
)
"),"02:37")</f>
        <v>02:37</v>
      </c>
      <c r="AJ1019" s="27">
        <f t="shared" si="16"/>
        <v>0</v>
      </c>
      <c r="AK1019" s="63" t="str">
        <f t="shared" si="17"/>
        <v>Pass</v>
      </c>
    </row>
    <row r="1020">
      <c r="A1020" s="18">
        <v>45999.0</v>
      </c>
      <c r="B1020" s="20">
        <v>0.30694444444444446</v>
      </c>
      <c r="C1020" s="18">
        <v>45999.0</v>
      </c>
      <c r="D1020" s="20">
        <v>0.3173611111111111</v>
      </c>
      <c r="E1020" s="22" t="s">
        <v>7696</v>
      </c>
      <c r="F1020" s="22" t="s">
        <v>316</v>
      </c>
      <c r="G1020" s="22" t="s">
        <v>317</v>
      </c>
      <c r="H1020" s="22" t="s">
        <v>156</v>
      </c>
      <c r="I1020" s="22" t="s">
        <v>2026</v>
      </c>
      <c r="J1020" s="22" t="s">
        <v>2253</v>
      </c>
      <c r="K1020" s="22" t="s">
        <v>43</v>
      </c>
      <c r="L1020" s="22" t="s">
        <v>617</v>
      </c>
      <c r="M1020" s="22" t="s">
        <v>7697</v>
      </c>
      <c r="N1020" s="22" t="s">
        <v>7698</v>
      </c>
      <c r="O1020" s="23" t="s">
        <v>7699</v>
      </c>
      <c r="P1020" s="22" t="s">
        <v>75</v>
      </c>
      <c r="Q1020" s="50" t="s">
        <v>49</v>
      </c>
      <c r="R1020" s="102" t="s">
        <v>7700</v>
      </c>
      <c r="S1020" s="22" t="s">
        <v>51</v>
      </c>
      <c r="T1020" s="22" t="s">
        <v>6676</v>
      </c>
      <c r="U1020" s="22" t="s">
        <v>7701</v>
      </c>
      <c r="V1020" s="22" t="s">
        <v>7697</v>
      </c>
      <c r="W1020" s="18">
        <v>45999.0</v>
      </c>
      <c r="X1020" s="20">
        <v>0.3888888888888889</v>
      </c>
      <c r="Y1020" s="18">
        <v>45999.0</v>
      </c>
      <c r="Z1020" s="20">
        <v>0.42916666666666664</v>
      </c>
      <c r="AA1020" s="20">
        <v>0.4305555555555556</v>
      </c>
      <c r="AB1020" s="50" t="s">
        <v>7702</v>
      </c>
      <c r="AC1020" s="50" t="s">
        <v>7703</v>
      </c>
      <c r="AD1020" s="51">
        <v>0.6041666666666666</v>
      </c>
      <c r="AE1020" s="18">
        <v>45999.0</v>
      </c>
      <c r="AF1020" s="22" t="s">
        <v>2931</v>
      </c>
      <c r="AG1020" s="22" t="s">
        <v>1482</v>
      </c>
      <c r="AH1020" s="22" t="s">
        <v>7704</v>
      </c>
      <c r="AI1020" s="26" t="str">
        <f>IFERROR(__xludf.DUMMYFUNCTION("IF(OR(W1020="""",X1020="""",AE1020="""",AD1020=""""),"""",
   TEXT(
     (
       (AE1020+AD1020 + IF(AE1020+AD1020 &lt; W1020+X1020,1,0)) - (W1020+X1020)
     )
     - IF(AND(AB1020&lt;&gt;"""",AC1020&lt;&gt;""""), 
          SUM(ARRAYFORMULA(SPLIT(AC1020,"","") - SPLI"&amp;"T(AB1020,"",""))), 
          0
       ),
     ""[hh]:mm""
   )
)
"),"01:34")</f>
        <v>01:34</v>
      </c>
      <c r="AJ1020" s="55">
        <f t="shared" si="16"/>
        <v>0</v>
      </c>
      <c r="AK1020" s="28" t="str">
        <f t="shared" si="17"/>
        <v>Pass</v>
      </c>
    </row>
    <row r="1021">
      <c r="A1021" s="45">
        <v>45999.0</v>
      </c>
      <c r="B1021" s="49">
        <v>0.34305555555555556</v>
      </c>
      <c r="C1021" s="45">
        <v>45999.0</v>
      </c>
      <c r="D1021" s="49">
        <v>0.34305555555555556</v>
      </c>
      <c r="E1021" s="21" t="s">
        <v>7705</v>
      </c>
      <c r="F1021" s="21" t="s">
        <v>3127</v>
      </c>
      <c r="G1021" s="21" t="s">
        <v>3128</v>
      </c>
      <c r="H1021" s="21" t="s">
        <v>1610</v>
      </c>
      <c r="I1021" s="21" t="s">
        <v>1612</v>
      </c>
      <c r="J1021" s="21" t="s">
        <v>1612</v>
      </c>
      <c r="K1021" s="21" t="s">
        <v>143</v>
      </c>
      <c r="L1021" s="21" t="s">
        <v>7706</v>
      </c>
      <c r="M1021" s="21" t="s">
        <v>7707</v>
      </c>
      <c r="N1021" s="21" t="s">
        <v>7708</v>
      </c>
      <c r="O1021" s="48" t="s">
        <v>7709</v>
      </c>
      <c r="P1021" s="21" t="s">
        <v>187</v>
      </c>
      <c r="Q1021" s="24" t="s">
        <v>65</v>
      </c>
      <c r="R1021" s="21" t="s">
        <v>5822</v>
      </c>
      <c r="S1021" s="21" t="s">
        <v>51</v>
      </c>
      <c r="T1021" s="21" t="s">
        <v>52</v>
      </c>
      <c r="U1021" s="21" t="s">
        <v>52</v>
      </c>
      <c r="V1021" s="21" t="s">
        <v>52</v>
      </c>
      <c r="W1021" s="45">
        <v>45999.0</v>
      </c>
      <c r="X1021" s="49">
        <v>0.34305555555555556</v>
      </c>
      <c r="Y1021" s="45">
        <v>45999.0</v>
      </c>
      <c r="Z1021" s="49">
        <v>0.3972222222222222</v>
      </c>
      <c r="AA1021" s="49">
        <v>0.39791666666666664</v>
      </c>
      <c r="AB1021" s="29"/>
      <c r="AC1021" s="29"/>
      <c r="AD1021" s="25">
        <v>0.4875</v>
      </c>
      <c r="AE1021" s="45">
        <v>45999.0</v>
      </c>
      <c r="AF1021" s="21" t="s">
        <v>7020</v>
      </c>
      <c r="AG1021" s="21" t="s">
        <v>3955</v>
      </c>
      <c r="AH1021" s="21" t="s">
        <v>7710</v>
      </c>
      <c r="AI1021" s="62" t="str">
        <f>IFERROR(__xludf.DUMMYFUNCTION("IF(OR(W1021="""",X1021="""",AE1021="""",AD1021=""""),"""",
   TEXT(
     (
       (AE1021+AD1021 + IF(AE1021+AD1021 &lt; W1021+X1021,1,0)) - (W1021+X1021)
     )
     - IF(AND(AB1021&lt;&gt;"""",AC1021&lt;&gt;""""), 
          SUM(ARRAYFORMULA(SPLIT(AC1021,"","") - SPLI"&amp;"T(AB1021,"",""))), 
          0
       ),
     ""[hh]:mm""
   )
)
"),"03:28")</f>
        <v>03:28</v>
      </c>
      <c r="AJ1021" s="27">
        <f t="shared" si="16"/>
        <v>0</v>
      </c>
      <c r="AK1021" s="63" t="str">
        <f t="shared" si="17"/>
        <v>Pass</v>
      </c>
    </row>
    <row r="1022">
      <c r="A1022" s="18">
        <v>45999.0</v>
      </c>
      <c r="B1022" s="20">
        <v>0.38125</v>
      </c>
      <c r="C1022" s="18">
        <v>45999.0</v>
      </c>
      <c r="D1022" s="20">
        <v>0.3840277777777778</v>
      </c>
      <c r="E1022" s="22" t="s">
        <v>7711</v>
      </c>
      <c r="F1022" s="22" t="s">
        <v>4686</v>
      </c>
      <c r="G1022" s="22" t="s">
        <v>4687</v>
      </c>
      <c r="H1022" s="22" t="s">
        <v>156</v>
      </c>
      <c r="I1022" s="22" t="s">
        <v>2026</v>
      </c>
      <c r="J1022" s="22" t="s">
        <v>2253</v>
      </c>
      <c r="K1022" s="22" t="s">
        <v>43</v>
      </c>
      <c r="L1022" s="22" t="s">
        <v>3906</v>
      </c>
      <c r="M1022" s="22" t="s">
        <v>7712</v>
      </c>
      <c r="N1022" s="22" t="s">
        <v>7713</v>
      </c>
      <c r="O1022" s="23" t="s">
        <v>7714</v>
      </c>
      <c r="P1022" s="22" t="s">
        <v>75</v>
      </c>
      <c r="Q1022" s="50" t="s">
        <v>49</v>
      </c>
      <c r="R1022" s="21" t="s">
        <v>7715</v>
      </c>
      <c r="S1022" s="22" t="s">
        <v>51</v>
      </c>
      <c r="T1022" s="22" t="s">
        <v>6676</v>
      </c>
      <c r="U1022" s="22" t="s">
        <v>7716</v>
      </c>
      <c r="V1022" s="22" t="s">
        <v>7712</v>
      </c>
      <c r="W1022" s="18">
        <v>45999.0</v>
      </c>
      <c r="X1022" s="20">
        <v>0.3840277777777778</v>
      </c>
      <c r="Y1022" s="18">
        <v>45999.0</v>
      </c>
      <c r="Z1022" s="20">
        <v>0.5256944444444445</v>
      </c>
      <c r="AA1022" s="20">
        <v>0.5277777777777778</v>
      </c>
      <c r="AB1022" s="50" t="s">
        <v>7717</v>
      </c>
      <c r="AC1022" s="50" t="s">
        <v>7718</v>
      </c>
      <c r="AD1022" s="51">
        <v>0.6527777777777778</v>
      </c>
      <c r="AE1022" s="18">
        <v>45999.0</v>
      </c>
      <c r="AF1022" s="22" t="s">
        <v>7020</v>
      </c>
      <c r="AG1022" s="22" t="s">
        <v>102</v>
      </c>
      <c r="AH1022" s="22" t="s">
        <v>4691</v>
      </c>
      <c r="AI1022" s="26" t="str">
        <f>IFERROR(__xludf.DUMMYFUNCTION("IF(OR(W1022="""",X1022="""",AE1022="""",AD1022=""""),"""",
   TEXT(
     (
       (AE1022+AD1022 + IF(AE1022+AD1022 &lt; W1022+X1022,1,0)) - (W1022+X1022)
     )
     - IF(AND(AB1022&lt;&gt;"""",AC1022&lt;&gt;""""), 
          SUM(ARRAYFORMULA(SPLIT(AC1022,"","") - SPLI"&amp;"T(AB1022,"",""))), 
          0
       ),
     ""[hh]:mm""
   )
)
"),"03:47")</f>
        <v>03:47</v>
      </c>
      <c r="AJ1022" s="55">
        <f t="shared" si="16"/>
        <v>0</v>
      </c>
      <c r="AK1022" s="28" t="str">
        <f t="shared" si="17"/>
        <v>Pass</v>
      </c>
    </row>
    <row r="1023">
      <c r="A1023" s="18">
        <v>45999.0</v>
      </c>
      <c r="B1023" s="20">
        <v>0.43472222222222223</v>
      </c>
      <c r="C1023" s="18">
        <v>45999.0</v>
      </c>
      <c r="D1023" s="20">
        <v>0.4395833333333333</v>
      </c>
      <c r="E1023" s="22" t="s">
        <v>7719</v>
      </c>
      <c r="F1023" s="22" t="s">
        <v>6821</v>
      </c>
      <c r="G1023" s="22" t="s">
        <v>6822</v>
      </c>
      <c r="H1023" s="22" t="s">
        <v>142</v>
      </c>
      <c r="I1023" s="22" t="s">
        <v>951</v>
      </c>
      <c r="J1023" s="22" t="s">
        <v>95</v>
      </c>
      <c r="K1023" s="22" t="s">
        <v>143</v>
      </c>
      <c r="L1023" s="22" t="s">
        <v>606</v>
      </c>
      <c r="M1023" s="22" t="s">
        <v>7720</v>
      </c>
      <c r="N1023" s="22" t="s">
        <v>7721</v>
      </c>
      <c r="O1023" s="23" t="s">
        <v>7722</v>
      </c>
      <c r="P1023" s="22" t="s">
        <v>48</v>
      </c>
      <c r="Q1023" s="50" t="s">
        <v>65</v>
      </c>
      <c r="R1023" s="22" t="s">
        <v>7723</v>
      </c>
      <c r="S1023" s="22" t="s">
        <v>51</v>
      </c>
      <c r="T1023" s="22" t="s">
        <v>52</v>
      </c>
      <c r="U1023" s="22" t="s">
        <v>52</v>
      </c>
      <c r="V1023" s="22" t="s">
        <v>52</v>
      </c>
      <c r="W1023" s="18">
        <v>45999.0</v>
      </c>
      <c r="X1023" s="20">
        <v>0.4395833333333333</v>
      </c>
      <c r="Y1023" s="18">
        <v>45999.0</v>
      </c>
      <c r="Z1023" s="20">
        <v>0.56875</v>
      </c>
      <c r="AA1023" s="20">
        <v>0.5701388888888889</v>
      </c>
      <c r="AB1023" s="51">
        <v>0.5701388888888889</v>
      </c>
      <c r="AC1023" s="51">
        <v>0.5993055555555555</v>
      </c>
      <c r="AD1023" s="77">
        <v>0.625</v>
      </c>
      <c r="AE1023" s="18">
        <v>45999.0</v>
      </c>
      <c r="AF1023" s="22" t="s">
        <v>2828</v>
      </c>
      <c r="AG1023" s="22" t="s">
        <v>4384</v>
      </c>
      <c r="AH1023" s="22" t="s">
        <v>7724</v>
      </c>
      <c r="AI1023" s="26" t="str">
        <f>IFERROR(__xludf.DUMMYFUNCTION("IF(OR(W1023="""",X1023="""",AE1023="""",AD1023=""""),"""",
   TEXT(
     (
       (AE1023+AD1023 + IF(AE1023+AD1023 &lt; W1023+X1023,1,0)) - (W1023+X1023)
     )
     - IF(AND(AB1023&lt;&gt;"""",AC1023&lt;&gt;""""), 
          SUM(ARRAYFORMULA(SPLIT(AC1023,"","") - SPLI"&amp;"T(AB1023,"",""))), 
          0
       ),
     ""[hh]:mm""
   )
)
"),"03:45")</f>
        <v>03:45</v>
      </c>
      <c r="AJ1023" s="55">
        <f t="shared" si="16"/>
        <v>0</v>
      </c>
      <c r="AK1023" s="28" t="str">
        <f t="shared" si="17"/>
        <v>Pass</v>
      </c>
    </row>
    <row r="1024">
      <c r="A1024" s="45">
        <v>45999.0</v>
      </c>
      <c r="B1024" s="49">
        <v>0.4618055555555556</v>
      </c>
      <c r="C1024" s="45">
        <v>45999.0</v>
      </c>
      <c r="D1024" s="49">
        <v>0.4618055555555556</v>
      </c>
      <c r="E1024" s="21" t="s">
        <v>7725</v>
      </c>
      <c r="F1024" s="21" t="s">
        <v>473</v>
      </c>
      <c r="G1024" s="21" t="s">
        <v>474</v>
      </c>
      <c r="H1024" s="21" t="s">
        <v>156</v>
      </c>
      <c r="I1024" s="21" t="s">
        <v>2026</v>
      </c>
      <c r="J1024" s="21" t="s">
        <v>2253</v>
      </c>
      <c r="K1024" s="21" t="s">
        <v>43</v>
      </c>
      <c r="L1024" s="21" t="s">
        <v>617</v>
      </c>
      <c r="M1024" s="21" t="s">
        <v>3121</v>
      </c>
      <c r="N1024" s="21" t="s">
        <v>7726</v>
      </c>
      <c r="O1024" s="48" t="s">
        <v>7727</v>
      </c>
      <c r="P1024" s="21" t="s">
        <v>75</v>
      </c>
      <c r="Q1024" s="24" t="s">
        <v>65</v>
      </c>
      <c r="R1024" s="102" t="s">
        <v>7700</v>
      </c>
      <c r="S1024" s="21" t="s">
        <v>51</v>
      </c>
      <c r="T1024" s="22" t="s">
        <v>6676</v>
      </c>
      <c r="U1024" s="21" t="s">
        <v>7728</v>
      </c>
      <c r="V1024" s="21" t="s">
        <v>3121</v>
      </c>
      <c r="W1024" s="45">
        <v>45999.0</v>
      </c>
      <c r="X1024" s="49">
        <v>0.4618055555555556</v>
      </c>
      <c r="Y1024" s="45">
        <v>45999.0</v>
      </c>
      <c r="Z1024" s="49">
        <v>0.5236111111111111</v>
      </c>
      <c r="AA1024" s="49">
        <v>0.5277777777777778</v>
      </c>
      <c r="AB1024" s="25">
        <v>0.53125</v>
      </c>
      <c r="AC1024" s="25">
        <v>0.5763888888888888</v>
      </c>
      <c r="AD1024" s="25">
        <v>0.5840277777777778</v>
      </c>
      <c r="AE1024" s="45">
        <v>45999.0</v>
      </c>
      <c r="AF1024" s="21" t="s">
        <v>7020</v>
      </c>
      <c r="AG1024" s="21" t="s">
        <v>67</v>
      </c>
      <c r="AH1024" s="21" t="s">
        <v>7729</v>
      </c>
      <c r="AI1024" s="26" t="str">
        <f>IFERROR(__xludf.DUMMYFUNCTION("IF(OR(W1024="""",X1024="""",AE1024="""",AD1024=""""),"""",
   TEXT(
     (
       (AE1024+AD1024 + IF(AE1024+AD1024 &lt; W1024+X1024,1,0)) - (W1024+X1024)
     )
     - IF(AND(AB1024&lt;&gt;"""",AC1024&lt;&gt;""""), 
          SUM(ARRAYFORMULA(SPLIT(AC1024,"","") - SPLI"&amp;"T(AB1024,"",""))), 
          0
       ),
     ""[hh]:mm""
   )
)
"),"01:51")</f>
        <v>01:51</v>
      </c>
      <c r="AJ1024" s="55">
        <f t="shared" si="16"/>
        <v>0</v>
      </c>
      <c r="AK1024" s="28" t="str">
        <f t="shared" si="17"/>
        <v>Pass</v>
      </c>
    </row>
    <row r="1025">
      <c r="A1025" s="45">
        <v>45999.0</v>
      </c>
      <c r="B1025" s="49">
        <v>0.42916666666666664</v>
      </c>
      <c r="C1025" s="45">
        <v>45999.0</v>
      </c>
      <c r="D1025" s="49">
        <v>0.42916666666666664</v>
      </c>
      <c r="E1025" s="21" t="s">
        <v>7730</v>
      </c>
      <c r="F1025" s="21" t="s">
        <v>316</v>
      </c>
      <c r="G1025" s="21" t="s">
        <v>317</v>
      </c>
      <c r="H1025" s="21" t="s">
        <v>566</v>
      </c>
      <c r="I1025" s="21" t="s">
        <v>107</v>
      </c>
      <c r="J1025" s="21" t="s">
        <v>3806</v>
      </c>
      <c r="K1025" s="21" t="s">
        <v>43</v>
      </c>
      <c r="L1025" s="21" t="s">
        <v>7731</v>
      </c>
      <c r="M1025" s="21" t="s">
        <v>7732</v>
      </c>
      <c r="N1025" s="21" t="s">
        <v>7698</v>
      </c>
      <c r="O1025" s="48" t="s">
        <v>7733</v>
      </c>
      <c r="P1025" s="21" t="s">
        <v>48</v>
      </c>
      <c r="Q1025" s="24" t="s">
        <v>65</v>
      </c>
      <c r="R1025" s="21" t="s">
        <v>7734</v>
      </c>
      <c r="S1025" s="21" t="s">
        <v>51</v>
      </c>
      <c r="T1025" s="21" t="s">
        <v>52</v>
      </c>
      <c r="U1025" s="21" t="s">
        <v>52</v>
      </c>
      <c r="V1025" s="21" t="s">
        <v>52</v>
      </c>
      <c r="W1025" s="45">
        <v>45999.0</v>
      </c>
      <c r="X1025" s="49">
        <v>0.42916666666666664</v>
      </c>
      <c r="Y1025" s="45">
        <v>45999.0</v>
      </c>
      <c r="Z1025" s="49">
        <v>0.42916666666666664</v>
      </c>
      <c r="AA1025" s="49">
        <v>0.4305555555555556</v>
      </c>
      <c r="AB1025" s="29"/>
      <c r="AC1025" s="29"/>
      <c r="AD1025" s="25">
        <v>0.45694444444444443</v>
      </c>
      <c r="AE1025" s="45">
        <v>45999.0</v>
      </c>
      <c r="AF1025" s="21" t="s">
        <v>33</v>
      </c>
      <c r="AG1025" s="21" t="s">
        <v>1482</v>
      </c>
      <c r="AH1025" s="21" t="s">
        <v>7735</v>
      </c>
      <c r="AI1025" s="26" t="str">
        <f>IFERROR(__xludf.DUMMYFUNCTION("IF(OR(W1025="""",X1025="""",AE1025="""",AD1025=""""),"""",
   TEXT(
     (
       (AE1025+AD1025 + IF(AE1025+AD1025 &lt; W1025+X1025,1,0)) - (W1025+X1025)
     )
     - IF(AND(AB1025&lt;&gt;"""",AC1025&lt;&gt;""""), 
          SUM(ARRAYFORMULA(SPLIT(AC1025,"","") - SPLI"&amp;"T(AB1025,"",""))), 
          0
       ),
     ""[hh]:mm""
   )
)
"),"00:40")</f>
        <v>00:40</v>
      </c>
      <c r="AJ1025" s="55">
        <f t="shared" si="16"/>
        <v>0</v>
      </c>
      <c r="AK1025" s="28" t="str">
        <f t="shared" si="17"/>
        <v>Pass</v>
      </c>
    </row>
    <row r="1026">
      <c r="A1026" s="18">
        <v>46000.0</v>
      </c>
      <c r="B1026" s="20">
        <v>0.07430555555555556</v>
      </c>
      <c r="C1026" s="18">
        <v>45999.0</v>
      </c>
      <c r="D1026" s="20">
        <v>0.29791666666666666</v>
      </c>
      <c r="E1026" s="22" t="s">
        <v>7736</v>
      </c>
      <c r="F1026" s="22" t="s">
        <v>949</v>
      </c>
      <c r="G1026" s="22" t="s">
        <v>7286</v>
      </c>
      <c r="H1026" s="22" t="s">
        <v>1450</v>
      </c>
      <c r="I1026" s="22" t="s">
        <v>1135</v>
      </c>
      <c r="J1026" s="22" t="s">
        <v>2655</v>
      </c>
      <c r="K1026" s="22" t="s">
        <v>43</v>
      </c>
      <c r="L1026" s="22" t="s">
        <v>1666</v>
      </c>
      <c r="M1026" s="22">
        <v>2.01905310135E11</v>
      </c>
      <c r="N1026" s="22" t="s">
        <v>7737</v>
      </c>
      <c r="O1026" s="23" t="s">
        <v>7738</v>
      </c>
      <c r="P1026" s="22" t="s">
        <v>75</v>
      </c>
      <c r="Q1026" s="50" t="s">
        <v>65</v>
      </c>
      <c r="R1026" s="22" t="s">
        <v>188</v>
      </c>
      <c r="S1026" s="22" t="s">
        <v>51</v>
      </c>
      <c r="T1026" s="22" t="s">
        <v>52</v>
      </c>
      <c r="U1026" s="22" t="s">
        <v>52</v>
      </c>
      <c r="V1026" s="22" t="s">
        <v>52</v>
      </c>
      <c r="W1026" s="18">
        <v>46000.0</v>
      </c>
      <c r="X1026" s="20">
        <v>0.29791666666666666</v>
      </c>
      <c r="Y1026" s="18">
        <v>46000.0</v>
      </c>
      <c r="Z1026" s="20">
        <v>0.6465277777777778</v>
      </c>
      <c r="AA1026" s="20">
        <v>0.6527777777777778</v>
      </c>
      <c r="AB1026" s="54"/>
      <c r="AC1026" s="54"/>
      <c r="AD1026" s="51">
        <v>0.6875</v>
      </c>
      <c r="AE1026" s="18">
        <v>46000.0</v>
      </c>
      <c r="AF1026" s="22" t="s">
        <v>3218</v>
      </c>
      <c r="AG1026" s="22" t="s">
        <v>6787</v>
      </c>
      <c r="AH1026" s="22" t="s">
        <v>7739</v>
      </c>
      <c r="AI1026" s="26" t="str">
        <f>IFERROR(__xludf.DUMMYFUNCTION("IF(OR(W1026="""",X1026="""",AE1026="""",AD1026=""""),"""",
   TEXT(
     (
       (AE1026+AD1026 + IF(AE1026+AD1026 &lt; W1026+X1026,1,0)) - (W1026+X1026)
     )
     - IF(AND(AB1026&lt;&gt;"""",AC1026&lt;&gt;""""), 
          SUM(ARRAYFORMULA(SPLIT(AC1026,"","") - SPLI"&amp;"T(AB1026,"",""))), 
          0
       ),
     ""[hh]:mm""
   )
)
"),"09:21")</f>
        <v>09:21</v>
      </c>
      <c r="AJ1026" s="55">
        <f t="shared" si="16"/>
        <v>0</v>
      </c>
      <c r="AK1026" s="28" t="str">
        <f t="shared" si="17"/>
        <v>Pass</v>
      </c>
    </row>
    <row r="1027">
      <c r="A1027" s="18">
        <v>46000.0</v>
      </c>
      <c r="B1027" s="20">
        <v>0.31180555555555556</v>
      </c>
      <c r="C1027" s="18">
        <v>46000.0</v>
      </c>
      <c r="D1027" s="20">
        <v>0.31319444444444444</v>
      </c>
      <c r="E1027" s="22" t="s">
        <v>7740</v>
      </c>
      <c r="F1027" s="22" t="s">
        <v>363</v>
      </c>
      <c r="G1027" s="22" t="s">
        <v>364</v>
      </c>
      <c r="H1027" s="22" t="s">
        <v>566</v>
      </c>
      <c r="I1027" s="22" t="s">
        <v>7741</v>
      </c>
      <c r="J1027" s="22" t="s">
        <v>95</v>
      </c>
      <c r="K1027" s="22" t="s">
        <v>52</v>
      </c>
      <c r="L1027" s="22" t="s">
        <v>52</v>
      </c>
      <c r="M1027" s="22" t="s">
        <v>52</v>
      </c>
      <c r="N1027" s="22" t="s">
        <v>7742</v>
      </c>
      <c r="O1027" s="23" t="s">
        <v>7743</v>
      </c>
      <c r="P1027" s="22" t="s">
        <v>48</v>
      </c>
      <c r="Q1027" s="50" t="s">
        <v>49</v>
      </c>
      <c r="R1027" s="22" t="s">
        <v>7744</v>
      </c>
      <c r="S1027" s="22" t="s">
        <v>51</v>
      </c>
      <c r="T1027" s="22" t="s">
        <v>52</v>
      </c>
      <c r="U1027" s="22" t="s">
        <v>52</v>
      </c>
      <c r="V1027" s="22" t="s">
        <v>52</v>
      </c>
      <c r="W1027" s="18">
        <v>46000.0</v>
      </c>
      <c r="X1027" s="20">
        <v>0.31319444444444444</v>
      </c>
      <c r="Y1027" s="18">
        <v>46000.0</v>
      </c>
      <c r="Z1027" s="20">
        <v>0.4583333333333333</v>
      </c>
      <c r="AA1027" s="20">
        <v>0.4618055555555556</v>
      </c>
      <c r="AB1027" s="51">
        <v>0.4791666666666667</v>
      </c>
      <c r="AC1027" s="51">
        <v>0.5</v>
      </c>
      <c r="AD1027" s="51">
        <v>0.5</v>
      </c>
      <c r="AE1027" s="18">
        <v>46000.0</v>
      </c>
      <c r="AF1027" s="22" t="s">
        <v>2931</v>
      </c>
      <c r="AG1027" s="22" t="s">
        <v>78</v>
      </c>
      <c r="AH1027" s="22" t="s">
        <v>7745</v>
      </c>
      <c r="AI1027" s="26" t="str">
        <f>IFERROR(__xludf.DUMMYFUNCTION("IF(OR(W1027="""",X1027="""",AE1027="""",AD1027=""""),"""",
   TEXT(
     (
       (AE1027+AD1027 + IF(AE1027+AD1027 &lt; W1027+X1027,1,0)) - (W1027+X1027)
     )
     - IF(AND(AB1027&lt;&gt;"""",AC1027&lt;&gt;""""), 
          SUM(ARRAYFORMULA(SPLIT(AC1027,"","") - SPLI"&amp;"T(AB1027,"",""))), 
          0
       ),
     ""[hh]:mm""
   )
)
"),"03:59")</f>
        <v>03:59</v>
      </c>
      <c r="AJ1027" s="55">
        <f t="shared" si="16"/>
        <v>0</v>
      </c>
      <c r="AK1027" s="28" t="str">
        <f t="shared" si="17"/>
        <v>Pass</v>
      </c>
    </row>
    <row r="1028">
      <c r="A1028" s="18">
        <v>46000.0</v>
      </c>
      <c r="B1028" s="20">
        <v>0.31875</v>
      </c>
      <c r="C1028" s="18">
        <v>46000.0</v>
      </c>
      <c r="D1028" s="20">
        <v>0.3284722222222222</v>
      </c>
      <c r="E1028" s="22" t="s">
        <v>7746</v>
      </c>
      <c r="F1028" s="22" t="s">
        <v>2492</v>
      </c>
      <c r="G1028" s="22" t="s">
        <v>4959</v>
      </c>
      <c r="H1028" s="22" t="s">
        <v>566</v>
      </c>
      <c r="I1028" s="22" t="s">
        <v>1745</v>
      </c>
      <c r="J1028" s="22" t="s">
        <v>1745</v>
      </c>
      <c r="K1028" s="22" t="s">
        <v>2353</v>
      </c>
      <c r="L1028" s="22" t="s">
        <v>7747</v>
      </c>
      <c r="M1028" s="22" t="s">
        <v>7748</v>
      </c>
      <c r="N1028" s="22" t="s">
        <v>7749</v>
      </c>
      <c r="O1028" s="23" t="s">
        <v>7750</v>
      </c>
      <c r="P1028" s="22" t="s">
        <v>75</v>
      </c>
      <c r="Q1028" s="50" t="s">
        <v>65</v>
      </c>
      <c r="R1028" s="22" t="s">
        <v>7751</v>
      </c>
      <c r="S1028" s="22" t="s">
        <v>51</v>
      </c>
      <c r="T1028" s="22" t="s">
        <v>52</v>
      </c>
      <c r="U1028" s="22" t="s">
        <v>52</v>
      </c>
      <c r="V1028" s="22" t="s">
        <v>52</v>
      </c>
      <c r="W1028" s="18">
        <v>46000.0</v>
      </c>
      <c r="X1028" s="20">
        <v>0.3284722222222222</v>
      </c>
      <c r="Y1028" s="18">
        <v>46000.0</v>
      </c>
      <c r="Z1028" s="20">
        <v>0.4583333333333333</v>
      </c>
      <c r="AA1028" s="20">
        <v>0.4583333333333333</v>
      </c>
      <c r="AB1028" s="54"/>
      <c r="AC1028" s="54"/>
      <c r="AD1028" s="51">
        <v>0.5069444444444444</v>
      </c>
      <c r="AE1028" s="18">
        <v>46000.0</v>
      </c>
      <c r="AF1028" s="22" t="s">
        <v>2730</v>
      </c>
      <c r="AG1028" s="22" t="s">
        <v>7612</v>
      </c>
      <c r="AH1028" s="22" t="s">
        <v>7752</v>
      </c>
      <c r="AI1028" s="26" t="str">
        <f>IFERROR(__xludf.DUMMYFUNCTION("IF(OR(W1028="""",X1028="""",AE1028="""",AD1028=""""),"""",
   TEXT(
     (
       (AE1028+AD1028 + IF(AE1028+AD1028 &lt; W1028+X1028,1,0)) - (W1028+X1028)
     )
     - IF(AND(AB1028&lt;&gt;"""",AC1028&lt;&gt;""""), 
          SUM(ARRAYFORMULA(SPLIT(AC1028,"","") - SPLI"&amp;"T(AB1028,"",""))), 
          0
       ),
     ""[hh]:mm""
   )
)
"),"04:17")</f>
        <v>04:17</v>
      </c>
      <c r="AJ1028" s="55">
        <f t="shared" si="16"/>
        <v>0</v>
      </c>
      <c r="AK1028" s="28" t="str">
        <f t="shared" si="17"/>
        <v>Pass</v>
      </c>
    </row>
    <row r="1029">
      <c r="A1029" s="18">
        <v>46000.0</v>
      </c>
      <c r="B1029" s="20">
        <v>0.3527777777777778</v>
      </c>
      <c r="C1029" s="18">
        <v>46000.0</v>
      </c>
      <c r="D1029" s="20">
        <v>0.3541666666666667</v>
      </c>
      <c r="E1029" s="22" t="s">
        <v>7753</v>
      </c>
      <c r="F1029" s="22" t="s">
        <v>4394</v>
      </c>
      <c r="G1029" s="22" t="s">
        <v>4395</v>
      </c>
      <c r="H1029" s="22" t="s">
        <v>343</v>
      </c>
      <c r="I1029" s="22" t="s">
        <v>644</v>
      </c>
      <c r="J1029" s="22" t="s">
        <v>644</v>
      </c>
      <c r="K1029" s="22" t="s">
        <v>143</v>
      </c>
      <c r="L1029" s="22" t="s">
        <v>52</v>
      </c>
      <c r="M1029" s="22" t="s">
        <v>7754</v>
      </c>
      <c r="N1029" s="22" t="s">
        <v>7755</v>
      </c>
      <c r="O1029" s="23" t="s">
        <v>7756</v>
      </c>
      <c r="P1029" s="22" t="s">
        <v>187</v>
      </c>
      <c r="Q1029" s="50" t="s">
        <v>65</v>
      </c>
      <c r="R1029" s="22" t="s">
        <v>7757</v>
      </c>
      <c r="S1029" s="22" t="s">
        <v>51</v>
      </c>
      <c r="T1029" s="22" t="s">
        <v>52</v>
      </c>
      <c r="U1029" s="22" t="s">
        <v>52</v>
      </c>
      <c r="V1029" s="22" t="s">
        <v>52</v>
      </c>
      <c r="W1029" s="18">
        <v>46000.0</v>
      </c>
      <c r="X1029" s="20">
        <v>0.3541666666666667</v>
      </c>
      <c r="Y1029" s="18">
        <v>46000.0</v>
      </c>
      <c r="Z1029" s="20">
        <v>0.5416666666666666</v>
      </c>
      <c r="AA1029" s="20">
        <v>0.5423611111111111</v>
      </c>
      <c r="AB1029" s="54"/>
      <c r="AC1029" s="54"/>
      <c r="AD1029" s="51">
        <v>0.5972222222222222</v>
      </c>
      <c r="AE1029" s="18">
        <v>46000.0</v>
      </c>
      <c r="AF1029" s="22" t="s">
        <v>3007</v>
      </c>
      <c r="AG1029" s="22" t="s">
        <v>3713</v>
      </c>
      <c r="AH1029" s="22" t="s">
        <v>7758</v>
      </c>
      <c r="AI1029" s="26" t="str">
        <f>IFERROR(__xludf.DUMMYFUNCTION("IF(OR(W1029="""",X1029="""",AE1029="""",AD1029=""""),"""",
   TEXT(
     (
       (AE1029+AD1029 + IF(AE1029+AD1029 &lt; W1029+X1029,1,0)) - (W1029+X1029)
     )
     - IF(AND(AB1029&lt;&gt;"""",AC1029&lt;&gt;""""), 
          SUM(ARRAYFORMULA(SPLIT(AC1029,"","") - SPLI"&amp;"T(AB1029,"",""))), 
          0
       ),
     ""[hh]:mm""
   )
)
"),"05:50")</f>
        <v>05:50</v>
      </c>
      <c r="AJ1029" s="55">
        <f t="shared" si="16"/>
        <v>0</v>
      </c>
      <c r="AK1029" s="28" t="str">
        <f t="shared" si="17"/>
        <v>Pass</v>
      </c>
    </row>
    <row r="1030">
      <c r="A1030" s="18">
        <v>46000.0</v>
      </c>
      <c r="B1030" s="20">
        <v>0.36319444444444443</v>
      </c>
      <c r="C1030" s="18">
        <v>46000.0</v>
      </c>
      <c r="D1030" s="20">
        <v>0.37222222222222223</v>
      </c>
      <c r="E1030" s="22" t="s">
        <v>7759</v>
      </c>
      <c r="F1030" s="22" t="s">
        <v>2193</v>
      </c>
      <c r="G1030" s="22" t="s">
        <v>2194</v>
      </c>
      <c r="H1030" s="22" t="s">
        <v>4631</v>
      </c>
      <c r="I1030" s="22" t="s">
        <v>60</v>
      </c>
      <c r="J1030" s="22" t="s">
        <v>3806</v>
      </c>
      <c r="K1030" s="22" t="s">
        <v>43</v>
      </c>
      <c r="L1030" s="22" t="s">
        <v>2471</v>
      </c>
      <c r="M1030" s="22" t="s">
        <v>5097</v>
      </c>
      <c r="N1030" s="22" t="s">
        <v>7760</v>
      </c>
      <c r="O1030" s="23" t="s">
        <v>7761</v>
      </c>
      <c r="P1030" s="22" t="s">
        <v>187</v>
      </c>
      <c r="Q1030" s="50" t="s">
        <v>65</v>
      </c>
      <c r="R1030" s="22" t="s">
        <v>7762</v>
      </c>
      <c r="S1030" s="22" t="s">
        <v>51</v>
      </c>
      <c r="T1030" s="22" t="s">
        <v>7763</v>
      </c>
      <c r="U1030" s="22" t="s">
        <v>7764</v>
      </c>
      <c r="V1030" s="22" t="s">
        <v>7765</v>
      </c>
      <c r="W1030" s="18">
        <v>46000.0</v>
      </c>
      <c r="X1030" s="20">
        <v>0.37222222222222223</v>
      </c>
      <c r="Y1030" s="18">
        <v>46000.0</v>
      </c>
      <c r="Z1030" s="20">
        <v>0.5083333333333333</v>
      </c>
      <c r="AA1030" s="20">
        <v>0.5104166666666666</v>
      </c>
      <c r="AB1030" s="51">
        <v>0.5625</v>
      </c>
      <c r="AC1030" s="51">
        <v>0.7048611111111112</v>
      </c>
      <c r="AD1030" s="51">
        <v>0.7569444444444444</v>
      </c>
      <c r="AE1030" s="18">
        <v>46000.0</v>
      </c>
      <c r="AF1030" s="22" t="s">
        <v>2744</v>
      </c>
      <c r="AG1030" s="22" t="s">
        <v>102</v>
      </c>
      <c r="AH1030" s="22" t="s">
        <v>7766</v>
      </c>
      <c r="AI1030" s="26" t="str">
        <f>IFERROR(__xludf.DUMMYFUNCTION("IF(OR(W1030="""",X1030="""",AE1030="""",AD1030=""""),"""",
   TEXT(
     (
       (AE1030+AD1030 + IF(AE1030+AD1030 &lt; W1030+X1030,1,0)) - (W1030+X1030)
     )
     - IF(AND(AB1030&lt;&gt;"""",AC1030&lt;&gt;""""), 
          SUM(ARRAYFORMULA(SPLIT(AC1030,"","") - SPLI"&amp;"T(AB1030,"",""))), 
          0
       ),
     ""[hh]:mm""
   )
)
"),"05:49")</f>
        <v>05:49</v>
      </c>
      <c r="AJ1030" s="55">
        <f t="shared" si="16"/>
        <v>0</v>
      </c>
      <c r="AK1030" s="28" t="str">
        <f t="shared" si="17"/>
        <v>Pass</v>
      </c>
    </row>
    <row r="1031">
      <c r="A1031" s="18">
        <v>46000.0</v>
      </c>
      <c r="B1031" s="20">
        <v>0.4111111111111111</v>
      </c>
      <c r="C1031" s="18">
        <v>46000.0</v>
      </c>
      <c r="D1031" s="20">
        <v>0.4173611111111111</v>
      </c>
      <c r="E1031" s="22" t="s">
        <v>7767</v>
      </c>
      <c r="F1031" s="22" t="s">
        <v>1260</v>
      </c>
      <c r="G1031" s="22" t="s">
        <v>7768</v>
      </c>
      <c r="H1031" s="22" t="s">
        <v>6041</v>
      </c>
      <c r="I1031" s="22" t="s">
        <v>7769</v>
      </c>
      <c r="J1031" s="22" t="s">
        <v>2253</v>
      </c>
      <c r="K1031" s="21" t="s">
        <v>43</v>
      </c>
      <c r="L1031" s="21" t="s">
        <v>7770</v>
      </c>
      <c r="M1031" s="22" t="s">
        <v>7771</v>
      </c>
      <c r="N1031" s="22" t="s">
        <v>7772</v>
      </c>
      <c r="O1031" s="23" t="s">
        <v>7773</v>
      </c>
      <c r="P1031" s="22" t="s">
        <v>75</v>
      </c>
      <c r="Q1031" s="50" t="s">
        <v>65</v>
      </c>
      <c r="R1031" s="102" t="s">
        <v>7774</v>
      </c>
      <c r="S1031" s="22" t="s">
        <v>51</v>
      </c>
      <c r="T1031" s="22" t="s">
        <v>6676</v>
      </c>
      <c r="U1031" s="22" t="s">
        <v>7775</v>
      </c>
      <c r="V1031" s="22" t="s">
        <v>7771</v>
      </c>
      <c r="W1031" s="18">
        <v>46000.0</v>
      </c>
      <c r="X1031" s="20">
        <v>0.4479166666666667</v>
      </c>
      <c r="Y1031" s="18">
        <v>46000.0</v>
      </c>
      <c r="Z1031" s="20">
        <v>0.5444444444444444</v>
      </c>
      <c r="AA1031" s="20">
        <v>0.5479166666666667</v>
      </c>
      <c r="AB1031" s="51">
        <v>0.5513888888888889</v>
      </c>
      <c r="AC1031" s="51">
        <v>0.6722222222222223</v>
      </c>
      <c r="AD1031" s="51">
        <v>0.6805555555555556</v>
      </c>
      <c r="AE1031" s="18">
        <v>46000.0</v>
      </c>
      <c r="AF1031" s="22" t="s">
        <v>2744</v>
      </c>
      <c r="AG1031" s="22" t="s">
        <v>313</v>
      </c>
      <c r="AH1031" s="22" t="s">
        <v>7776</v>
      </c>
      <c r="AI1031" s="26" t="str">
        <f>IFERROR(__xludf.DUMMYFUNCTION("IF(OR(W1031="""",X1031="""",AE1031="""",AD1031=""""),"""",
   TEXT(
     (
       (AE1031+AD1031 + IF(AE1031+AD1031 &lt; W1031+X1031,1,0)) - (W1031+X1031)
     )
     - IF(AND(AB1031&lt;&gt;"""",AC1031&lt;&gt;""""), 
          SUM(ARRAYFORMULA(SPLIT(AC1031,"","") - SPLI"&amp;"T(AB1031,"",""))), 
          0
       ),
     ""[hh]:mm""
   )
)
"),"02:41")</f>
        <v>02:41</v>
      </c>
      <c r="AJ1031" s="55">
        <f t="shared" si="16"/>
        <v>0</v>
      </c>
      <c r="AK1031" s="28" t="str">
        <f t="shared" si="17"/>
        <v>Pass</v>
      </c>
    </row>
    <row r="1032">
      <c r="A1032" s="18">
        <v>46000.0</v>
      </c>
      <c r="B1032" s="20">
        <v>0.4152777777777778</v>
      </c>
      <c r="C1032" s="18">
        <v>46000.0</v>
      </c>
      <c r="D1032" s="20">
        <v>0.42083333333333334</v>
      </c>
      <c r="E1032" s="22" t="s">
        <v>7777</v>
      </c>
      <c r="F1032" s="22" t="s">
        <v>363</v>
      </c>
      <c r="G1032" s="22" t="s">
        <v>364</v>
      </c>
      <c r="H1032" s="22" t="s">
        <v>4631</v>
      </c>
      <c r="I1032" s="22" t="s">
        <v>60</v>
      </c>
      <c r="J1032" s="22" t="s">
        <v>3806</v>
      </c>
      <c r="K1032" s="22" t="s">
        <v>43</v>
      </c>
      <c r="L1032" s="22" t="s">
        <v>2471</v>
      </c>
      <c r="M1032" s="22" t="s">
        <v>7778</v>
      </c>
      <c r="N1032" s="22" t="s">
        <v>7779</v>
      </c>
      <c r="O1032" s="23" t="s">
        <v>7780</v>
      </c>
      <c r="P1032" s="22" t="s">
        <v>75</v>
      </c>
      <c r="Q1032" s="50" t="s">
        <v>65</v>
      </c>
      <c r="R1032" s="22" t="s">
        <v>7781</v>
      </c>
      <c r="S1032" s="22" t="s">
        <v>51</v>
      </c>
      <c r="T1032" s="22" t="s">
        <v>52</v>
      </c>
      <c r="U1032" s="22" t="s">
        <v>52</v>
      </c>
      <c r="V1032" s="22" t="s">
        <v>52</v>
      </c>
      <c r="W1032" s="18">
        <v>46000.0</v>
      </c>
      <c r="X1032" s="20">
        <v>0.42083333333333334</v>
      </c>
      <c r="Y1032" s="18">
        <v>46000.0</v>
      </c>
      <c r="Z1032" s="20">
        <v>0.4583333333333333</v>
      </c>
      <c r="AA1032" s="20">
        <v>0.5</v>
      </c>
      <c r="AB1032" s="50" t="s">
        <v>7782</v>
      </c>
      <c r="AC1032" s="50" t="s">
        <v>7075</v>
      </c>
      <c r="AD1032" s="51">
        <v>0.625</v>
      </c>
      <c r="AE1032" s="18">
        <v>46000.0</v>
      </c>
      <c r="AF1032" s="22" t="s">
        <v>2931</v>
      </c>
      <c r="AG1032" s="22" t="s">
        <v>78</v>
      </c>
      <c r="AH1032" s="22" t="s">
        <v>7745</v>
      </c>
      <c r="AI1032" s="26" t="str">
        <f>IFERROR(__xludf.DUMMYFUNCTION("IF(OR(W1032="""",X1032="""",AE1032="""",AD1032=""""),"""",
   TEXT(
     (
       (AE1032+AD1032 + IF(AE1032+AD1032 &lt; W1032+X1032,1,0)) - (W1032+X1032)
     )
     - IF(AND(AB1032&lt;&gt;"""",AC1032&lt;&gt;""""), 
          SUM(ARRAYFORMULA(SPLIT(AC1032,"","") - SPLI"&amp;"T(AB1032,"",""))), 
          0
       ),
     ""[hh]:mm""
   )
)
"),"02:29")</f>
        <v>02:29</v>
      </c>
      <c r="AJ1032" s="55">
        <f t="shared" si="16"/>
        <v>0</v>
      </c>
      <c r="AK1032" s="28" t="str">
        <f t="shared" si="17"/>
        <v>Pass</v>
      </c>
    </row>
    <row r="1033">
      <c r="A1033" s="18">
        <v>46000.0</v>
      </c>
      <c r="B1033" s="20">
        <v>0.45069444444444445</v>
      </c>
      <c r="C1033" s="18">
        <v>46000.0</v>
      </c>
      <c r="D1033" s="20">
        <v>0.4527777777777778</v>
      </c>
      <c r="E1033" s="22" t="s">
        <v>7783</v>
      </c>
      <c r="F1033" s="22" t="s">
        <v>6058</v>
      </c>
      <c r="G1033" s="22" t="s">
        <v>6059</v>
      </c>
      <c r="H1033" s="22" t="s">
        <v>2248</v>
      </c>
      <c r="I1033" s="22" t="s">
        <v>131</v>
      </c>
      <c r="J1033" s="22" t="s">
        <v>2253</v>
      </c>
      <c r="K1033" s="22" t="s">
        <v>43</v>
      </c>
      <c r="L1033" s="22" t="s">
        <v>7770</v>
      </c>
      <c r="M1033" s="22" t="s">
        <v>6672</v>
      </c>
      <c r="N1033" s="22" t="s">
        <v>7784</v>
      </c>
      <c r="O1033" s="23" t="s">
        <v>7785</v>
      </c>
      <c r="P1033" s="22" t="s">
        <v>75</v>
      </c>
      <c r="Q1033" s="50" t="s">
        <v>65</v>
      </c>
      <c r="R1033" s="102" t="s">
        <v>7786</v>
      </c>
      <c r="S1033" s="22" t="s">
        <v>51</v>
      </c>
      <c r="T1033" s="22" t="s">
        <v>6676</v>
      </c>
      <c r="U1033" s="22" t="s">
        <v>7787</v>
      </c>
      <c r="V1033" s="22" t="s">
        <v>6672</v>
      </c>
      <c r="W1033" s="18">
        <v>46000.0</v>
      </c>
      <c r="X1033" s="20">
        <v>0.4527777777777778</v>
      </c>
      <c r="Y1033" s="18">
        <v>46000.0</v>
      </c>
      <c r="Z1033" s="20">
        <v>0.6097222222222223</v>
      </c>
      <c r="AA1033" s="20">
        <v>0.6381944444444444</v>
      </c>
      <c r="AB1033" s="51">
        <v>0.6097222222222223</v>
      </c>
      <c r="AC1033" s="77">
        <v>0.6381944444444444</v>
      </c>
      <c r="AD1033" s="51">
        <v>0.6597222222222222</v>
      </c>
      <c r="AE1033" s="18">
        <v>46000.0</v>
      </c>
      <c r="AF1033" s="22" t="s">
        <v>2989</v>
      </c>
      <c r="AG1033" s="22" t="s">
        <v>3197</v>
      </c>
      <c r="AH1033" s="22" t="s">
        <v>7788</v>
      </c>
      <c r="AI1033" s="26" t="str">
        <f>IFERROR(__xludf.DUMMYFUNCTION("IF(OR(W1033="""",X1033="""",AE1033="""",AD1033=""""),"""",
   TEXT(
     (
       (AE1033+AD1033 + IF(AE1033+AD1033 &lt; W1033+X1033,1,0)) - (W1033+X1033)
     )
     - IF(AND(AB1033&lt;&gt;"""",AC1033&lt;&gt;""""), 
          SUM(ARRAYFORMULA(SPLIT(AC1033,"","") - SPLI"&amp;"T(AB1033,"",""))), 
          0
       ),
     ""[hh]:mm""
   )
)
"),"04:17")</f>
        <v>04:17</v>
      </c>
      <c r="AJ1033" s="55">
        <f t="shared" si="16"/>
        <v>0</v>
      </c>
      <c r="AK1033" s="28" t="str">
        <f t="shared" si="17"/>
        <v>Pass</v>
      </c>
    </row>
    <row r="1034">
      <c r="A1034" s="18">
        <v>46000.0</v>
      </c>
      <c r="B1034" s="20">
        <v>0.45069444444444445</v>
      </c>
      <c r="C1034" s="18">
        <v>46000.0</v>
      </c>
      <c r="D1034" s="20">
        <v>0.4548611111111111</v>
      </c>
      <c r="E1034" s="22" t="s">
        <v>7789</v>
      </c>
      <c r="F1034" s="22" t="s">
        <v>5113</v>
      </c>
      <c r="G1034" s="22" t="s">
        <v>5695</v>
      </c>
      <c r="H1034" s="22" t="s">
        <v>4040</v>
      </c>
      <c r="I1034" s="22" t="s">
        <v>867</v>
      </c>
      <c r="J1034" s="22" t="s">
        <v>1056</v>
      </c>
      <c r="K1034" s="22" t="s">
        <v>52</v>
      </c>
      <c r="L1034" s="22" t="s">
        <v>52</v>
      </c>
      <c r="M1034" s="22" t="s">
        <v>52</v>
      </c>
      <c r="N1034" s="22" t="s">
        <v>7790</v>
      </c>
      <c r="O1034" s="23" t="s">
        <v>7791</v>
      </c>
      <c r="P1034" s="22" t="s">
        <v>48</v>
      </c>
      <c r="Q1034" s="50" t="s">
        <v>65</v>
      </c>
      <c r="R1034" s="22" t="s">
        <v>7792</v>
      </c>
      <c r="S1034" s="22" t="s">
        <v>51</v>
      </c>
      <c r="T1034" s="22" t="s">
        <v>52</v>
      </c>
      <c r="U1034" s="22" t="s">
        <v>52</v>
      </c>
      <c r="V1034" s="22" t="s">
        <v>52</v>
      </c>
      <c r="W1034" s="18">
        <v>46000.0</v>
      </c>
      <c r="X1034" s="20">
        <v>0.4548611111111111</v>
      </c>
      <c r="Y1034" s="18">
        <v>46000.0</v>
      </c>
      <c r="Z1034" s="75">
        <v>0.5784722222222223</v>
      </c>
      <c r="AA1034" s="20">
        <v>0.5805555555555556</v>
      </c>
      <c r="AB1034" s="54"/>
      <c r="AC1034" s="54"/>
      <c r="AD1034" s="51">
        <v>0.6666666666666666</v>
      </c>
      <c r="AE1034" s="18">
        <v>46000.0</v>
      </c>
      <c r="AF1034" s="22" t="s">
        <v>3007</v>
      </c>
      <c r="AG1034" s="22" t="s">
        <v>6108</v>
      </c>
      <c r="AH1034" s="22" t="s">
        <v>5119</v>
      </c>
      <c r="AI1034" s="26" t="str">
        <f>IFERROR(__xludf.DUMMYFUNCTION("IF(OR(W1034="""",X1034="""",AE1034="""",AD1034=""""),"""",
   TEXT(
     (
       (AE1034+AD1034 + IF(AE1034+AD1034 &lt; W1034+X1034,1,0)) - (W1034+X1034)
     )
     - IF(AND(AB1034&lt;&gt;"""",AC1034&lt;&gt;""""), 
          SUM(ARRAYFORMULA(SPLIT(AC1034,"","") - SPLI"&amp;"T(AB1034,"",""))), 
          0
       ),
     ""[hh]:mm""
   )
)
"),"05:05")</f>
        <v>05:05</v>
      </c>
      <c r="AJ1034" s="55">
        <f t="shared" si="16"/>
        <v>0</v>
      </c>
      <c r="AK1034" s="28" t="str">
        <f t="shared" si="17"/>
        <v>Pass</v>
      </c>
    </row>
    <row r="1035">
      <c r="A1035" s="18">
        <v>46000.0</v>
      </c>
      <c r="B1035" s="20">
        <v>0.45416666666666666</v>
      </c>
      <c r="C1035" s="18">
        <v>46000.0</v>
      </c>
      <c r="D1035" s="20">
        <v>0.46041666666666664</v>
      </c>
      <c r="E1035" s="22" t="s">
        <v>7793</v>
      </c>
      <c r="F1035" s="22" t="s">
        <v>1151</v>
      </c>
      <c r="G1035" s="22" t="s">
        <v>7794</v>
      </c>
      <c r="H1035" s="22" t="s">
        <v>156</v>
      </c>
      <c r="I1035" s="22" t="s">
        <v>2026</v>
      </c>
      <c r="J1035" s="22" t="s">
        <v>2253</v>
      </c>
      <c r="K1035" s="22" t="s">
        <v>43</v>
      </c>
      <c r="L1035" s="22" t="s">
        <v>7770</v>
      </c>
      <c r="M1035" s="22" t="s">
        <v>7795</v>
      </c>
      <c r="N1035" s="22" t="s">
        <v>7796</v>
      </c>
      <c r="O1035" s="23" t="s">
        <v>7797</v>
      </c>
      <c r="P1035" s="22" t="s">
        <v>75</v>
      </c>
      <c r="Q1035" s="50" t="s">
        <v>65</v>
      </c>
      <c r="R1035" s="21" t="s">
        <v>7798</v>
      </c>
      <c r="S1035" s="22" t="s">
        <v>51</v>
      </c>
      <c r="T1035" s="22" t="s">
        <v>6676</v>
      </c>
      <c r="U1035" s="22" t="s">
        <v>7799</v>
      </c>
      <c r="V1035" s="22" t="s">
        <v>7795</v>
      </c>
      <c r="W1035" s="18">
        <v>46000.0</v>
      </c>
      <c r="X1035" s="20">
        <v>0.46041666666666664</v>
      </c>
      <c r="Y1035" s="18">
        <v>46000.0</v>
      </c>
      <c r="Z1035" s="20">
        <v>0.6520833333333333</v>
      </c>
      <c r="AA1035" s="20">
        <v>0.7013888888888888</v>
      </c>
      <c r="AB1035" s="51">
        <v>0.6527777777777778</v>
      </c>
      <c r="AC1035" s="51">
        <v>0.7006944444444444</v>
      </c>
      <c r="AD1035" s="51">
        <v>0.7291666666666666</v>
      </c>
      <c r="AE1035" s="18">
        <v>46000.0</v>
      </c>
      <c r="AF1035" s="22" t="s">
        <v>2931</v>
      </c>
      <c r="AG1035" s="22" t="s">
        <v>1475</v>
      </c>
      <c r="AH1035" s="22" t="s">
        <v>7800</v>
      </c>
      <c r="AI1035" s="26" t="str">
        <f>IFERROR(__xludf.DUMMYFUNCTION("IF(OR(W1035="""",X1035="""",AE1035="""",AD1035=""""),"""",
   TEXT(
     (
       (AE1035+AD1035 + IF(AE1035+AD1035 &lt; W1035+X1035,1,0)) - (W1035+X1035)
     )
     - IF(AND(AB1035&lt;&gt;"""",AC1035&lt;&gt;""""), 
          SUM(ARRAYFORMULA(SPLIT(AC1035,"","") - SPLI"&amp;"T(AB1035,"",""))), 
          0
       ),
     ""[hh]:mm""
   )
)
"),"05:18")</f>
        <v>05:18</v>
      </c>
      <c r="AJ1035" s="55">
        <f t="shared" si="16"/>
        <v>0</v>
      </c>
      <c r="AK1035" s="28" t="str">
        <f t="shared" si="17"/>
        <v>Pass</v>
      </c>
    </row>
    <row r="1036">
      <c r="A1036" s="18">
        <v>46000.0</v>
      </c>
      <c r="B1036" s="20">
        <v>0.4798611111111111</v>
      </c>
      <c r="C1036" s="18">
        <v>46000.0</v>
      </c>
      <c r="D1036" s="20">
        <v>0.4826388888888889</v>
      </c>
      <c r="E1036" s="22" t="s">
        <v>7801</v>
      </c>
      <c r="F1036" s="95" t="s">
        <v>3265</v>
      </c>
      <c r="G1036" s="22" t="s">
        <v>3266</v>
      </c>
      <c r="H1036" s="22" t="s">
        <v>156</v>
      </c>
      <c r="I1036" s="22" t="s">
        <v>131</v>
      </c>
      <c r="J1036" s="22" t="s">
        <v>2253</v>
      </c>
      <c r="K1036" s="22" t="s">
        <v>43</v>
      </c>
      <c r="L1036" s="22" t="s">
        <v>7770</v>
      </c>
      <c r="M1036" s="22" t="s">
        <v>7802</v>
      </c>
      <c r="N1036" s="22" t="s">
        <v>7803</v>
      </c>
      <c r="O1036" s="23" t="s">
        <v>7804</v>
      </c>
      <c r="P1036" s="22" t="s">
        <v>75</v>
      </c>
      <c r="Q1036" s="50" t="s">
        <v>65</v>
      </c>
      <c r="R1036" s="21" t="s">
        <v>7805</v>
      </c>
      <c r="S1036" s="22" t="s">
        <v>51</v>
      </c>
      <c r="T1036" s="22" t="s">
        <v>6676</v>
      </c>
      <c r="U1036" s="22" t="s">
        <v>7806</v>
      </c>
      <c r="V1036" s="22" t="s">
        <v>7802</v>
      </c>
      <c r="W1036" s="18">
        <v>46000.0</v>
      </c>
      <c r="X1036" s="20">
        <v>0.4826388888888889</v>
      </c>
      <c r="Y1036" s="18">
        <v>46000.0</v>
      </c>
      <c r="Z1036" s="20">
        <v>0.6631944444444444</v>
      </c>
      <c r="AA1036" s="20">
        <v>0.6979166666666666</v>
      </c>
      <c r="AB1036" s="51">
        <v>0.7048611111111112</v>
      </c>
      <c r="AC1036" s="51">
        <v>0.7902777777777777</v>
      </c>
      <c r="AD1036" s="51">
        <v>0.8125</v>
      </c>
      <c r="AE1036" s="18">
        <v>46000.0</v>
      </c>
      <c r="AF1036" s="22" t="s">
        <v>2744</v>
      </c>
      <c r="AG1036" s="22" t="s">
        <v>5541</v>
      </c>
      <c r="AH1036" s="22" t="s">
        <v>7807</v>
      </c>
      <c r="AI1036" s="26" t="str">
        <f>IFERROR(__xludf.DUMMYFUNCTION("IF(OR(W1036="""",X1036="""",AE1036="""",AD1036=""""),"""",
   TEXT(
     (
       (AE1036+AD1036 + IF(AE1036+AD1036 &lt; W1036+X1036,1,0)) - (W1036+X1036)
     )
     - IF(AND(AB1036&lt;&gt;"""",AC1036&lt;&gt;""""), 
          SUM(ARRAYFORMULA(SPLIT(AC1036,"","") - SPLI"&amp;"T(AB1036,"",""))), 
          0
       ),
     ""[hh]:mm""
   )
)
"),"05:52")</f>
        <v>05:52</v>
      </c>
      <c r="AJ1036" s="55">
        <f t="shared" si="16"/>
        <v>0</v>
      </c>
      <c r="AK1036" s="28" t="str">
        <f t="shared" si="17"/>
        <v>Pass</v>
      </c>
    </row>
    <row r="1037">
      <c r="A1037" s="45">
        <v>46000.0</v>
      </c>
      <c r="B1037" s="49">
        <v>0.5243055555555556</v>
      </c>
      <c r="C1037" s="45">
        <v>46000.0</v>
      </c>
      <c r="D1037" s="49">
        <v>0.5770833333333333</v>
      </c>
      <c r="E1037" s="21" t="s">
        <v>7808</v>
      </c>
      <c r="F1037" s="21" t="s">
        <v>251</v>
      </c>
      <c r="G1037" s="21" t="s">
        <v>2150</v>
      </c>
      <c r="H1037" s="21" t="s">
        <v>2337</v>
      </c>
      <c r="I1037" s="21" t="s">
        <v>3990</v>
      </c>
      <c r="J1037" s="21" t="s">
        <v>4198</v>
      </c>
      <c r="K1037" s="21" t="s">
        <v>72</v>
      </c>
      <c r="L1037" s="21" t="s">
        <v>1815</v>
      </c>
      <c r="M1037" s="21" t="s">
        <v>7809</v>
      </c>
      <c r="N1037" s="21" t="s">
        <v>7810</v>
      </c>
      <c r="O1037" s="48" t="s">
        <v>7811</v>
      </c>
      <c r="P1037" s="21" t="s">
        <v>75</v>
      </c>
      <c r="Q1037" s="24" t="s">
        <v>65</v>
      </c>
      <c r="R1037" s="21" t="s">
        <v>7812</v>
      </c>
      <c r="S1037" s="21" t="s">
        <v>51</v>
      </c>
      <c r="T1037" s="21" t="s">
        <v>77</v>
      </c>
      <c r="U1037" s="21" t="s">
        <v>7813</v>
      </c>
      <c r="V1037" s="21" t="s">
        <v>7814</v>
      </c>
      <c r="W1037" s="45">
        <v>46000.0</v>
      </c>
      <c r="X1037" s="49">
        <v>0.5770833333333333</v>
      </c>
      <c r="Y1037" s="45">
        <v>46000.0</v>
      </c>
      <c r="Z1037" s="49">
        <v>0.7569444444444444</v>
      </c>
      <c r="AA1037" s="49">
        <v>0.7923611111111111</v>
      </c>
      <c r="AB1037" s="25">
        <v>0.7569444444444444</v>
      </c>
      <c r="AC1037" s="25">
        <v>0.7916666666666666</v>
      </c>
      <c r="AD1037" s="25">
        <v>0.8722222222222222</v>
      </c>
      <c r="AE1037" s="45">
        <v>46000.0</v>
      </c>
      <c r="AF1037" s="21" t="s">
        <v>2931</v>
      </c>
      <c r="AG1037" s="21" t="s">
        <v>313</v>
      </c>
      <c r="AH1037" s="21" t="s">
        <v>417</v>
      </c>
      <c r="AI1037" s="62" t="str">
        <f>IFERROR(__xludf.DUMMYFUNCTION("IF(OR(W1037="""",X1037="""",AE1037="""",AD1037=""""),"""",
   TEXT(
     (
       (AE1037+AD1037 + IF(AE1037+AD1037 &lt; W1037+X1037,1,0)) - (W1037+X1037)
     )
     - IF(AND(AB1037&lt;&gt;"""",AC1037&lt;&gt;""""), 
          SUM(ARRAYFORMULA(SPLIT(AC1037,"","") - SPLI"&amp;"T(AB1037,"",""))), 
          0
       ),
     ""[hh]:mm""
   )
)
"),"06:15")</f>
        <v>06:15</v>
      </c>
      <c r="AJ1037" s="27">
        <f t="shared" si="16"/>
        <v>0</v>
      </c>
      <c r="AK1037" s="63" t="str">
        <f t="shared" si="17"/>
        <v>Pass</v>
      </c>
    </row>
    <row r="1038">
      <c r="A1038" s="18">
        <v>46000.0</v>
      </c>
      <c r="B1038" s="20">
        <v>0.5618055555555556</v>
      </c>
      <c r="C1038" s="18">
        <v>46000.0</v>
      </c>
      <c r="D1038" s="20">
        <v>0.5659722222222222</v>
      </c>
      <c r="E1038" s="22" t="s">
        <v>7815</v>
      </c>
      <c r="F1038" s="22" t="s">
        <v>6517</v>
      </c>
      <c r="G1038" s="22" t="s">
        <v>6518</v>
      </c>
      <c r="H1038" s="22" t="s">
        <v>318</v>
      </c>
      <c r="I1038" s="22" t="s">
        <v>234</v>
      </c>
      <c r="J1038" s="22" t="s">
        <v>3813</v>
      </c>
      <c r="K1038" s="22" t="s">
        <v>61</v>
      </c>
      <c r="L1038" s="22" t="s">
        <v>183</v>
      </c>
      <c r="M1038" s="22" t="s">
        <v>7816</v>
      </c>
      <c r="N1038" s="22" t="s">
        <v>7817</v>
      </c>
      <c r="O1038" s="23" t="s">
        <v>7818</v>
      </c>
      <c r="P1038" s="22" t="s">
        <v>75</v>
      </c>
      <c r="Q1038" s="50" t="s">
        <v>65</v>
      </c>
      <c r="R1038" s="22" t="s">
        <v>7819</v>
      </c>
      <c r="S1038" s="22" t="s">
        <v>51</v>
      </c>
      <c r="T1038" s="22" t="s">
        <v>52</v>
      </c>
      <c r="U1038" s="22" t="s">
        <v>52</v>
      </c>
      <c r="V1038" s="22" t="s">
        <v>52</v>
      </c>
      <c r="W1038" s="18">
        <v>46000.0</v>
      </c>
      <c r="X1038" s="20">
        <v>0.5659722222222222</v>
      </c>
      <c r="Y1038" s="18">
        <v>46000.0</v>
      </c>
      <c r="Z1038" s="20">
        <v>0.7916666666666666</v>
      </c>
      <c r="AA1038" s="20">
        <v>0.8020833333333334</v>
      </c>
      <c r="AB1038" s="54"/>
      <c r="AC1038" s="54"/>
      <c r="AD1038" s="51">
        <v>0.8402777777777778</v>
      </c>
      <c r="AE1038" s="18">
        <v>46000.0</v>
      </c>
      <c r="AF1038" s="22" t="s">
        <v>3007</v>
      </c>
      <c r="AG1038" s="22" t="s">
        <v>848</v>
      </c>
      <c r="AH1038" s="22" t="s">
        <v>7820</v>
      </c>
      <c r="AI1038" s="26" t="str">
        <f>IFERROR(__xludf.DUMMYFUNCTION("IF(OR(W1038="""",X1038="""",AE1038="""",AD1038=""""),"""",
   TEXT(
     (
       (AE1038+AD1038 + IF(AE1038+AD1038 &lt; W1038+X1038,1,0)) - (W1038+X1038)
     )
     - IF(AND(AB1038&lt;&gt;"""",AC1038&lt;&gt;""""), 
          SUM(ARRAYFORMULA(SPLIT(AC1038,"","") - SPLI"&amp;"T(AB1038,"",""))), 
          0
       ),
     ""[hh]:mm""
   )
)
"),"06:35")</f>
        <v>06:35</v>
      </c>
      <c r="AJ1038" s="55">
        <f t="shared" si="16"/>
        <v>0</v>
      </c>
      <c r="AK1038" s="28" t="str">
        <f t="shared" si="17"/>
        <v>Pass</v>
      </c>
    </row>
    <row r="1039">
      <c r="A1039" s="18">
        <v>46000.0</v>
      </c>
      <c r="B1039" s="20">
        <v>0.6770833333333334</v>
      </c>
      <c r="C1039" s="18">
        <v>46000.0</v>
      </c>
      <c r="D1039" s="20">
        <v>0.6854166666666667</v>
      </c>
      <c r="E1039" s="22" t="s">
        <v>7821</v>
      </c>
      <c r="F1039" s="22" t="s">
        <v>259</v>
      </c>
      <c r="G1039" s="22" t="s">
        <v>260</v>
      </c>
      <c r="H1039" s="22" t="s">
        <v>566</v>
      </c>
      <c r="I1039" s="22" t="s">
        <v>95</v>
      </c>
      <c r="J1039" s="22" t="s">
        <v>95</v>
      </c>
      <c r="K1039" s="22" t="s">
        <v>386</v>
      </c>
      <c r="L1039" s="22" t="s">
        <v>2478</v>
      </c>
      <c r="M1039" s="22" t="s">
        <v>7822</v>
      </c>
      <c r="N1039" s="22" t="s">
        <v>7823</v>
      </c>
      <c r="O1039" s="23" t="s">
        <v>7824</v>
      </c>
      <c r="P1039" s="22" t="s">
        <v>48</v>
      </c>
      <c r="Q1039" s="50" t="s">
        <v>65</v>
      </c>
      <c r="R1039" s="22" t="s">
        <v>7825</v>
      </c>
      <c r="S1039" s="22" t="s">
        <v>51</v>
      </c>
      <c r="T1039" s="22" t="s">
        <v>52</v>
      </c>
      <c r="U1039" s="22" t="s">
        <v>52</v>
      </c>
      <c r="V1039" s="22" t="s">
        <v>52</v>
      </c>
      <c r="W1039" s="18">
        <v>46000.0</v>
      </c>
      <c r="X1039" s="20">
        <v>0.6854166666666667</v>
      </c>
      <c r="Y1039" s="18">
        <v>46000.0</v>
      </c>
      <c r="Z1039" s="20">
        <v>0.6875</v>
      </c>
      <c r="AA1039" s="20">
        <v>0.6881944444444444</v>
      </c>
      <c r="AB1039" s="77">
        <v>0.6944444444444444</v>
      </c>
      <c r="AC1039" s="77">
        <v>0.7256944444444444</v>
      </c>
      <c r="AD1039" s="51">
        <v>0.7291666666666666</v>
      </c>
      <c r="AE1039" s="18">
        <v>46000.0</v>
      </c>
      <c r="AF1039" s="22" t="s">
        <v>4369</v>
      </c>
      <c r="AG1039" s="22" t="s">
        <v>239</v>
      </c>
      <c r="AH1039" s="22" t="s">
        <v>3192</v>
      </c>
      <c r="AI1039" s="26" t="str">
        <f>IFERROR(__xludf.DUMMYFUNCTION("IF(OR(W1039="""",X1039="""",AE1039="""",AD1039=""""),"""",
   TEXT(
     (
       (AE1039+AD1039 + IF(AE1039+AD1039 &lt; W1039+X1039,1,0)) - (W1039+X1039)
     )
     - IF(AND(AB1039&lt;&gt;"""",AC1039&lt;&gt;""""), 
          SUM(ARRAYFORMULA(SPLIT(AC1039,"","") - SPLI"&amp;"T(AB1039,"",""))), 
          0
       ),
     ""[hh]:mm""
   )
)
"),"00:18")</f>
        <v>00:18</v>
      </c>
      <c r="AJ1039" s="55">
        <f t="shared" si="16"/>
        <v>0</v>
      </c>
      <c r="AK1039" s="28" t="str">
        <f t="shared" si="17"/>
        <v>Pass</v>
      </c>
    </row>
    <row r="1040">
      <c r="A1040" s="45">
        <v>46000.0</v>
      </c>
      <c r="B1040" s="49">
        <v>0.7986111111111112</v>
      </c>
      <c r="C1040" s="45">
        <v>46000.0</v>
      </c>
      <c r="D1040" s="49">
        <v>0.8236111111111111</v>
      </c>
      <c r="E1040" s="21" t="s">
        <v>7826</v>
      </c>
      <c r="F1040" s="21" t="s">
        <v>2238</v>
      </c>
      <c r="G1040" s="21" t="s">
        <v>2239</v>
      </c>
      <c r="H1040" s="21" t="s">
        <v>566</v>
      </c>
      <c r="I1040" s="21" t="s">
        <v>7741</v>
      </c>
      <c r="J1040" s="21" t="s">
        <v>1084</v>
      </c>
      <c r="K1040" s="21" t="s">
        <v>143</v>
      </c>
      <c r="L1040" s="21" t="s">
        <v>606</v>
      </c>
      <c r="M1040" s="21" t="s">
        <v>7827</v>
      </c>
      <c r="N1040" s="21" t="s">
        <v>7828</v>
      </c>
      <c r="O1040" s="48" t="s">
        <v>7829</v>
      </c>
      <c r="P1040" s="21" t="s">
        <v>75</v>
      </c>
      <c r="Q1040" s="24" t="s">
        <v>49</v>
      </c>
      <c r="R1040" s="21" t="s">
        <v>7830</v>
      </c>
      <c r="S1040" s="21" t="s">
        <v>51</v>
      </c>
      <c r="T1040" s="21" t="s">
        <v>52</v>
      </c>
      <c r="U1040" s="21" t="s">
        <v>52</v>
      </c>
      <c r="V1040" s="21" t="s">
        <v>52</v>
      </c>
      <c r="W1040" s="45">
        <v>46000.0</v>
      </c>
      <c r="X1040" s="49">
        <v>0.8236111111111111</v>
      </c>
      <c r="Y1040" s="45">
        <v>46000.0</v>
      </c>
      <c r="Z1040" s="49">
        <v>0.8583333333333333</v>
      </c>
      <c r="AA1040" s="49">
        <v>0.8611111111111112</v>
      </c>
      <c r="AB1040" s="85">
        <v>0.8888888888888888</v>
      </c>
      <c r="AC1040" s="85">
        <v>0.9166666666666666</v>
      </c>
      <c r="AD1040" s="25">
        <v>0.9583333333333334</v>
      </c>
      <c r="AE1040" s="45">
        <v>46000.0</v>
      </c>
      <c r="AF1040" s="21" t="s">
        <v>7831</v>
      </c>
      <c r="AG1040" s="21" t="s">
        <v>6108</v>
      </c>
      <c r="AH1040" s="21" t="s">
        <v>7832</v>
      </c>
      <c r="AI1040" s="62" t="str">
        <f>IFERROR(__xludf.DUMMYFUNCTION("IF(OR(W1040="""",X1040="""",AE1040="""",AD1040=""""),"""",
   TEXT(
     (
       (AE1040+AD1040 + IF(AE1040+AD1040 &lt; W1040+X1040,1,0)) - (W1040+X1040)
     )
     - IF(AND(AB1040&lt;&gt;"""",AC1040&lt;&gt;""""), 
          SUM(ARRAYFORMULA(SPLIT(AC1040,"","") - SPLI"&amp;"T(AB1040,"",""))), 
          0
       ),
     ""[hh]:mm""
   )
)
"),"02:34")</f>
        <v>02:34</v>
      </c>
      <c r="AJ1040" s="27">
        <f t="shared" si="16"/>
        <v>0</v>
      </c>
      <c r="AK1040" s="63" t="str">
        <f t="shared" si="17"/>
        <v>Pass</v>
      </c>
    </row>
    <row r="1041">
      <c r="A1041" s="45">
        <v>46000.0</v>
      </c>
      <c r="B1041" s="49">
        <v>0.4798611111111111</v>
      </c>
      <c r="C1041" s="45">
        <v>46000.0</v>
      </c>
      <c r="D1041" s="49">
        <v>0.4826388888888889</v>
      </c>
      <c r="E1041" s="21" t="s">
        <v>7801</v>
      </c>
      <c r="F1041" s="21" t="s">
        <v>3265</v>
      </c>
      <c r="G1041" s="21" t="s">
        <v>3266</v>
      </c>
      <c r="H1041" s="21" t="s">
        <v>156</v>
      </c>
      <c r="I1041" s="21" t="s">
        <v>131</v>
      </c>
      <c r="J1041" s="21" t="s">
        <v>2253</v>
      </c>
      <c r="K1041" s="21" t="s">
        <v>43</v>
      </c>
      <c r="L1041" s="21" t="s">
        <v>7770</v>
      </c>
      <c r="M1041" s="21" t="s">
        <v>7802</v>
      </c>
      <c r="N1041" s="21" t="s">
        <v>7803</v>
      </c>
      <c r="O1041" s="48" t="s">
        <v>7833</v>
      </c>
      <c r="P1041" s="21" t="s">
        <v>75</v>
      </c>
      <c r="Q1041" s="24" t="s">
        <v>65</v>
      </c>
      <c r="R1041" s="21" t="s">
        <v>7834</v>
      </c>
      <c r="S1041" s="21" t="s">
        <v>51</v>
      </c>
      <c r="T1041" s="21" t="s">
        <v>52</v>
      </c>
      <c r="U1041" s="21" t="s">
        <v>52</v>
      </c>
      <c r="V1041" s="21" t="s">
        <v>52</v>
      </c>
      <c r="W1041" s="45">
        <v>46001.0</v>
      </c>
      <c r="X1041" s="49">
        <v>0.3333333333333333</v>
      </c>
      <c r="Y1041" s="45">
        <v>46001.0</v>
      </c>
      <c r="Z1041" s="49">
        <v>0.5652777777777778</v>
      </c>
      <c r="AA1041" s="49">
        <v>0.5659722222222222</v>
      </c>
      <c r="AB1041" s="29"/>
      <c r="AC1041" s="29"/>
      <c r="AD1041" s="25">
        <v>0.5833333333333334</v>
      </c>
      <c r="AE1041" s="45">
        <v>46001.0</v>
      </c>
      <c r="AF1041" s="21" t="s">
        <v>2744</v>
      </c>
      <c r="AG1041" s="21" t="s">
        <v>5541</v>
      </c>
      <c r="AH1041" s="21" t="s">
        <v>7835</v>
      </c>
      <c r="AI1041" s="62" t="str">
        <f>IFERROR(__xludf.DUMMYFUNCTION("IF(OR(W1041="""",X1041="""",AE1041="""",AD1041=""""),"""",
   TEXT(
     (
       (AE1041+AD1041 + IF(AE1041+AD1041 &lt; W1041+X1041,1,0)) - (W1041+X1041)
     )
     - IF(AND(AB1041&lt;&gt;"""",AC1041&lt;&gt;""""), 
          SUM(ARRAYFORMULA(SPLIT(AC1041,"","") - SPLI"&amp;"T(AB1041,"",""))), 
          0
       ),
     ""[hh]:mm""
   )
)
"),"06:00")</f>
        <v>06:00</v>
      </c>
      <c r="AJ1041" s="27">
        <f t="shared" si="16"/>
        <v>0</v>
      </c>
      <c r="AK1041" s="63" t="str">
        <f t="shared" si="17"/>
        <v>Pass</v>
      </c>
    </row>
    <row r="1042">
      <c r="A1042" s="45">
        <v>46001.0</v>
      </c>
      <c r="B1042" s="49">
        <v>0.2916666666666667</v>
      </c>
      <c r="C1042" s="45">
        <v>46001.0</v>
      </c>
      <c r="D1042" s="49">
        <v>0.30277777777777776</v>
      </c>
      <c r="E1042" s="21" t="s">
        <v>7836</v>
      </c>
      <c r="F1042" s="21" t="s">
        <v>2910</v>
      </c>
      <c r="G1042" s="21" t="s">
        <v>7837</v>
      </c>
      <c r="H1042" s="21" t="s">
        <v>419</v>
      </c>
      <c r="I1042" s="21" t="s">
        <v>95</v>
      </c>
      <c r="J1042" s="21" t="s">
        <v>95</v>
      </c>
      <c r="K1042" s="21" t="s">
        <v>333</v>
      </c>
      <c r="L1042" s="21" t="s">
        <v>7838</v>
      </c>
      <c r="M1042" s="21" t="s">
        <v>7839</v>
      </c>
      <c r="N1042" s="21" t="s">
        <v>7840</v>
      </c>
      <c r="O1042" s="48" t="s">
        <v>7841</v>
      </c>
      <c r="P1042" s="21" t="s">
        <v>48</v>
      </c>
      <c r="Q1042" s="24" t="s">
        <v>49</v>
      </c>
      <c r="R1042" s="21" t="s">
        <v>7842</v>
      </c>
      <c r="S1042" s="21" t="s">
        <v>51</v>
      </c>
      <c r="T1042" s="21" t="s">
        <v>52</v>
      </c>
      <c r="U1042" s="21" t="s">
        <v>52</v>
      </c>
      <c r="V1042" s="21" t="s">
        <v>52</v>
      </c>
      <c r="W1042" s="45">
        <v>46001.0</v>
      </c>
      <c r="X1042" s="49">
        <v>0.30277777777777776</v>
      </c>
      <c r="Y1042" s="45">
        <v>46001.0</v>
      </c>
      <c r="Z1042" s="49">
        <v>0.33819444444444446</v>
      </c>
      <c r="AA1042" s="49">
        <v>0.34375</v>
      </c>
      <c r="AB1042" s="29"/>
      <c r="AC1042" s="29"/>
      <c r="AD1042" s="25">
        <v>0.3541666666666667</v>
      </c>
      <c r="AE1042" s="45">
        <v>46001.0</v>
      </c>
      <c r="AF1042" s="21" t="s">
        <v>3218</v>
      </c>
      <c r="AG1042" s="21" t="s">
        <v>2086</v>
      </c>
      <c r="AH1042" s="21" t="s">
        <v>7843</v>
      </c>
      <c r="AI1042" s="62" t="str">
        <f>IFERROR(__xludf.DUMMYFUNCTION("IF(OR(W1042="""",X1042="""",AE1042="""",AD1042=""""),"""",
   TEXT(
     (
       (AE1042+AD1042 + IF(AE1042+AD1042 &lt; W1042+X1042,1,0)) - (W1042+X1042)
     )
     - IF(AND(AB1042&lt;&gt;"""",AC1042&lt;&gt;""""), 
          SUM(ARRAYFORMULA(SPLIT(AC1042,"","") - SPLI"&amp;"T(AB1042,"",""))), 
          0
       ),
     ""[hh]:mm""
   )
)
"),"01:14")</f>
        <v>01:14</v>
      </c>
      <c r="AJ1042" s="27">
        <f t="shared" si="16"/>
        <v>0</v>
      </c>
      <c r="AK1042" s="63" t="str">
        <f t="shared" si="17"/>
        <v>Pass</v>
      </c>
    </row>
    <row r="1043">
      <c r="A1043" s="45">
        <v>46001.0</v>
      </c>
      <c r="B1043" s="49">
        <v>0.6791666666666667</v>
      </c>
      <c r="C1043" s="45">
        <v>46001.0</v>
      </c>
      <c r="D1043" s="49">
        <v>0.6819444444444445</v>
      </c>
      <c r="E1043" s="21" t="s">
        <v>7844</v>
      </c>
      <c r="F1043" s="21" t="s">
        <v>6096</v>
      </c>
      <c r="G1043" s="21" t="s">
        <v>6097</v>
      </c>
      <c r="H1043" s="21" t="s">
        <v>4256</v>
      </c>
      <c r="I1043" s="21" t="s">
        <v>131</v>
      </c>
      <c r="J1043" s="21" t="s">
        <v>3806</v>
      </c>
      <c r="K1043" s="21" t="s">
        <v>43</v>
      </c>
      <c r="L1043" s="21">
        <v>7600.0</v>
      </c>
      <c r="M1043" s="21" t="s">
        <v>7845</v>
      </c>
      <c r="N1043" s="21" t="s">
        <v>7846</v>
      </c>
      <c r="O1043" s="48" t="s">
        <v>7847</v>
      </c>
      <c r="P1043" s="21" t="s">
        <v>75</v>
      </c>
      <c r="Q1043" s="24" t="s">
        <v>65</v>
      </c>
      <c r="R1043" s="102" t="s">
        <v>7848</v>
      </c>
      <c r="S1043" s="21" t="s">
        <v>51</v>
      </c>
      <c r="T1043" s="21" t="s">
        <v>6676</v>
      </c>
      <c r="U1043" s="21" t="s">
        <v>7849</v>
      </c>
      <c r="V1043" s="21" t="s">
        <v>7850</v>
      </c>
      <c r="W1043" s="45">
        <v>46001.0</v>
      </c>
      <c r="X1043" s="49">
        <v>0.6819444444444445</v>
      </c>
      <c r="Y1043" s="45">
        <v>46001.0</v>
      </c>
      <c r="Z1043" s="49">
        <v>0.7430555555555556</v>
      </c>
      <c r="AA1043" s="49">
        <v>0.7472222222222222</v>
      </c>
      <c r="AB1043" s="25">
        <v>0.7548611111111111</v>
      </c>
      <c r="AC1043" s="25">
        <v>0.8027777777777778</v>
      </c>
      <c r="AD1043" s="25">
        <v>0.8270833333333333</v>
      </c>
      <c r="AE1043" s="45">
        <v>46001.0</v>
      </c>
      <c r="AF1043" s="21" t="s">
        <v>7851</v>
      </c>
      <c r="AG1043" s="21" t="s">
        <v>313</v>
      </c>
      <c r="AH1043" s="21" t="s">
        <v>7852</v>
      </c>
      <c r="AI1043" s="62" t="str">
        <f>IFERROR(__xludf.DUMMYFUNCTION("IF(OR(W1043="""",X1043="""",AE1043="""",AD1043=""""),"""",
   TEXT(
     (
       (AE1043+AD1043 + IF(AE1043+AD1043 &lt; W1043+X1043,1,0)) - (W1043+X1043)
     )
     - IF(AND(AB1043&lt;&gt;"""",AC1043&lt;&gt;""""), 
          SUM(ARRAYFORMULA(SPLIT(AC1043,"","") - SPLI"&amp;"T(AB1043,"",""))), 
          0
       ),
     ""[hh]:mm""
   )
)
"),"02:20")</f>
        <v>02:20</v>
      </c>
      <c r="AJ1043" s="27">
        <f t="shared" si="16"/>
        <v>0</v>
      </c>
      <c r="AK1043" s="63" t="str">
        <f t="shared" si="17"/>
        <v>Pass</v>
      </c>
    </row>
    <row r="1044">
      <c r="A1044" s="45">
        <v>46000.0</v>
      </c>
      <c r="B1044" s="49">
        <v>0.40625</v>
      </c>
      <c r="C1044" s="45">
        <v>46000.0</v>
      </c>
      <c r="D1044" s="49">
        <v>0.40902777777777777</v>
      </c>
      <c r="E1044" s="21" t="s">
        <v>7853</v>
      </c>
      <c r="F1044" s="21" t="s">
        <v>7854</v>
      </c>
      <c r="G1044" s="21" t="s">
        <v>7855</v>
      </c>
      <c r="H1044" s="21" t="s">
        <v>253</v>
      </c>
      <c r="I1044" s="21" t="s">
        <v>928</v>
      </c>
      <c r="J1044" s="21" t="s">
        <v>928</v>
      </c>
      <c r="K1044" s="21" t="s">
        <v>52</v>
      </c>
      <c r="L1044" s="21" t="s">
        <v>52</v>
      </c>
      <c r="M1044" s="21" t="s">
        <v>52</v>
      </c>
      <c r="N1044" s="21" t="s">
        <v>7856</v>
      </c>
      <c r="O1044" s="48" t="s">
        <v>7857</v>
      </c>
      <c r="P1044" s="21" t="s">
        <v>48</v>
      </c>
      <c r="Q1044" s="24" t="s">
        <v>198</v>
      </c>
      <c r="R1044" s="21" t="s">
        <v>7858</v>
      </c>
      <c r="S1044" s="21" t="s">
        <v>51</v>
      </c>
      <c r="T1044" s="21" t="s">
        <v>52</v>
      </c>
      <c r="U1044" s="21" t="s">
        <v>52</v>
      </c>
      <c r="V1044" s="21" t="s">
        <v>52</v>
      </c>
      <c r="W1044" s="45">
        <v>46002.0</v>
      </c>
      <c r="X1044" s="49">
        <v>0.4375</v>
      </c>
      <c r="Y1044" s="45">
        <v>46002.0</v>
      </c>
      <c r="Z1044" s="49">
        <v>0.44305555555555554</v>
      </c>
      <c r="AA1044" s="49">
        <v>0.44375</v>
      </c>
      <c r="AB1044" s="29"/>
      <c r="AC1044" s="29"/>
      <c r="AD1044" s="25">
        <v>0.4791666666666667</v>
      </c>
      <c r="AE1044" s="45">
        <v>46002.0</v>
      </c>
      <c r="AF1044" s="21" t="s">
        <v>2730</v>
      </c>
      <c r="AG1044" s="21" t="s">
        <v>1475</v>
      </c>
      <c r="AH1044" s="21" t="s">
        <v>7859</v>
      </c>
      <c r="AI1044" s="62" t="str">
        <f>IFERROR(__xludf.DUMMYFUNCTION("IF(OR(W1044="""",X1044="""",AE1044="""",AD1044=""""),"""",
   TEXT(
     (
       (AE1044+AD1044 + IF(AE1044+AD1044 &lt; W1044+X1044,1,0)) - (W1044+X1044)
     )
     - IF(AND(AB1044&lt;&gt;"""",AC1044&lt;&gt;""""), 
          SUM(ARRAYFORMULA(SPLIT(AC1044,"","") - SPLI"&amp;"T(AB1044,"",""))), 
          0
       ),
     ""[hh]:mm""
   )
)
"),"01:00")</f>
        <v>01:00</v>
      </c>
      <c r="AJ1044" s="27">
        <f t="shared" si="16"/>
        <v>0</v>
      </c>
      <c r="AK1044" s="63" t="str">
        <f t="shared" si="17"/>
        <v>Pass</v>
      </c>
    </row>
    <row r="1045">
      <c r="A1045" s="45">
        <v>46001.0</v>
      </c>
      <c r="B1045" s="49">
        <v>0.5243055555555556</v>
      </c>
      <c r="C1045" s="45">
        <v>46002.0</v>
      </c>
      <c r="D1045" s="49">
        <v>0.29791666666666666</v>
      </c>
      <c r="E1045" s="21" t="s">
        <v>7860</v>
      </c>
      <c r="F1045" s="21" t="s">
        <v>1545</v>
      </c>
      <c r="G1045" s="21" t="s">
        <v>1546</v>
      </c>
      <c r="H1045" s="21" t="s">
        <v>4040</v>
      </c>
      <c r="I1045" s="21" t="s">
        <v>836</v>
      </c>
      <c r="J1045" s="21" t="s">
        <v>1056</v>
      </c>
      <c r="K1045" s="21" t="s">
        <v>635</v>
      </c>
      <c r="L1045" s="21" t="s">
        <v>664</v>
      </c>
      <c r="M1045" s="21" t="s">
        <v>7861</v>
      </c>
      <c r="N1045" s="21" t="s">
        <v>7862</v>
      </c>
      <c r="O1045" s="48" t="s">
        <v>7863</v>
      </c>
      <c r="P1045" s="21" t="s">
        <v>48</v>
      </c>
      <c r="Q1045" s="24" t="s">
        <v>65</v>
      </c>
      <c r="R1045" s="21" t="s">
        <v>7864</v>
      </c>
      <c r="S1045" s="21" t="s">
        <v>51</v>
      </c>
      <c r="T1045" s="21" t="s">
        <v>52</v>
      </c>
      <c r="U1045" s="21" t="s">
        <v>52</v>
      </c>
      <c r="V1045" s="21" t="s">
        <v>52</v>
      </c>
      <c r="W1045" s="45">
        <v>46002.0</v>
      </c>
      <c r="X1045" s="49">
        <v>0.29791666666666666</v>
      </c>
      <c r="Y1045" s="45">
        <v>46002.0</v>
      </c>
      <c r="Z1045" s="49">
        <v>0.3701388888888889</v>
      </c>
      <c r="AA1045" s="49">
        <v>0.375</v>
      </c>
      <c r="AB1045" s="29"/>
      <c r="AC1045" s="29"/>
      <c r="AD1045" s="25">
        <v>0.4097222222222222</v>
      </c>
      <c r="AE1045" s="45">
        <v>46002.0</v>
      </c>
      <c r="AF1045" s="21" t="s">
        <v>3007</v>
      </c>
      <c r="AG1045" s="21" t="s">
        <v>67</v>
      </c>
      <c r="AH1045" s="21" t="s">
        <v>7865</v>
      </c>
      <c r="AI1045" s="62" t="str">
        <f>IFERROR(__xludf.DUMMYFUNCTION("IF(OR(W1045="""",X1045="""",AE1045="""",AD1045=""""),"""",
   TEXT(
     (
       (AE1045+AD1045 + IF(AE1045+AD1045 &lt; W1045+X1045,1,0)) - (W1045+X1045)
     )
     - IF(AND(AB1045&lt;&gt;"""",AC1045&lt;&gt;""""), 
          SUM(ARRAYFORMULA(SPLIT(AC1045,"","") - SPLI"&amp;"T(AB1045,"",""))), 
          0
       ),
     ""[hh]:mm""
   )
)
"),"02:41")</f>
        <v>02:41</v>
      </c>
      <c r="AJ1045" s="27">
        <f t="shared" si="16"/>
        <v>0</v>
      </c>
      <c r="AK1045" s="63" t="str">
        <f t="shared" si="17"/>
        <v>Pass</v>
      </c>
    </row>
    <row r="1046">
      <c r="A1046" s="45">
        <v>46002.0</v>
      </c>
      <c r="B1046" s="49">
        <v>0.22083333333333333</v>
      </c>
      <c r="C1046" s="45">
        <v>46002.0</v>
      </c>
      <c r="D1046" s="49">
        <v>0.3</v>
      </c>
      <c r="E1046" s="21" t="s">
        <v>7866</v>
      </c>
      <c r="F1046" s="21" t="s">
        <v>6537</v>
      </c>
      <c r="G1046" s="21" t="s">
        <v>6538</v>
      </c>
      <c r="H1046" s="21" t="s">
        <v>566</v>
      </c>
      <c r="I1046" s="21" t="s">
        <v>644</v>
      </c>
      <c r="J1046" s="21" t="s">
        <v>644</v>
      </c>
      <c r="K1046" s="21" t="s">
        <v>143</v>
      </c>
      <c r="L1046" s="21" t="s">
        <v>1498</v>
      </c>
      <c r="M1046" s="21" t="s">
        <v>7867</v>
      </c>
      <c r="N1046" s="21" t="s">
        <v>7868</v>
      </c>
      <c r="O1046" s="48" t="s">
        <v>7869</v>
      </c>
      <c r="P1046" s="21" t="s">
        <v>48</v>
      </c>
      <c r="Q1046" s="24" t="s">
        <v>65</v>
      </c>
      <c r="R1046" s="21" t="s">
        <v>7870</v>
      </c>
      <c r="S1046" s="21" t="s">
        <v>51</v>
      </c>
      <c r="T1046" s="21" t="s">
        <v>4934</v>
      </c>
      <c r="U1046" s="21" t="s">
        <v>52</v>
      </c>
      <c r="V1046" s="21" t="s">
        <v>52</v>
      </c>
      <c r="W1046" s="45">
        <v>46002.0</v>
      </c>
      <c r="X1046" s="49">
        <v>0.3</v>
      </c>
      <c r="Y1046" s="45">
        <v>46002.0</v>
      </c>
      <c r="Z1046" s="49">
        <v>0.4583333333333333</v>
      </c>
      <c r="AA1046" s="49">
        <v>0.4652777777777778</v>
      </c>
      <c r="AB1046" s="29"/>
      <c r="AC1046" s="29"/>
      <c r="AD1046" s="25">
        <v>0.5229166666666667</v>
      </c>
      <c r="AE1046" s="45">
        <v>46002.0</v>
      </c>
      <c r="AF1046" s="21" t="s">
        <v>3054</v>
      </c>
      <c r="AG1046" s="21" t="s">
        <v>293</v>
      </c>
      <c r="AH1046" s="21" t="s">
        <v>7871</v>
      </c>
      <c r="AI1046" s="62" t="str">
        <f>IFERROR(__xludf.DUMMYFUNCTION("IF(OR(W1046="""",X1046="""",AE1046="""",AD1046=""""),"""",
   TEXT(
     (
       (AE1046+AD1046 + IF(AE1046+AD1046 &lt; W1046+X1046,1,0)) - (W1046+X1046)
     )
     - IF(AND(AB1046&lt;&gt;"""",AC1046&lt;&gt;""""), 
          SUM(ARRAYFORMULA(SPLIT(AC1046,"","") - SPLI"&amp;"T(AB1046,"",""))), 
          0
       ),
     ""[hh]:mm""
   )
)
"),"05:21")</f>
        <v>05:21</v>
      </c>
      <c r="AJ1046" s="27">
        <f t="shared" si="16"/>
        <v>0</v>
      </c>
      <c r="AK1046" s="63" t="str">
        <f t="shared" si="17"/>
        <v>Pass</v>
      </c>
    </row>
    <row r="1047">
      <c r="A1047" s="45">
        <v>46002.0</v>
      </c>
      <c r="B1047" s="49">
        <v>0.3423611111111111</v>
      </c>
      <c r="C1047" s="45">
        <v>46002.0</v>
      </c>
      <c r="D1047" s="49">
        <v>0.35208333333333336</v>
      </c>
      <c r="E1047" s="21" t="s">
        <v>7872</v>
      </c>
      <c r="F1047" s="21" t="s">
        <v>1144</v>
      </c>
      <c r="G1047" s="21" t="s">
        <v>1145</v>
      </c>
      <c r="H1047" s="21" t="s">
        <v>566</v>
      </c>
      <c r="I1047" s="21" t="s">
        <v>95</v>
      </c>
      <c r="J1047" s="21" t="s">
        <v>95</v>
      </c>
      <c r="K1047" s="21" t="s">
        <v>333</v>
      </c>
      <c r="L1047" s="21" t="s">
        <v>7873</v>
      </c>
      <c r="M1047" s="21" t="s">
        <v>7874</v>
      </c>
      <c r="N1047" s="21" t="s">
        <v>7875</v>
      </c>
      <c r="O1047" s="48" t="s">
        <v>7876</v>
      </c>
      <c r="P1047" s="21" t="s">
        <v>48</v>
      </c>
      <c r="Q1047" s="24" t="s">
        <v>49</v>
      </c>
      <c r="R1047" s="21" t="s">
        <v>7877</v>
      </c>
      <c r="S1047" s="21" t="s">
        <v>51</v>
      </c>
      <c r="T1047" s="21" t="s">
        <v>4934</v>
      </c>
      <c r="U1047" s="21" t="s">
        <v>52</v>
      </c>
      <c r="V1047" s="21" t="s">
        <v>52</v>
      </c>
      <c r="W1047" s="45">
        <v>46002.0</v>
      </c>
      <c r="X1047" s="49">
        <v>0.35208333333333336</v>
      </c>
      <c r="Y1047" s="45">
        <v>46002.0</v>
      </c>
      <c r="Z1047" s="49">
        <v>0.41805555555555557</v>
      </c>
      <c r="AA1047" s="49">
        <v>0.4861111111111111</v>
      </c>
      <c r="AB1047" s="25">
        <v>0.4201388888888889</v>
      </c>
      <c r="AC1047" s="25">
        <v>0.4861111111111111</v>
      </c>
      <c r="AD1047" s="25">
        <v>0.5569444444444445</v>
      </c>
      <c r="AE1047" s="45">
        <v>46002.0</v>
      </c>
      <c r="AF1047" s="21" t="s">
        <v>3007</v>
      </c>
      <c r="AG1047" s="21" t="s">
        <v>67</v>
      </c>
      <c r="AH1047" s="21" t="s">
        <v>7878</v>
      </c>
      <c r="AI1047" s="62" t="str">
        <f>IFERROR(__xludf.DUMMYFUNCTION("IF(OR(W1047="""",X1047="""",AE1047="""",AD1047=""""),"""",
   TEXT(
     (
       (AE1047+AD1047 + IF(AE1047+AD1047 &lt; W1047+X1047,1,0)) - (W1047+X1047)
     )
     - IF(AND(AB1047&lt;&gt;"""",AC1047&lt;&gt;""""), 
          SUM(ARRAYFORMULA(SPLIT(AC1047,"","") - SPLI"&amp;"T(AB1047,"",""))), 
          0
       ),
     ""[hh]:mm""
   )
)
"),"03:20")</f>
        <v>03:20</v>
      </c>
      <c r="AJ1047" s="27">
        <f t="shared" si="16"/>
        <v>0</v>
      </c>
      <c r="AK1047" s="63" t="str">
        <f t="shared" si="17"/>
        <v>Pass</v>
      </c>
    </row>
    <row r="1048">
      <c r="A1048" s="45">
        <v>46002.0</v>
      </c>
      <c r="B1048" s="49">
        <v>0.4736111111111111</v>
      </c>
      <c r="C1048" s="45">
        <v>46002.0</v>
      </c>
      <c r="D1048" s="49">
        <v>0.4777777777777778</v>
      </c>
      <c r="E1048" s="21" t="s">
        <v>7879</v>
      </c>
      <c r="F1048" s="21" t="s">
        <v>998</v>
      </c>
      <c r="G1048" s="21" t="s">
        <v>999</v>
      </c>
      <c r="H1048" s="21" t="s">
        <v>156</v>
      </c>
      <c r="I1048" s="21" t="s">
        <v>131</v>
      </c>
      <c r="J1048" s="21" t="s">
        <v>3806</v>
      </c>
      <c r="K1048" s="21" t="s">
        <v>43</v>
      </c>
      <c r="L1048" s="21" t="s">
        <v>805</v>
      </c>
      <c r="M1048" s="21" t="s">
        <v>7880</v>
      </c>
      <c r="N1048" s="21" t="s">
        <v>7881</v>
      </c>
      <c r="O1048" s="48" t="s">
        <v>7882</v>
      </c>
      <c r="P1048" s="21" t="s">
        <v>75</v>
      </c>
      <c r="Q1048" s="24" t="s">
        <v>65</v>
      </c>
      <c r="R1048" s="102" t="s">
        <v>7883</v>
      </c>
      <c r="S1048" s="21" t="s">
        <v>51</v>
      </c>
      <c r="T1048" s="21" t="s">
        <v>6676</v>
      </c>
      <c r="U1048" s="21" t="s">
        <v>7884</v>
      </c>
      <c r="V1048" s="21" t="s">
        <v>7885</v>
      </c>
      <c r="W1048" s="45">
        <v>46002.0</v>
      </c>
      <c r="X1048" s="88">
        <v>0.4777777777777778</v>
      </c>
      <c r="Y1048" s="45">
        <v>46002.0</v>
      </c>
      <c r="Z1048" s="49">
        <v>0.5652777777777778</v>
      </c>
      <c r="AA1048" s="49">
        <v>0.5659722222222222</v>
      </c>
      <c r="AB1048" s="25">
        <v>0.625</v>
      </c>
      <c r="AC1048" s="25">
        <v>0.7069444444444445</v>
      </c>
      <c r="AD1048" s="25">
        <v>0.7638888888888888</v>
      </c>
      <c r="AE1048" s="45">
        <v>46002.0</v>
      </c>
      <c r="AF1048" s="21" t="s">
        <v>3007</v>
      </c>
      <c r="AG1048" s="21" t="s">
        <v>102</v>
      </c>
      <c r="AH1048" s="21" t="s">
        <v>7886</v>
      </c>
      <c r="AI1048" s="62" t="str">
        <f>IFERROR(__xludf.DUMMYFUNCTION("IF(OR(W1048="""",X1048="""",AE1048="""",AD1048=""""),"""",
   TEXT(
     (
       (AE1048+AD1048 + IF(AE1048+AD1048 &lt; W1048+X1048,1,0)) - (W1048+X1048)
     )
     - IF(AND(AB1048&lt;&gt;"""",AC1048&lt;&gt;""""), 
          SUM(ARRAYFORMULA(SPLIT(AC1048,"","") - SPLI"&amp;"T(AB1048,"",""))), 
          0
       ),
     ""[hh]:mm""
   )
)
"),"04:54")</f>
        <v>04:54</v>
      </c>
      <c r="AJ1048" s="27">
        <f t="shared" si="16"/>
        <v>0</v>
      </c>
      <c r="AK1048" s="63" t="str">
        <f t="shared" si="17"/>
        <v>Pass</v>
      </c>
    </row>
    <row r="1049">
      <c r="A1049" s="45">
        <v>46002.0</v>
      </c>
      <c r="B1049" s="49">
        <v>0.5145833333333333</v>
      </c>
      <c r="C1049" s="45">
        <v>46002.0</v>
      </c>
      <c r="D1049" s="49">
        <v>0.5243055555555556</v>
      </c>
      <c r="E1049" s="21" t="s">
        <v>7887</v>
      </c>
      <c r="F1049" s="21" t="s">
        <v>4686</v>
      </c>
      <c r="G1049" s="21" t="s">
        <v>4687</v>
      </c>
      <c r="H1049" s="21" t="s">
        <v>1610</v>
      </c>
      <c r="I1049" s="21" t="s">
        <v>1612</v>
      </c>
      <c r="J1049" s="21" t="s">
        <v>1612</v>
      </c>
      <c r="K1049" s="21" t="s">
        <v>143</v>
      </c>
      <c r="L1049" s="21" t="s">
        <v>1613</v>
      </c>
      <c r="M1049" s="21" t="s">
        <v>7888</v>
      </c>
      <c r="N1049" s="21" t="s">
        <v>5389</v>
      </c>
      <c r="O1049" s="48" t="s">
        <v>7889</v>
      </c>
      <c r="P1049" s="21" t="s">
        <v>187</v>
      </c>
      <c r="Q1049" s="24" t="s">
        <v>65</v>
      </c>
      <c r="R1049" s="21" t="s">
        <v>7890</v>
      </c>
      <c r="S1049" s="21" t="s">
        <v>51</v>
      </c>
      <c r="T1049" s="21" t="s">
        <v>52</v>
      </c>
      <c r="U1049" s="21" t="s">
        <v>52</v>
      </c>
      <c r="V1049" s="21" t="s">
        <v>52</v>
      </c>
      <c r="W1049" s="45">
        <v>46002.0</v>
      </c>
      <c r="X1049" s="88">
        <v>0.5243055555555556</v>
      </c>
      <c r="Y1049" s="45">
        <v>46002.0</v>
      </c>
      <c r="Z1049" s="49">
        <v>0.6048611111111111</v>
      </c>
      <c r="AA1049" s="49">
        <v>0.6055555555555555</v>
      </c>
      <c r="AB1049" s="29"/>
      <c r="AC1049" s="29"/>
      <c r="AD1049" s="25">
        <v>0.7104166666666667</v>
      </c>
      <c r="AE1049" s="45">
        <v>46002.0</v>
      </c>
      <c r="AF1049" s="21" t="s">
        <v>2828</v>
      </c>
      <c r="AG1049" s="21" t="s">
        <v>162</v>
      </c>
      <c r="AH1049" s="21" t="s">
        <v>7891</v>
      </c>
      <c r="AI1049" s="62" t="str">
        <f>IFERROR(__xludf.DUMMYFUNCTION("IF(OR(W1049="""",X1049="""",AE1049="""",AD1049=""""),"""",
   TEXT(
     (
       (AE1049+AD1049 + IF(AE1049+AD1049 &lt; W1049+X1049,1,0)) - (W1049+X1049)
     )
     - IF(AND(AB1049&lt;&gt;"""",AC1049&lt;&gt;""""), 
          SUM(ARRAYFORMULA(SPLIT(AC1049,"","") - SPLI"&amp;"T(AB1049,"",""))), 
          0
       ),
     ""[hh]:mm""
   )
)
"),"04:28")</f>
        <v>04:28</v>
      </c>
      <c r="AJ1049" s="27">
        <f t="shared" si="16"/>
        <v>0</v>
      </c>
      <c r="AK1049" s="63" t="str">
        <f t="shared" si="17"/>
        <v>Pass</v>
      </c>
    </row>
    <row r="1050">
      <c r="A1050" s="45">
        <v>46002.0</v>
      </c>
      <c r="B1050" s="49">
        <v>0.5145833333333333</v>
      </c>
      <c r="C1050" s="45">
        <v>46002.0</v>
      </c>
      <c r="D1050" s="49">
        <v>0.5243055555555556</v>
      </c>
      <c r="E1050" s="21" t="s">
        <v>7892</v>
      </c>
      <c r="F1050" s="21" t="s">
        <v>4686</v>
      </c>
      <c r="G1050" s="21" t="s">
        <v>4687</v>
      </c>
      <c r="H1050" s="21" t="s">
        <v>1610</v>
      </c>
      <c r="I1050" s="21" t="s">
        <v>1612</v>
      </c>
      <c r="J1050" s="21" t="s">
        <v>1612</v>
      </c>
      <c r="K1050" s="21" t="s">
        <v>143</v>
      </c>
      <c r="L1050" s="21" t="s">
        <v>1613</v>
      </c>
      <c r="M1050" s="21" t="s">
        <v>7893</v>
      </c>
      <c r="N1050" s="21" t="s">
        <v>5389</v>
      </c>
      <c r="O1050" s="48" t="s">
        <v>7889</v>
      </c>
      <c r="P1050" s="21" t="s">
        <v>187</v>
      </c>
      <c r="Q1050" s="24" t="s">
        <v>65</v>
      </c>
      <c r="R1050" s="21" t="s">
        <v>7890</v>
      </c>
      <c r="S1050" s="21" t="s">
        <v>51</v>
      </c>
      <c r="T1050" s="21" t="s">
        <v>52</v>
      </c>
      <c r="U1050" s="21" t="s">
        <v>52</v>
      </c>
      <c r="V1050" s="21" t="s">
        <v>52</v>
      </c>
      <c r="W1050" s="45">
        <v>46002.0</v>
      </c>
      <c r="X1050" s="88">
        <v>0.5243055555555556</v>
      </c>
      <c r="Y1050" s="45">
        <v>46002.0</v>
      </c>
      <c r="Z1050" s="49">
        <v>0.6048611111111111</v>
      </c>
      <c r="AA1050" s="49">
        <v>0.6055555555555555</v>
      </c>
      <c r="AB1050" s="29"/>
      <c r="AC1050" s="29"/>
      <c r="AD1050" s="25">
        <v>0.7104166666666667</v>
      </c>
      <c r="AE1050" s="45">
        <v>46002.0</v>
      </c>
      <c r="AF1050" s="21" t="s">
        <v>2828</v>
      </c>
      <c r="AG1050" s="21" t="s">
        <v>162</v>
      </c>
      <c r="AH1050" s="21" t="s">
        <v>7891</v>
      </c>
      <c r="AI1050" s="62" t="str">
        <f>IFERROR(__xludf.DUMMYFUNCTION("IF(OR(W1050="""",X1050="""",AE1050="""",AD1050=""""),"""",
   TEXT(
     (
       (AE1050+AD1050 + IF(AE1050+AD1050 &lt; W1050+X1050,1,0)) - (W1050+X1050)
     )
     - IF(AND(AB1050&lt;&gt;"""",AC1050&lt;&gt;""""), 
          SUM(ARRAYFORMULA(SPLIT(AC1050,"","") - SPLI"&amp;"T(AB1050,"",""))), 
          0
       ),
     ""[hh]:mm""
   )
)
"),"04:28")</f>
        <v>04:28</v>
      </c>
      <c r="AJ1050" s="27">
        <f t="shared" si="16"/>
        <v>0</v>
      </c>
      <c r="AK1050" s="63" t="str">
        <f t="shared" si="17"/>
        <v>Pass</v>
      </c>
    </row>
    <row r="1051">
      <c r="A1051" s="45">
        <v>46002.0</v>
      </c>
      <c r="B1051" s="49">
        <v>0.6159722222222223</v>
      </c>
      <c r="C1051" s="45">
        <v>46002.0</v>
      </c>
      <c r="D1051" s="49">
        <v>0.6159722222222223</v>
      </c>
      <c r="E1051" s="21" t="s">
        <v>7894</v>
      </c>
      <c r="F1051" s="21" t="s">
        <v>842</v>
      </c>
      <c r="G1051" s="21" t="s">
        <v>7895</v>
      </c>
      <c r="H1051" s="21" t="s">
        <v>7896</v>
      </c>
      <c r="I1051" s="21" t="s">
        <v>616</v>
      </c>
      <c r="J1051" s="21" t="s">
        <v>3806</v>
      </c>
      <c r="K1051" s="21" t="s">
        <v>43</v>
      </c>
      <c r="L1051" s="21" t="s">
        <v>2714</v>
      </c>
      <c r="M1051" s="21" t="s">
        <v>7897</v>
      </c>
      <c r="N1051" s="21" t="s">
        <v>7898</v>
      </c>
      <c r="O1051" s="48" t="s">
        <v>7899</v>
      </c>
      <c r="P1051" s="21" t="s">
        <v>75</v>
      </c>
      <c r="Q1051" s="24" t="s">
        <v>65</v>
      </c>
      <c r="R1051" s="102" t="s">
        <v>7900</v>
      </c>
      <c r="S1051" s="21" t="s">
        <v>51</v>
      </c>
      <c r="T1051" s="21" t="s">
        <v>2032</v>
      </c>
      <c r="U1051" s="21" t="s">
        <v>5331</v>
      </c>
      <c r="V1051" s="21" t="s">
        <v>2714</v>
      </c>
      <c r="W1051" s="45">
        <v>46002.0</v>
      </c>
      <c r="X1051" s="88">
        <v>0.6159722222222223</v>
      </c>
      <c r="Y1051" s="45">
        <v>46002.0</v>
      </c>
      <c r="Z1051" s="49">
        <v>0.6777777777777778</v>
      </c>
      <c r="AA1051" s="49">
        <v>0.7229166666666667</v>
      </c>
      <c r="AB1051" s="29"/>
      <c r="AC1051" s="29"/>
      <c r="AD1051" s="25">
        <v>0.7680555555555556</v>
      </c>
      <c r="AE1051" s="45">
        <v>46002.0</v>
      </c>
      <c r="AF1051" s="21" t="s">
        <v>7901</v>
      </c>
      <c r="AG1051" s="21" t="s">
        <v>7902</v>
      </c>
      <c r="AH1051" s="21" t="s">
        <v>7903</v>
      </c>
      <c r="AI1051" s="62" t="str">
        <f>IFERROR(__xludf.DUMMYFUNCTION("IF(OR(W1051="""",X1051="""",AE1051="""",AD1051=""""),"""",
   TEXT(
     (
       (AE1051+AD1051 + IF(AE1051+AD1051 &lt; W1051+X1051,1,0)) - (W1051+X1051)
     )
     - IF(AND(AB1051&lt;&gt;"""",AC1051&lt;&gt;""""), 
          SUM(ARRAYFORMULA(SPLIT(AC1051,"","") - SPLI"&amp;"T(AB1051,"",""))), 
          0
       ),
     ""[hh]:mm""
   )
)
"),"03:39")</f>
        <v>03:39</v>
      </c>
      <c r="AJ1051" s="27">
        <f t="shared" si="16"/>
        <v>0</v>
      </c>
      <c r="AK1051" s="63" t="str">
        <f t="shared" si="17"/>
        <v>Pass</v>
      </c>
    </row>
    <row r="1052">
      <c r="A1052" s="45">
        <v>46002.0</v>
      </c>
      <c r="B1052" s="49">
        <v>0.6381944444444444</v>
      </c>
      <c r="C1052" s="45">
        <v>46002.0</v>
      </c>
      <c r="D1052" s="49">
        <v>0.6416666666666667</v>
      </c>
      <c r="E1052" s="21" t="s">
        <v>7904</v>
      </c>
      <c r="F1052" s="21" t="s">
        <v>7326</v>
      </c>
      <c r="G1052" s="21" t="s">
        <v>7905</v>
      </c>
      <c r="H1052" s="21" t="s">
        <v>156</v>
      </c>
      <c r="I1052" s="21" t="s">
        <v>616</v>
      </c>
      <c r="J1052" s="21" t="s">
        <v>3813</v>
      </c>
      <c r="K1052" s="21" t="s">
        <v>61</v>
      </c>
      <c r="L1052" s="21" t="s">
        <v>1699</v>
      </c>
      <c r="M1052" s="21" t="s">
        <v>7906</v>
      </c>
      <c r="N1052" s="21" t="s">
        <v>3425</v>
      </c>
      <c r="O1052" s="48" t="s">
        <v>7907</v>
      </c>
      <c r="P1052" s="21" t="s">
        <v>75</v>
      </c>
      <c r="Q1052" s="24" t="s">
        <v>65</v>
      </c>
      <c r="R1052" s="102" t="s">
        <v>7908</v>
      </c>
      <c r="S1052" s="21" t="s">
        <v>51</v>
      </c>
      <c r="T1052" s="21" t="s">
        <v>6676</v>
      </c>
      <c r="U1052" s="21" t="s">
        <v>7909</v>
      </c>
      <c r="V1052" s="21" t="s">
        <v>7910</v>
      </c>
      <c r="W1052" s="45">
        <v>46002.0</v>
      </c>
      <c r="X1052" s="88">
        <v>0.6416666666666667</v>
      </c>
      <c r="Y1052" s="45">
        <v>46002.0</v>
      </c>
      <c r="Z1052" s="49">
        <v>0.7534722222222222</v>
      </c>
      <c r="AA1052" s="49">
        <v>0.7534722222222222</v>
      </c>
      <c r="AB1052" s="29"/>
      <c r="AC1052" s="29"/>
      <c r="AD1052" s="25">
        <v>0.8597222222222223</v>
      </c>
      <c r="AE1052" s="45">
        <v>46002.0</v>
      </c>
      <c r="AF1052" s="21" t="s">
        <v>7212</v>
      </c>
      <c r="AG1052" s="21" t="s">
        <v>7612</v>
      </c>
      <c r="AH1052" s="21" t="s">
        <v>7911</v>
      </c>
      <c r="AI1052" s="62" t="str">
        <f>IFERROR(__xludf.DUMMYFUNCTION("IF(OR(W1052="""",X1052="""",AE1052="""",AD1052=""""),"""",
   TEXT(
     (
       (AE1052+AD1052 + IF(AE1052+AD1052 &lt; W1052+X1052,1,0)) - (W1052+X1052)
     )
     - IF(AND(AB1052&lt;&gt;"""",AC1052&lt;&gt;""""), 
          SUM(ARRAYFORMULA(SPLIT(AC1052,"","") - SPLI"&amp;"T(AB1052,"",""))), 
          0
       ),
     ""[hh]:mm""
   )
)
"),"05:14")</f>
        <v>05:14</v>
      </c>
      <c r="AJ1052" s="27">
        <f t="shared" si="16"/>
        <v>0</v>
      </c>
      <c r="AK1052" s="63" t="str">
        <f t="shared" si="17"/>
        <v>Pass</v>
      </c>
    </row>
    <row r="1053">
      <c r="A1053" s="18">
        <v>46002.0</v>
      </c>
      <c r="B1053" s="20">
        <v>0.8430555555555556</v>
      </c>
      <c r="C1053" s="18">
        <v>46002.0</v>
      </c>
      <c r="D1053" s="20">
        <v>0.8458333333333333</v>
      </c>
      <c r="E1053" s="22" t="s">
        <v>7912</v>
      </c>
      <c r="F1053" s="22" t="s">
        <v>7326</v>
      </c>
      <c r="G1053" s="22" t="s">
        <v>7905</v>
      </c>
      <c r="H1053" s="22" t="s">
        <v>756</v>
      </c>
      <c r="I1053" s="22" t="s">
        <v>118</v>
      </c>
      <c r="J1053" s="22" t="s">
        <v>4198</v>
      </c>
      <c r="K1053" s="22" t="s">
        <v>72</v>
      </c>
      <c r="L1053" s="22" t="s">
        <v>1815</v>
      </c>
      <c r="M1053" s="22" t="s">
        <v>7913</v>
      </c>
      <c r="N1053" s="22" t="s">
        <v>7914</v>
      </c>
      <c r="O1053" s="23" t="s">
        <v>7915</v>
      </c>
      <c r="P1053" s="22" t="s">
        <v>75</v>
      </c>
      <c r="Q1053" s="50" t="s">
        <v>65</v>
      </c>
      <c r="R1053" s="22" t="s">
        <v>7916</v>
      </c>
      <c r="S1053" s="22" t="s">
        <v>51</v>
      </c>
      <c r="T1053" s="22" t="s">
        <v>2341</v>
      </c>
      <c r="U1053" s="22" t="s">
        <v>7917</v>
      </c>
      <c r="V1053" s="22" t="s">
        <v>7918</v>
      </c>
      <c r="W1053" s="18">
        <v>46002.0</v>
      </c>
      <c r="X1053" s="103">
        <v>0.8458333333333333</v>
      </c>
      <c r="Y1053" s="18">
        <v>46002.0</v>
      </c>
      <c r="Z1053" s="20">
        <v>0.7534722222222222</v>
      </c>
      <c r="AA1053" s="20">
        <v>0.9118055555555555</v>
      </c>
      <c r="AB1053" s="54"/>
      <c r="AC1053" s="54"/>
      <c r="AD1053" s="51">
        <v>0.9270833333333334</v>
      </c>
      <c r="AE1053" s="18">
        <v>46002.0</v>
      </c>
      <c r="AF1053" s="22" t="s">
        <v>2788</v>
      </c>
      <c r="AG1053" s="22" t="s">
        <v>7612</v>
      </c>
      <c r="AH1053" s="22" t="s">
        <v>7911</v>
      </c>
      <c r="AI1053" s="26" t="str">
        <f>IFERROR(__xludf.DUMMYFUNCTION("IF(OR(W1053="""",X1053="""",AE1053="""",AD1053=""""),"""",
   TEXT(
     (
       (AE1053+AD1053 + IF(AE1053+AD1053 &lt; W1053+X1053,1,0)) - (W1053+X1053)
     )
     - IF(AND(AB1053&lt;&gt;"""",AC1053&lt;&gt;""""), 
          SUM(ARRAYFORMULA(SPLIT(AC1053,"","") - SPLI"&amp;"T(AB1053,"",""))), 
          0
       ),
     ""[hh]:mm""
   )
)
"),"01:57")</f>
        <v>01:57</v>
      </c>
      <c r="AJ1053" s="55">
        <f t="shared" si="16"/>
        <v>0</v>
      </c>
      <c r="AK1053" s="28" t="str">
        <f t="shared" si="17"/>
        <v>Pass</v>
      </c>
    </row>
    <row r="1054">
      <c r="A1054" s="45">
        <v>46000.0</v>
      </c>
      <c r="B1054" s="49">
        <v>0.7368055555555556</v>
      </c>
      <c r="C1054" s="45">
        <v>46000.0</v>
      </c>
      <c r="D1054" s="49">
        <v>0.7506944444444444</v>
      </c>
      <c r="E1054" s="21" t="s">
        <v>7919</v>
      </c>
      <c r="F1054" s="21" t="s">
        <v>7920</v>
      </c>
      <c r="G1054" s="21" t="s">
        <v>7921</v>
      </c>
      <c r="H1054" s="21" t="s">
        <v>1287</v>
      </c>
      <c r="I1054" s="21" t="s">
        <v>616</v>
      </c>
      <c r="J1054" s="22" t="s">
        <v>2253</v>
      </c>
      <c r="K1054" s="22" t="s">
        <v>43</v>
      </c>
      <c r="L1054" s="22" t="s">
        <v>7770</v>
      </c>
      <c r="M1054" s="21" t="s">
        <v>7922</v>
      </c>
      <c r="N1054" s="21" t="s">
        <v>7923</v>
      </c>
      <c r="O1054" s="48" t="s">
        <v>7924</v>
      </c>
      <c r="P1054" s="22" t="s">
        <v>75</v>
      </c>
      <c r="Q1054" s="50" t="s">
        <v>65</v>
      </c>
      <c r="R1054" s="21" t="s">
        <v>7925</v>
      </c>
      <c r="S1054" s="21" t="s">
        <v>51</v>
      </c>
      <c r="T1054" s="21" t="s">
        <v>6676</v>
      </c>
      <c r="U1054" s="21" t="s">
        <v>7926</v>
      </c>
      <c r="V1054" s="21" t="s">
        <v>7922</v>
      </c>
      <c r="W1054" s="45">
        <v>46003.0</v>
      </c>
      <c r="X1054" s="88">
        <v>0.375</v>
      </c>
      <c r="Y1054" s="45">
        <v>46003.0</v>
      </c>
      <c r="Z1054" s="49">
        <v>0.6493055555555556</v>
      </c>
      <c r="AA1054" s="49">
        <v>0.6597222222222222</v>
      </c>
      <c r="AB1054" s="92"/>
      <c r="AC1054" s="92"/>
      <c r="AD1054" s="25">
        <v>0.6840277777777778</v>
      </c>
      <c r="AE1054" s="104">
        <v>46003.0</v>
      </c>
      <c r="AF1054" s="21" t="s">
        <v>3358</v>
      </c>
      <c r="AG1054" s="21" t="s">
        <v>583</v>
      </c>
      <c r="AH1054" s="21" t="s">
        <v>7927</v>
      </c>
      <c r="AI1054" s="26" t="str">
        <f>IFERROR(__xludf.DUMMYFUNCTION("IF(OR(W1054="""",X1054="""",AE1054="""",AD1054=""""),"""",
   TEXT(
     (
       (AE1054+AD1054 + IF(AE1054+AD1054 &lt; W1054+X1054,1,0)) - (W1054+X1054)
     )
     - IF(AND(AB1054&lt;&gt;"""",AC1054&lt;&gt;""""), 
          SUM(ARRAYFORMULA(SPLIT(AC1054,"","") - SPLI"&amp;"T(AB1054,"",""))), 
          0
       ),
     ""[hh]:mm""
   )
)
"),"07:25")</f>
        <v>07:25</v>
      </c>
      <c r="AJ1054" s="55">
        <f t="shared" si="16"/>
        <v>0</v>
      </c>
      <c r="AK1054" s="28" t="str">
        <f t="shared" si="17"/>
        <v>Pass</v>
      </c>
    </row>
    <row r="1055">
      <c r="A1055" s="45">
        <v>46001.0</v>
      </c>
      <c r="B1055" s="49">
        <v>0.9229166666666667</v>
      </c>
      <c r="C1055" s="45">
        <v>46002.0</v>
      </c>
      <c r="D1055" s="49">
        <v>0.2847222222222222</v>
      </c>
      <c r="E1055" s="21" t="s">
        <v>7928</v>
      </c>
      <c r="F1055" s="21" t="s">
        <v>7929</v>
      </c>
      <c r="G1055" s="21" t="s">
        <v>7930</v>
      </c>
      <c r="H1055" s="21" t="s">
        <v>5169</v>
      </c>
      <c r="I1055" s="21" t="s">
        <v>107</v>
      </c>
      <c r="J1055" s="21" t="s">
        <v>3806</v>
      </c>
      <c r="K1055" s="21" t="s">
        <v>43</v>
      </c>
      <c r="L1055" s="21">
        <v>7600.0</v>
      </c>
      <c r="M1055" s="21" t="s">
        <v>7931</v>
      </c>
      <c r="N1055" s="21" t="s">
        <v>7932</v>
      </c>
      <c r="O1055" s="48" t="s">
        <v>7933</v>
      </c>
      <c r="P1055" s="21" t="s">
        <v>75</v>
      </c>
      <c r="Q1055" s="24" t="s">
        <v>49</v>
      </c>
      <c r="R1055" s="102" t="s">
        <v>7934</v>
      </c>
      <c r="S1055" s="21" t="s">
        <v>51</v>
      </c>
      <c r="T1055" s="21" t="s">
        <v>6676</v>
      </c>
      <c r="U1055" s="21" t="s">
        <v>7935</v>
      </c>
      <c r="V1055" s="21" t="s">
        <v>7931</v>
      </c>
      <c r="W1055" s="45">
        <v>46003.0</v>
      </c>
      <c r="X1055" s="88">
        <v>0.375</v>
      </c>
      <c r="Y1055" s="45">
        <v>46003.0</v>
      </c>
      <c r="Z1055" s="49">
        <v>0.46597222222222223</v>
      </c>
      <c r="AA1055" s="49">
        <v>0.4722222222222222</v>
      </c>
      <c r="AB1055" s="29"/>
      <c r="AC1055" s="29"/>
      <c r="AD1055" s="25">
        <v>0.5208333333333334</v>
      </c>
      <c r="AE1055" s="105">
        <v>46003.0</v>
      </c>
      <c r="AF1055" s="21" t="s">
        <v>7936</v>
      </c>
      <c r="AG1055" s="21" t="s">
        <v>583</v>
      </c>
      <c r="AH1055" s="21" t="s">
        <v>7937</v>
      </c>
      <c r="AI1055" s="62" t="str">
        <f>IFERROR(__xludf.DUMMYFUNCTION("IF(OR(W1055="""",X1055="""",AE1055="""",AD1055=""""),"""",
   TEXT(
     (
       (AE1055+AD1055 + IF(AE1055+AD1055 &lt; W1055+X1055,1,0)) - (W1055+X1055)
     )
     - IF(AND(AB1055&lt;&gt;"""",AC1055&lt;&gt;""""), 
          SUM(ARRAYFORMULA(SPLIT(AC1055,"","") - SPLI"&amp;"T(AB1055,"",""))), 
          0
       ),
     ""[hh]:mm""
   )
)
"),"03:30")</f>
        <v>03:30</v>
      </c>
      <c r="AJ1055" s="27">
        <f t="shared" si="16"/>
        <v>0</v>
      </c>
      <c r="AK1055" s="63" t="str">
        <f t="shared" si="17"/>
        <v>Pass</v>
      </c>
    </row>
    <row r="1056">
      <c r="A1056" s="45">
        <v>46002.0</v>
      </c>
      <c r="B1056" s="49">
        <v>0.65625</v>
      </c>
      <c r="C1056" s="45">
        <v>46002.0</v>
      </c>
      <c r="D1056" s="49">
        <v>0.6659722222222222</v>
      </c>
      <c r="E1056" s="21" t="s">
        <v>7938</v>
      </c>
      <c r="F1056" s="21" t="s">
        <v>7939</v>
      </c>
      <c r="G1056" s="21" t="s">
        <v>7940</v>
      </c>
      <c r="H1056" s="21" t="s">
        <v>566</v>
      </c>
      <c r="I1056" s="21" t="s">
        <v>815</v>
      </c>
      <c r="J1056" s="21" t="s">
        <v>1084</v>
      </c>
      <c r="K1056" s="21" t="s">
        <v>1936</v>
      </c>
      <c r="L1056" s="21" t="s">
        <v>2934</v>
      </c>
      <c r="M1056" s="21">
        <v>8.61585041606177E14</v>
      </c>
      <c r="N1056" s="21" t="s">
        <v>7941</v>
      </c>
      <c r="O1056" s="48" t="s">
        <v>7942</v>
      </c>
      <c r="P1056" s="21" t="s">
        <v>48</v>
      </c>
      <c r="Q1056" s="24" t="s">
        <v>198</v>
      </c>
      <c r="R1056" s="21" t="s">
        <v>7943</v>
      </c>
      <c r="S1056" s="21" t="s">
        <v>51</v>
      </c>
      <c r="T1056" s="106" t="s">
        <v>52</v>
      </c>
      <c r="U1056" s="106" t="s">
        <v>52</v>
      </c>
      <c r="V1056" s="106" t="s">
        <v>52</v>
      </c>
      <c r="W1056" s="45">
        <v>46003.0</v>
      </c>
      <c r="X1056" s="49">
        <v>0.4166666666666667</v>
      </c>
      <c r="Y1056" s="45">
        <v>46003.0</v>
      </c>
      <c r="Z1056" s="49">
        <v>0.4583333333333333</v>
      </c>
      <c r="AA1056" s="49">
        <v>0.4618055555555556</v>
      </c>
      <c r="AB1056" s="29"/>
      <c r="AC1056" s="29"/>
      <c r="AD1056" s="25">
        <v>0.5444444444444444</v>
      </c>
      <c r="AE1056" s="105">
        <v>46003.0</v>
      </c>
      <c r="AF1056" s="21" t="s">
        <v>7518</v>
      </c>
      <c r="AG1056" s="21" t="s">
        <v>293</v>
      </c>
      <c r="AH1056" s="21" t="s">
        <v>7944</v>
      </c>
      <c r="AI1056" s="62" t="str">
        <f>IFERROR(__xludf.DUMMYFUNCTION("IF(OR(W1056="""",X1056="""",AE1056="""",AD1056=""""),"""",
   TEXT(
     (
       (AE1056+AD1056 + IF(AE1056+AD1056 &lt; W1056+X1056,1,0)) - (W1056+X1056)
     )
     - IF(AND(AB1056&lt;&gt;"""",AC1056&lt;&gt;""""), 
          SUM(ARRAYFORMULA(SPLIT(AC1056,"","") - SPLI"&amp;"T(AB1056,"",""))), 
          0
       ),
     ""[hh]:mm""
   )
)
"),"03:04")</f>
        <v>03:04</v>
      </c>
      <c r="AJ1056" s="27">
        <f t="shared" si="16"/>
        <v>0</v>
      </c>
      <c r="AK1056" s="63" t="str">
        <f t="shared" si="17"/>
        <v>Pass</v>
      </c>
    </row>
    <row r="1057">
      <c r="A1057" s="45">
        <v>46002.0</v>
      </c>
      <c r="B1057" s="49">
        <v>0.9263888888888889</v>
      </c>
      <c r="C1057" s="45">
        <v>46003.0</v>
      </c>
      <c r="D1057" s="49">
        <v>0.37777777777777777</v>
      </c>
      <c r="E1057" s="21" t="s">
        <v>7945</v>
      </c>
      <c r="F1057" s="21" t="s">
        <v>4616</v>
      </c>
      <c r="G1057" s="21" t="s">
        <v>7946</v>
      </c>
      <c r="H1057" s="21" t="s">
        <v>156</v>
      </c>
      <c r="I1057" s="21" t="s">
        <v>131</v>
      </c>
      <c r="J1057" s="21" t="s">
        <v>3813</v>
      </c>
      <c r="K1057" s="21" t="s">
        <v>61</v>
      </c>
      <c r="L1057" s="21" t="s">
        <v>1699</v>
      </c>
      <c r="M1057" s="21" t="s">
        <v>7947</v>
      </c>
      <c r="N1057" s="21" t="s">
        <v>7948</v>
      </c>
      <c r="O1057" s="48" t="s">
        <v>7949</v>
      </c>
      <c r="P1057" s="21" t="s">
        <v>75</v>
      </c>
      <c r="Q1057" s="24" t="s">
        <v>65</v>
      </c>
      <c r="R1057" s="21" t="s">
        <v>7950</v>
      </c>
      <c r="S1057" s="21" t="s">
        <v>51</v>
      </c>
      <c r="T1057" s="106" t="s">
        <v>52</v>
      </c>
      <c r="U1057" s="106" t="s">
        <v>52</v>
      </c>
      <c r="V1057" s="106" t="s">
        <v>52</v>
      </c>
      <c r="W1057" s="45">
        <v>46003.0</v>
      </c>
      <c r="X1057" s="88">
        <v>0.37777777777777777</v>
      </c>
      <c r="Y1057" s="45">
        <v>46003.0</v>
      </c>
      <c r="Z1057" s="49">
        <v>0.42291666666666666</v>
      </c>
      <c r="AA1057" s="49">
        <v>0.4236111111111111</v>
      </c>
      <c r="AB1057" s="24" t="s">
        <v>7951</v>
      </c>
      <c r="AC1057" s="24" t="s">
        <v>7952</v>
      </c>
      <c r="AD1057" s="85">
        <v>0.5416666666666666</v>
      </c>
      <c r="AE1057" s="105">
        <v>46003.0</v>
      </c>
      <c r="AF1057" s="21" t="s">
        <v>2711</v>
      </c>
      <c r="AG1057" s="21" t="s">
        <v>102</v>
      </c>
      <c r="AH1057" s="21" t="s">
        <v>7953</v>
      </c>
      <c r="AI1057" s="62" t="str">
        <f>IFERROR(__xludf.DUMMYFUNCTION("IF(OR(W1057="""",X1057="""",AE1057="""",AD1057=""""),"""",
   TEXT(
     (
       (AE1057+AD1057 + IF(AE1057+AD1057 &lt; W1057+X1057,1,0)) - (W1057+X1057)
     )
     - IF(AND(AB1057&lt;&gt;"""",AC1057&lt;&gt;""""), 
          SUM(ARRAYFORMULA(SPLIT(AC1057,"","") - SPLI"&amp;"T(AB1057,"",""))), 
          0
       ),
     ""[hh]:mm""
   )
)
"),"01:51")</f>
        <v>01:51</v>
      </c>
      <c r="AJ1057" s="27">
        <f t="shared" si="16"/>
        <v>0</v>
      </c>
      <c r="AK1057" s="63" t="str">
        <f t="shared" si="17"/>
        <v>Pass</v>
      </c>
    </row>
    <row r="1058">
      <c r="A1058" s="45">
        <v>46003.0</v>
      </c>
      <c r="B1058" s="49">
        <v>0.27361111111111114</v>
      </c>
      <c r="C1058" s="45">
        <v>46003.0</v>
      </c>
      <c r="D1058" s="49">
        <v>0.3770833333333333</v>
      </c>
      <c r="E1058" s="21" t="s">
        <v>7954</v>
      </c>
      <c r="F1058" s="21" t="s">
        <v>7955</v>
      </c>
      <c r="G1058" s="21" t="s">
        <v>7956</v>
      </c>
      <c r="H1058" s="21" t="s">
        <v>156</v>
      </c>
      <c r="I1058" s="21" t="s">
        <v>234</v>
      </c>
      <c r="J1058" s="21" t="s">
        <v>2253</v>
      </c>
      <c r="K1058" s="21" t="s">
        <v>43</v>
      </c>
      <c r="L1058" s="21" t="s">
        <v>1171</v>
      </c>
      <c r="M1058" s="21" t="s">
        <v>7957</v>
      </c>
      <c r="N1058" s="21" t="s">
        <v>1298</v>
      </c>
      <c r="O1058" s="48" t="s">
        <v>7958</v>
      </c>
      <c r="P1058" s="21" t="s">
        <v>75</v>
      </c>
      <c r="Q1058" s="24" t="s">
        <v>65</v>
      </c>
      <c r="R1058" s="21" t="s">
        <v>7925</v>
      </c>
      <c r="S1058" s="21" t="s">
        <v>51</v>
      </c>
      <c r="T1058" s="106" t="s">
        <v>52</v>
      </c>
      <c r="U1058" s="106" t="s">
        <v>52</v>
      </c>
      <c r="V1058" s="106" t="s">
        <v>52</v>
      </c>
      <c r="W1058" s="45">
        <v>46003.0</v>
      </c>
      <c r="X1058" s="88">
        <v>0.3770833333333333</v>
      </c>
      <c r="Y1058" s="45">
        <v>46003.0</v>
      </c>
      <c r="Z1058" s="49">
        <v>0.6701388888888888</v>
      </c>
      <c r="AA1058" s="49">
        <v>0.6805555555555556</v>
      </c>
      <c r="AB1058" s="25">
        <v>0.6875</v>
      </c>
      <c r="AC1058" s="25">
        <v>0.7708333333333334</v>
      </c>
      <c r="AD1058" s="25">
        <v>0.7951388888888888</v>
      </c>
      <c r="AE1058" s="105">
        <v>46003.0</v>
      </c>
      <c r="AF1058" s="21" t="s">
        <v>3218</v>
      </c>
      <c r="AG1058" s="21" t="s">
        <v>293</v>
      </c>
      <c r="AH1058" s="21" t="s">
        <v>7959</v>
      </c>
      <c r="AI1058" s="62" t="str">
        <f>IFERROR(__xludf.DUMMYFUNCTION("IF(OR(W1058="""",X1058="""",AE1058="""",AD1058=""""),"""",
   TEXT(
     (
       (AE1058+AD1058 + IF(AE1058+AD1058 &lt; W1058+X1058,1,0)) - (W1058+X1058)
     )
     - IF(AND(AB1058&lt;&gt;"""",AC1058&lt;&gt;""""), 
          SUM(ARRAYFORMULA(SPLIT(AC1058,"","") - SPLI"&amp;"T(AB1058,"",""))), 
          0
       ),
     ""[hh]:mm""
   )
)
"),"08:02")</f>
        <v>08:02</v>
      </c>
      <c r="AJ1058" s="27">
        <f t="shared" si="16"/>
        <v>0</v>
      </c>
      <c r="AK1058" s="63" t="str">
        <f t="shared" si="17"/>
        <v>Pass</v>
      </c>
    </row>
    <row r="1059">
      <c r="A1059" s="45">
        <v>46003.0</v>
      </c>
      <c r="B1059" s="49">
        <v>0.3770833333333333</v>
      </c>
      <c r="C1059" s="45">
        <v>46003.0</v>
      </c>
      <c r="D1059" s="49">
        <v>0.3770833333333333</v>
      </c>
      <c r="E1059" s="21" t="s">
        <v>7960</v>
      </c>
      <c r="F1059" s="21" t="s">
        <v>4686</v>
      </c>
      <c r="G1059" s="21" t="s">
        <v>4687</v>
      </c>
      <c r="H1059" s="21" t="s">
        <v>130</v>
      </c>
      <c r="I1059" s="21" t="s">
        <v>194</v>
      </c>
      <c r="J1059" s="21" t="s">
        <v>5330</v>
      </c>
      <c r="K1059" s="21" t="s">
        <v>3249</v>
      </c>
      <c r="L1059" s="21" t="s">
        <v>5331</v>
      </c>
      <c r="M1059" s="21" t="s">
        <v>7961</v>
      </c>
      <c r="N1059" s="21" t="s">
        <v>7962</v>
      </c>
      <c r="O1059" s="48" t="s">
        <v>7963</v>
      </c>
      <c r="P1059" s="21" t="s">
        <v>75</v>
      </c>
      <c r="Q1059" s="24" t="s">
        <v>65</v>
      </c>
      <c r="R1059" s="21" t="s">
        <v>7964</v>
      </c>
      <c r="S1059" s="21" t="s">
        <v>51</v>
      </c>
      <c r="T1059" s="106" t="s">
        <v>52</v>
      </c>
      <c r="U1059" s="106" t="s">
        <v>52</v>
      </c>
      <c r="V1059" s="106" t="s">
        <v>52</v>
      </c>
      <c r="W1059" s="45">
        <v>46003.0</v>
      </c>
      <c r="X1059" s="49">
        <v>0.47847222222222224</v>
      </c>
      <c r="Y1059" s="45">
        <v>46003.0</v>
      </c>
      <c r="Z1059" s="49">
        <v>0.7291666666666666</v>
      </c>
      <c r="AA1059" s="49">
        <v>0.7631944444444444</v>
      </c>
      <c r="AB1059" s="24" t="s">
        <v>5842</v>
      </c>
      <c r="AC1059" s="24" t="s">
        <v>7965</v>
      </c>
      <c r="AD1059" s="25">
        <v>0.8013888888888889</v>
      </c>
      <c r="AE1059" s="105">
        <v>46003.0</v>
      </c>
      <c r="AF1059" s="21" t="s">
        <v>7936</v>
      </c>
      <c r="AG1059" s="21" t="s">
        <v>1482</v>
      </c>
      <c r="AH1059" s="21" t="s">
        <v>7966</v>
      </c>
      <c r="AI1059" s="62" t="str">
        <f>IFERROR(__xludf.DUMMYFUNCTION("IF(OR(W1059="""",X1059="""",AE1059="""",AD1059=""""),"""",
   TEXT(
     (
       (AE1059+AD1059 + IF(AE1059+AD1059 &lt; W1059+X1059,1,0)) - (W1059+X1059)
     )
     - IF(AND(AB1059&lt;&gt;"""",AC1059&lt;&gt;""""), 
          SUM(ARRAYFORMULA(SPLIT(AC1059,"","") - SPLI"&amp;"T(AB1059,"",""))), 
          0
       ),
     ""[hh]:mm""
   )
)
"),"06:25")</f>
        <v>06:25</v>
      </c>
      <c r="AJ1059" s="27">
        <f t="shared" si="16"/>
        <v>0</v>
      </c>
      <c r="AK1059" s="63" t="str">
        <f t="shared" si="17"/>
        <v>Pass</v>
      </c>
    </row>
    <row r="1060">
      <c r="A1060" s="45">
        <v>46003.0</v>
      </c>
      <c r="B1060" s="49">
        <v>0.4951388888888889</v>
      </c>
      <c r="C1060" s="45">
        <v>46003.0</v>
      </c>
      <c r="D1060" s="49">
        <v>0.4951388888888889</v>
      </c>
      <c r="E1060" s="21" t="s">
        <v>7967</v>
      </c>
      <c r="F1060" s="21" t="s">
        <v>251</v>
      </c>
      <c r="G1060" s="21" t="s">
        <v>1717</v>
      </c>
      <c r="H1060" s="21" t="s">
        <v>4040</v>
      </c>
      <c r="I1060" s="21" t="s">
        <v>1055</v>
      </c>
      <c r="J1060" s="21" t="s">
        <v>299</v>
      </c>
      <c r="K1060" s="21" t="s">
        <v>52</v>
      </c>
      <c r="L1060" s="21" t="s">
        <v>3385</v>
      </c>
      <c r="M1060" s="21" t="s">
        <v>3386</v>
      </c>
      <c r="N1060" s="21" t="s">
        <v>7968</v>
      </c>
      <c r="O1060" s="48" t="s">
        <v>7969</v>
      </c>
      <c r="P1060" s="21" t="s">
        <v>48</v>
      </c>
      <c r="Q1060" s="24" t="s">
        <v>65</v>
      </c>
      <c r="R1060" s="21" t="s">
        <v>7970</v>
      </c>
      <c r="S1060" s="21" t="s">
        <v>51</v>
      </c>
      <c r="T1060" s="106" t="s">
        <v>52</v>
      </c>
      <c r="U1060" s="106" t="s">
        <v>52</v>
      </c>
      <c r="V1060" s="106" t="s">
        <v>52</v>
      </c>
      <c r="W1060" s="45">
        <v>46003.0</v>
      </c>
      <c r="X1060" s="49">
        <v>0.6159722222222223</v>
      </c>
      <c r="Y1060" s="45">
        <v>46003.0</v>
      </c>
      <c r="Z1060" s="49">
        <v>0.6159722222222223</v>
      </c>
      <c r="AA1060" s="49">
        <v>0.6201388888888889</v>
      </c>
      <c r="AB1060" s="29"/>
      <c r="AC1060" s="29"/>
      <c r="AD1060" s="25">
        <v>0.6458333333333334</v>
      </c>
      <c r="AE1060" s="105">
        <v>46003.0</v>
      </c>
      <c r="AF1060" s="21" t="s">
        <v>7250</v>
      </c>
      <c r="AG1060" s="21" t="s">
        <v>313</v>
      </c>
      <c r="AH1060" s="21" t="s">
        <v>7971</v>
      </c>
      <c r="AI1060" s="62" t="str">
        <f>IFERROR(__xludf.DUMMYFUNCTION("IF(OR(W1060="""",X1060="""",AE1060="""",AD1060=""""),"""",
   TEXT(
     (
       (AE1060+AD1060 + IF(AE1060+AD1060 &lt; W1060+X1060,1,0)) - (W1060+X1060)
     )
     - IF(AND(AB1060&lt;&gt;"""",AC1060&lt;&gt;""""), 
          SUM(ARRAYFORMULA(SPLIT(AC1060,"","") - SPLI"&amp;"T(AB1060,"",""))), 
          0
       ),
     ""[hh]:mm""
   )
)
"),"00:43")</f>
        <v>00:43</v>
      </c>
      <c r="AJ1060" s="27">
        <f t="shared" si="16"/>
        <v>0</v>
      </c>
      <c r="AK1060" s="63" t="str">
        <f t="shared" si="17"/>
        <v>Pass</v>
      </c>
    </row>
    <row r="1061">
      <c r="A1061" s="45">
        <v>46003.0</v>
      </c>
      <c r="B1061" s="49">
        <v>0.6458333333333334</v>
      </c>
      <c r="C1061" s="45">
        <v>46003.0</v>
      </c>
      <c r="D1061" s="49">
        <v>0.6458333333333334</v>
      </c>
      <c r="E1061" s="21" t="s">
        <v>7972</v>
      </c>
      <c r="F1061" s="21" t="s">
        <v>1151</v>
      </c>
      <c r="G1061" s="21" t="s">
        <v>1152</v>
      </c>
      <c r="H1061" s="21" t="s">
        <v>3093</v>
      </c>
      <c r="I1061" s="21" t="s">
        <v>2026</v>
      </c>
      <c r="J1061" s="21" t="s">
        <v>3806</v>
      </c>
      <c r="K1061" s="21" t="s">
        <v>43</v>
      </c>
      <c r="L1061" s="21" t="s">
        <v>7973</v>
      </c>
      <c r="M1061" s="21" t="s">
        <v>7795</v>
      </c>
      <c r="N1061" s="21" t="s">
        <v>7974</v>
      </c>
      <c r="O1061" s="48" t="s">
        <v>7975</v>
      </c>
      <c r="P1061" s="21" t="s">
        <v>75</v>
      </c>
      <c r="Q1061" s="24" t="s">
        <v>65</v>
      </c>
      <c r="R1061" s="21" t="s">
        <v>7976</v>
      </c>
      <c r="S1061" s="21" t="s">
        <v>51</v>
      </c>
      <c r="T1061" s="106" t="s">
        <v>52</v>
      </c>
      <c r="U1061" s="106" t="s">
        <v>52</v>
      </c>
      <c r="V1061" s="106" t="s">
        <v>52</v>
      </c>
      <c r="W1061" s="45">
        <v>46003.0</v>
      </c>
      <c r="X1061" s="88">
        <v>0.6458333333333334</v>
      </c>
      <c r="Y1061" s="45">
        <v>46003.0</v>
      </c>
      <c r="Z1061" s="49">
        <v>0.6458333333333334</v>
      </c>
      <c r="AA1061" s="49">
        <v>0.65625</v>
      </c>
      <c r="AB1061" s="29"/>
      <c r="AC1061" s="29"/>
      <c r="AD1061" s="25">
        <v>0.6875</v>
      </c>
      <c r="AE1061" s="105">
        <v>46003.0</v>
      </c>
      <c r="AF1061" s="21" t="s">
        <v>7901</v>
      </c>
      <c r="AG1061" s="21" t="s">
        <v>1475</v>
      </c>
      <c r="AH1061" s="21" t="s">
        <v>7977</v>
      </c>
      <c r="AI1061" s="62" t="str">
        <f>IFERROR(__xludf.DUMMYFUNCTION("IF(OR(W1061="""",X1061="""",AE1061="""",AD1061=""""),"""",
   TEXT(
     (
       (AE1061+AD1061 + IF(AE1061+AD1061 &lt; W1061+X1061,1,0)) - (W1061+X1061)
     )
     - IF(AND(AB1061&lt;&gt;"""",AC1061&lt;&gt;""""), 
          SUM(ARRAYFORMULA(SPLIT(AC1061,"","") - SPLI"&amp;"T(AB1061,"",""))), 
          0
       ),
     ""[hh]:mm""
   )
)
"),"01:00")</f>
        <v>01:00</v>
      </c>
      <c r="AJ1061" s="27">
        <f t="shared" si="16"/>
        <v>0</v>
      </c>
      <c r="AK1061" s="63" t="str">
        <f t="shared" si="17"/>
        <v>Pass</v>
      </c>
    </row>
    <row r="1062">
      <c r="A1062" s="45">
        <v>46003.0</v>
      </c>
      <c r="B1062" s="49">
        <v>0.5881944444444445</v>
      </c>
      <c r="C1062" s="45">
        <v>46003.0</v>
      </c>
      <c r="D1062" s="49">
        <v>0.5916666666666667</v>
      </c>
      <c r="E1062" s="21" t="s">
        <v>7978</v>
      </c>
      <c r="F1062" s="21" t="s">
        <v>7979</v>
      </c>
      <c r="G1062" s="21" t="s">
        <v>7980</v>
      </c>
      <c r="H1062" s="21" t="s">
        <v>156</v>
      </c>
      <c r="I1062" s="21" t="s">
        <v>131</v>
      </c>
      <c r="J1062" s="21" t="s">
        <v>3806</v>
      </c>
      <c r="K1062" s="21" t="s">
        <v>43</v>
      </c>
      <c r="L1062" s="21" t="s">
        <v>805</v>
      </c>
      <c r="M1062" s="21" t="s">
        <v>7981</v>
      </c>
      <c r="N1062" s="21" t="s">
        <v>7982</v>
      </c>
      <c r="O1062" s="48" t="s">
        <v>7983</v>
      </c>
      <c r="P1062" s="21" t="s">
        <v>75</v>
      </c>
      <c r="Q1062" s="24" t="s">
        <v>65</v>
      </c>
      <c r="R1062" s="102" t="s">
        <v>7984</v>
      </c>
      <c r="S1062" s="21" t="s">
        <v>51</v>
      </c>
      <c r="T1062" s="21" t="s">
        <v>6676</v>
      </c>
      <c r="U1062" s="106" t="s">
        <v>7985</v>
      </c>
      <c r="V1062" s="106" t="s">
        <v>7986</v>
      </c>
      <c r="W1062" s="45">
        <v>46003.0</v>
      </c>
      <c r="X1062" s="88">
        <v>0.5916666666666667</v>
      </c>
      <c r="Y1062" s="45">
        <v>46003.0</v>
      </c>
      <c r="Z1062" s="49">
        <v>0.9048611111111111</v>
      </c>
      <c r="AA1062" s="49">
        <v>0.90625</v>
      </c>
      <c r="AB1062" s="29"/>
      <c r="AC1062" s="29"/>
      <c r="AD1062" s="25">
        <v>0.9270833333333334</v>
      </c>
      <c r="AE1062" s="105">
        <v>46003.0</v>
      </c>
      <c r="AF1062" s="21" t="s">
        <v>7250</v>
      </c>
      <c r="AG1062" s="21" t="s">
        <v>162</v>
      </c>
      <c r="AH1062" s="21" t="s">
        <v>7987</v>
      </c>
      <c r="AI1062" s="62" t="str">
        <f>IFERROR(__xludf.DUMMYFUNCTION("IF(OR(W1062="""",X1062="""",AE1062="""",AD1062=""""),"""",
   TEXT(
     (
       (AE1062+AD1062 + IF(AE1062+AD1062 &lt; W1062+X1062,1,0)) - (W1062+X1062)
     )
     - IF(AND(AB1062&lt;&gt;"""",AC1062&lt;&gt;""""), 
          SUM(ARRAYFORMULA(SPLIT(AC1062,"","") - SPLI"&amp;"T(AB1062,"",""))), 
          0
       ),
     ""[hh]:mm""
   )
)
"),"08:03")</f>
        <v>08:03</v>
      </c>
      <c r="AJ1062" s="27">
        <f t="shared" si="16"/>
        <v>0</v>
      </c>
      <c r="AK1062" s="63" t="str">
        <f t="shared" si="17"/>
        <v>Pass</v>
      </c>
    </row>
    <row r="1063">
      <c r="A1063" s="45">
        <v>46003.0</v>
      </c>
      <c r="B1063" s="49">
        <v>0.6131944444444445</v>
      </c>
      <c r="C1063" s="45">
        <v>46003.0</v>
      </c>
      <c r="D1063" s="49">
        <v>0.6423611111111112</v>
      </c>
      <c r="E1063" s="21" t="s">
        <v>7988</v>
      </c>
      <c r="F1063" s="21" t="s">
        <v>2430</v>
      </c>
      <c r="G1063" s="21" t="s">
        <v>7989</v>
      </c>
      <c r="H1063" s="21" t="s">
        <v>156</v>
      </c>
      <c r="I1063" s="21" t="s">
        <v>2026</v>
      </c>
      <c r="J1063" s="21" t="s">
        <v>3806</v>
      </c>
      <c r="K1063" s="21" t="s">
        <v>43</v>
      </c>
      <c r="L1063" s="21" t="s">
        <v>1251</v>
      </c>
      <c r="M1063" s="21" t="s">
        <v>7990</v>
      </c>
      <c r="N1063" s="21" t="s">
        <v>7991</v>
      </c>
      <c r="O1063" s="48" t="s">
        <v>7992</v>
      </c>
      <c r="P1063" s="21" t="s">
        <v>75</v>
      </c>
      <c r="Q1063" s="24" t="s">
        <v>65</v>
      </c>
      <c r="R1063" s="102" t="s">
        <v>7993</v>
      </c>
      <c r="S1063" s="21" t="s">
        <v>51</v>
      </c>
      <c r="T1063" s="21" t="s">
        <v>6676</v>
      </c>
      <c r="U1063" s="106" t="s">
        <v>7994</v>
      </c>
      <c r="V1063" s="106" t="s">
        <v>7990</v>
      </c>
      <c r="W1063" s="45">
        <v>46003.0</v>
      </c>
      <c r="X1063" s="88">
        <v>0.6423611111111112</v>
      </c>
      <c r="Y1063" s="45">
        <v>46003.0</v>
      </c>
      <c r="Z1063" s="49">
        <v>0.7027777777777777</v>
      </c>
      <c r="AA1063" s="49">
        <v>0.7034722222222223</v>
      </c>
      <c r="AB1063" s="29"/>
      <c r="AC1063" s="29"/>
      <c r="AD1063" s="25">
        <v>0.7104166666666667</v>
      </c>
      <c r="AE1063" s="105">
        <v>46003.0</v>
      </c>
      <c r="AF1063" s="21" t="s">
        <v>7241</v>
      </c>
      <c r="AG1063" s="21" t="s">
        <v>1482</v>
      </c>
      <c r="AH1063" s="21" t="s">
        <v>7995</v>
      </c>
      <c r="AI1063" s="62" t="str">
        <f>IFERROR(__xludf.DUMMYFUNCTION("IF(OR(W1063="""",X1063="""",AE1063="""",AD1063=""""),"""",
   TEXT(
     (
       (AE1063+AD1063 + IF(AE1063+AD1063 &lt; W1063+X1063,1,0)) - (W1063+X1063)
     )
     - IF(AND(AB1063&lt;&gt;"""",AC1063&lt;&gt;""""), 
          SUM(ARRAYFORMULA(SPLIT(AC1063,"","") - SPLI"&amp;"T(AB1063,"",""))), 
          0
       ),
     ""[hh]:mm""
   )
)
"),"01:38")</f>
        <v>01:38</v>
      </c>
      <c r="AJ1063" s="27">
        <f t="shared" si="16"/>
        <v>0</v>
      </c>
      <c r="AK1063" s="63" t="str">
        <f t="shared" si="17"/>
        <v>Pass</v>
      </c>
    </row>
    <row r="1064">
      <c r="A1064" s="45">
        <v>46003.0</v>
      </c>
      <c r="B1064" s="49">
        <v>0.625</v>
      </c>
      <c r="C1064" s="45">
        <v>46003.0</v>
      </c>
      <c r="D1064" s="49">
        <v>0.6444444444444445</v>
      </c>
      <c r="E1064" s="21" t="s">
        <v>7996</v>
      </c>
      <c r="F1064" s="21" t="s">
        <v>7997</v>
      </c>
      <c r="G1064" s="21" t="s">
        <v>7998</v>
      </c>
      <c r="H1064" s="21" t="s">
        <v>566</v>
      </c>
      <c r="I1064" s="21" t="s">
        <v>856</v>
      </c>
      <c r="J1064" s="21" t="s">
        <v>1084</v>
      </c>
      <c r="K1064" s="21" t="s">
        <v>6866</v>
      </c>
      <c r="L1064" s="21" t="s">
        <v>7999</v>
      </c>
      <c r="M1064" s="21">
        <v>8.61585041577741E14</v>
      </c>
      <c r="N1064" s="21" t="s">
        <v>8000</v>
      </c>
      <c r="O1064" s="48" t="s">
        <v>8001</v>
      </c>
      <c r="P1064" s="21" t="s">
        <v>48</v>
      </c>
      <c r="Q1064" s="24" t="s">
        <v>198</v>
      </c>
      <c r="R1064" s="21" t="s">
        <v>8002</v>
      </c>
      <c r="S1064" s="21" t="s">
        <v>51</v>
      </c>
      <c r="T1064" s="106" t="s">
        <v>52</v>
      </c>
      <c r="U1064" s="106" t="s">
        <v>52</v>
      </c>
      <c r="V1064" s="106" t="s">
        <v>52</v>
      </c>
      <c r="W1064" s="45">
        <v>46003.0</v>
      </c>
      <c r="X1064" s="88">
        <v>0.6444444444444445</v>
      </c>
      <c r="Y1064" s="45">
        <v>46003.0</v>
      </c>
      <c r="Z1064" s="49">
        <v>0.7291666666666666</v>
      </c>
      <c r="AA1064" s="49">
        <v>0.7305555555555555</v>
      </c>
      <c r="AB1064" s="25">
        <v>0.7395833333333334</v>
      </c>
      <c r="AC1064" s="25">
        <v>0.8229166666666666</v>
      </c>
      <c r="AD1064" s="25">
        <v>0.8819444444444444</v>
      </c>
      <c r="AE1064" s="105">
        <v>46003.0</v>
      </c>
      <c r="AF1064" s="21" t="s">
        <v>7518</v>
      </c>
      <c r="AG1064" s="21" t="s">
        <v>239</v>
      </c>
      <c r="AH1064" s="21" t="s">
        <v>8003</v>
      </c>
      <c r="AI1064" s="62" t="str">
        <f>IFERROR(__xludf.DUMMYFUNCTION("IF(OR(W1064="""",X1064="""",AE1064="""",AD1064=""""),"""",
   TEXT(
     (
       (AE1064+AD1064 + IF(AE1064+AD1064 &lt; W1064+X1064,1,0)) - (W1064+X1064)
     )
     - IF(AND(AB1064&lt;&gt;"""",AC1064&lt;&gt;""""), 
          SUM(ARRAYFORMULA(SPLIT(AC1064,"","") - SPLI"&amp;"T(AB1064,"",""))), 
          0
       ),
     ""[hh]:mm""
   )
)
"),"03:42")</f>
        <v>03:42</v>
      </c>
      <c r="AJ1064" s="27">
        <f t="shared" si="16"/>
        <v>0</v>
      </c>
      <c r="AK1064" s="63" t="str">
        <f t="shared" si="17"/>
        <v>Pass</v>
      </c>
    </row>
    <row r="1065">
      <c r="A1065" s="45">
        <v>46003.0</v>
      </c>
      <c r="B1065" s="49">
        <v>0.6506944444444445</v>
      </c>
      <c r="C1065" s="45">
        <v>46003.0</v>
      </c>
      <c r="D1065" s="49">
        <v>0.6555555555555556</v>
      </c>
      <c r="E1065" s="21" t="s">
        <v>8004</v>
      </c>
      <c r="F1065" s="21" t="s">
        <v>4300</v>
      </c>
      <c r="G1065" s="21" t="s">
        <v>8005</v>
      </c>
      <c r="H1065" s="21" t="s">
        <v>566</v>
      </c>
      <c r="I1065" s="21" t="s">
        <v>95</v>
      </c>
      <c r="J1065" s="21" t="s">
        <v>95</v>
      </c>
      <c r="K1065" s="21" t="s">
        <v>333</v>
      </c>
      <c r="L1065" s="21" t="s">
        <v>8006</v>
      </c>
      <c r="M1065" s="21" t="s">
        <v>8007</v>
      </c>
      <c r="N1065" s="21" t="s">
        <v>8008</v>
      </c>
      <c r="O1065" s="48" t="s">
        <v>8009</v>
      </c>
      <c r="P1065" s="21" t="s">
        <v>48</v>
      </c>
      <c r="Q1065" s="24" t="s">
        <v>49</v>
      </c>
      <c r="R1065" s="21" t="s">
        <v>8010</v>
      </c>
      <c r="S1065" s="21" t="s">
        <v>51</v>
      </c>
      <c r="T1065" s="106" t="s">
        <v>52</v>
      </c>
      <c r="U1065" s="106" t="s">
        <v>52</v>
      </c>
      <c r="V1065" s="106" t="s">
        <v>52</v>
      </c>
      <c r="W1065" s="45">
        <v>46003.0</v>
      </c>
      <c r="X1065" s="88">
        <v>0.6555555555555556</v>
      </c>
      <c r="Y1065" s="45">
        <v>46003.0</v>
      </c>
      <c r="Z1065" s="49">
        <v>0.7395833333333334</v>
      </c>
      <c r="AA1065" s="49">
        <v>0.75</v>
      </c>
      <c r="AB1065" s="25">
        <v>0.7708333333333334</v>
      </c>
      <c r="AC1065" s="25">
        <v>0.7916666666666666</v>
      </c>
      <c r="AD1065" s="25">
        <v>0.7986111111111112</v>
      </c>
      <c r="AE1065" s="105">
        <v>46003.0</v>
      </c>
      <c r="AF1065" s="21" t="s">
        <v>3327</v>
      </c>
      <c r="AG1065" s="21" t="s">
        <v>209</v>
      </c>
      <c r="AH1065" s="21" t="s">
        <v>8011</v>
      </c>
      <c r="AI1065" s="62" t="str">
        <f>IFERROR(__xludf.DUMMYFUNCTION("IF(OR(W1065="""",X1065="""",AE1065="""",AD1065=""""),"""",
   TEXT(
     (
       (AE1065+AD1065 + IF(AE1065+AD1065 &lt; W1065+X1065,1,0)) - (W1065+X1065)
     )
     - IF(AND(AB1065&lt;&gt;"""",AC1065&lt;&gt;""""), 
          SUM(ARRAYFORMULA(SPLIT(AC1065,"","") - SPLI"&amp;"T(AB1065,"",""))), 
          0
       ),
     ""[hh]:mm""
   )
)
"),"02:56")</f>
        <v>02:56</v>
      </c>
      <c r="AJ1065" s="27">
        <f t="shared" si="16"/>
        <v>0</v>
      </c>
      <c r="AK1065" s="63" t="str">
        <f t="shared" si="17"/>
        <v>Pass</v>
      </c>
    </row>
    <row r="1066">
      <c r="A1066" s="45">
        <v>46003.0</v>
      </c>
      <c r="B1066" s="49">
        <v>0.6534722222222222</v>
      </c>
      <c r="C1066" s="45">
        <v>46003.0</v>
      </c>
      <c r="D1066" s="49">
        <v>0.65625</v>
      </c>
      <c r="E1066" s="21" t="s">
        <v>8012</v>
      </c>
      <c r="F1066" s="21" t="s">
        <v>4300</v>
      </c>
      <c r="G1066" s="21" t="s">
        <v>8005</v>
      </c>
      <c r="H1066" s="21" t="s">
        <v>566</v>
      </c>
      <c r="I1066" s="21" t="s">
        <v>644</v>
      </c>
      <c r="J1066" s="21" t="s">
        <v>644</v>
      </c>
      <c r="K1066" s="21" t="s">
        <v>333</v>
      </c>
      <c r="L1066" s="21" t="s">
        <v>8006</v>
      </c>
      <c r="M1066" s="21" t="s">
        <v>8013</v>
      </c>
      <c r="N1066" s="21" t="s">
        <v>8014</v>
      </c>
      <c r="O1066" s="48" t="s">
        <v>8015</v>
      </c>
      <c r="P1066" s="21" t="s">
        <v>48</v>
      </c>
      <c r="Q1066" s="24" t="s">
        <v>65</v>
      </c>
      <c r="R1066" s="21" t="s">
        <v>8016</v>
      </c>
      <c r="S1066" s="21" t="s">
        <v>51</v>
      </c>
      <c r="T1066" s="106" t="s">
        <v>52</v>
      </c>
      <c r="U1066" s="106" t="s">
        <v>52</v>
      </c>
      <c r="V1066" s="106" t="s">
        <v>52</v>
      </c>
      <c r="W1066" s="45">
        <v>46003.0</v>
      </c>
      <c r="X1066" s="88">
        <v>0.6555555555555556</v>
      </c>
      <c r="Y1066" s="45">
        <v>46003.0</v>
      </c>
      <c r="Z1066" s="49">
        <v>0.7395833333333334</v>
      </c>
      <c r="AA1066" s="49">
        <v>0.75</v>
      </c>
      <c r="AB1066" s="25">
        <v>0.7708333333333334</v>
      </c>
      <c r="AC1066" s="25">
        <v>0.7916666666666666</v>
      </c>
      <c r="AD1066" s="25">
        <v>0.7986111111111112</v>
      </c>
      <c r="AE1066" s="105">
        <v>46003.0</v>
      </c>
      <c r="AF1066" s="21" t="s">
        <v>3327</v>
      </c>
      <c r="AG1066" s="21" t="s">
        <v>209</v>
      </c>
      <c r="AH1066" s="21" t="s">
        <v>8011</v>
      </c>
      <c r="AI1066" s="62" t="str">
        <f>IFERROR(__xludf.DUMMYFUNCTION("IF(OR(W1066="""",X1066="""",AE1066="""",AD1066=""""),"""",
   TEXT(
     (
       (AE1066+AD1066 + IF(AE1066+AD1066 &lt; W1066+X1066,1,0)) - (W1066+X1066)
     )
     - IF(AND(AB1066&lt;&gt;"""",AC1066&lt;&gt;""""), 
          SUM(ARRAYFORMULA(SPLIT(AC1066,"","") - SPLI"&amp;"T(AB1066,"",""))), 
          0
       ),
     ""[hh]:mm""
   )
)
"),"02:56")</f>
        <v>02:56</v>
      </c>
      <c r="AJ1066" s="27">
        <f t="shared" si="16"/>
        <v>0</v>
      </c>
      <c r="AK1066" s="63" t="str">
        <f t="shared" si="17"/>
        <v>Pass</v>
      </c>
    </row>
    <row r="1067">
      <c r="A1067" s="45">
        <v>46003.0</v>
      </c>
      <c r="B1067" s="49">
        <v>0.6784722222222223</v>
      </c>
      <c r="C1067" s="45">
        <v>46003.0</v>
      </c>
      <c r="D1067" s="49">
        <v>0.6826388888888889</v>
      </c>
      <c r="E1067" s="21" t="s">
        <v>8017</v>
      </c>
      <c r="F1067" s="21" t="s">
        <v>3351</v>
      </c>
      <c r="G1067" s="21" t="s">
        <v>3352</v>
      </c>
      <c r="H1067" s="21" t="s">
        <v>566</v>
      </c>
      <c r="I1067" s="21" t="s">
        <v>60</v>
      </c>
      <c r="J1067" s="21" t="s">
        <v>95</v>
      </c>
      <c r="K1067" s="21" t="s">
        <v>43</v>
      </c>
      <c r="L1067" s="21" t="s">
        <v>44</v>
      </c>
      <c r="M1067" s="21" t="s">
        <v>8018</v>
      </c>
      <c r="N1067" s="21" t="s">
        <v>8019</v>
      </c>
      <c r="O1067" s="48" t="s">
        <v>8020</v>
      </c>
      <c r="P1067" s="21" t="s">
        <v>48</v>
      </c>
      <c r="Q1067" s="24" t="s">
        <v>65</v>
      </c>
      <c r="R1067" s="21" t="s">
        <v>8021</v>
      </c>
      <c r="S1067" s="21" t="s">
        <v>51</v>
      </c>
      <c r="T1067" s="106" t="s">
        <v>52</v>
      </c>
      <c r="U1067" s="106" t="s">
        <v>52</v>
      </c>
      <c r="V1067" s="106" t="s">
        <v>52</v>
      </c>
      <c r="W1067" s="45">
        <v>46003.0</v>
      </c>
      <c r="X1067" s="88">
        <v>0.6826388888888889</v>
      </c>
      <c r="Y1067" s="45">
        <v>46003.0</v>
      </c>
      <c r="Z1067" s="49">
        <v>0.8840277777777777</v>
      </c>
      <c r="AA1067" s="49">
        <v>0.8847222222222222</v>
      </c>
      <c r="AB1067" s="29"/>
      <c r="AC1067" s="29"/>
      <c r="AD1067" s="25">
        <v>0.91875</v>
      </c>
      <c r="AE1067" s="105">
        <v>46003.0</v>
      </c>
      <c r="AF1067" s="21" t="s">
        <v>8022</v>
      </c>
      <c r="AG1067" s="21" t="s">
        <v>5751</v>
      </c>
      <c r="AH1067" s="21" t="s">
        <v>8023</v>
      </c>
      <c r="AI1067" s="62" t="str">
        <f>IFERROR(__xludf.DUMMYFUNCTION("IF(OR(W1067="""",X1067="""",AE1067="""",AD1067=""""),"""",
   TEXT(
     (
       (AE1067+AD1067 + IF(AE1067+AD1067 &lt; W1067+X1067,1,0)) - (W1067+X1067)
     )
     - IF(AND(AB1067&lt;&gt;"""",AC1067&lt;&gt;""""), 
          SUM(ARRAYFORMULA(SPLIT(AC1067,"","") - SPLI"&amp;"T(AB1067,"",""))), 
          0
       ),
     ""[hh]:mm""
   )
)
"),"05:40")</f>
        <v>05:40</v>
      </c>
      <c r="AJ1067" s="27">
        <f t="shared" si="16"/>
        <v>0</v>
      </c>
      <c r="AK1067" s="63" t="str">
        <f t="shared" si="17"/>
        <v>Pass</v>
      </c>
    </row>
    <row r="1068">
      <c r="A1068" s="45">
        <v>46003.0</v>
      </c>
      <c r="B1068" s="49">
        <v>0.6784722222222223</v>
      </c>
      <c r="C1068" s="45">
        <v>46003.0</v>
      </c>
      <c r="D1068" s="49">
        <v>0.6826388888888889</v>
      </c>
      <c r="E1068" s="21" t="s">
        <v>7590</v>
      </c>
      <c r="F1068" s="21" t="s">
        <v>3351</v>
      </c>
      <c r="G1068" s="21" t="s">
        <v>3352</v>
      </c>
      <c r="H1068" s="21" t="s">
        <v>566</v>
      </c>
      <c r="I1068" s="21" t="s">
        <v>234</v>
      </c>
      <c r="J1068" s="21" t="s">
        <v>95</v>
      </c>
      <c r="K1068" s="21" t="s">
        <v>43</v>
      </c>
      <c r="L1068" s="21" t="s">
        <v>44</v>
      </c>
      <c r="M1068" s="21" t="s">
        <v>8024</v>
      </c>
      <c r="N1068" s="21" t="s">
        <v>8025</v>
      </c>
      <c r="O1068" s="48" t="s">
        <v>8020</v>
      </c>
      <c r="P1068" s="21" t="s">
        <v>48</v>
      </c>
      <c r="Q1068" s="24" t="s">
        <v>65</v>
      </c>
      <c r="R1068" s="21" t="s">
        <v>8021</v>
      </c>
      <c r="S1068" s="21" t="s">
        <v>51</v>
      </c>
      <c r="T1068" s="106" t="s">
        <v>52</v>
      </c>
      <c r="U1068" s="106" t="s">
        <v>52</v>
      </c>
      <c r="V1068" s="106" t="s">
        <v>52</v>
      </c>
      <c r="W1068" s="45">
        <v>46003.0</v>
      </c>
      <c r="X1068" s="88">
        <v>0.6826388888888889</v>
      </c>
      <c r="Y1068" s="45">
        <v>46003.0</v>
      </c>
      <c r="Z1068" s="49">
        <v>0.8840277777777777</v>
      </c>
      <c r="AA1068" s="49">
        <v>0.8847222222222222</v>
      </c>
      <c r="AB1068" s="29"/>
      <c r="AC1068" s="29"/>
      <c r="AD1068" s="25">
        <v>0.91875</v>
      </c>
      <c r="AE1068" s="105">
        <v>46003.0</v>
      </c>
      <c r="AF1068" s="21" t="s">
        <v>8022</v>
      </c>
      <c r="AG1068" s="21" t="s">
        <v>5751</v>
      </c>
      <c r="AH1068" s="21" t="s">
        <v>8023</v>
      </c>
      <c r="AI1068" s="62" t="str">
        <f>IFERROR(__xludf.DUMMYFUNCTION("IF(OR(W1068="""",X1068="""",AE1068="""",AD1068=""""),"""",
   TEXT(
     (
       (AE1068+AD1068 + IF(AE1068+AD1068 &lt; W1068+X1068,1,0)) - (W1068+X1068)
     )
     - IF(AND(AB1068&lt;&gt;"""",AC1068&lt;&gt;""""), 
          SUM(ARRAYFORMULA(SPLIT(AC1068,"","") - SPLI"&amp;"T(AB1068,"",""))), 
          0
       ),
     ""[hh]:mm""
   )
)
"),"05:40")</f>
        <v>05:40</v>
      </c>
      <c r="AJ1068" s="27">
        <f t="shared" si="16"/>
        <v>0</v>
      </c>
      <c r="AK1068" s="63" t="str">
        <f t="shared" si="17"/>
        <v>Pass</v>
      </c>
    </row>
    <row r="1069">
      <c r="A1069" s="45">
        <v>46004.0</v>
      </c>
      <c r="B1069" s="49">
        <v>0.3020833333333333</v>
      </c>
      <c r="C1069" s="45">
        <v>46004.0</v>
      </c>
      <c r="D1069" s="49">
        <v>0.33194444444444443</v>
      </c>
      <c r="E1069" s="21" t="s">
        <v>8026</v>
      </c>
      <c r="F1069" s="21" t="s">
        <v>2193</v>
      </c>
      <c r="G1069" s="21" t="s">
        <v>2194</v>
      </c>
      <c r="H1069" s="21" t="s">
        <v>756</v>
      </c>
      <c r="I1069" s="21" t="s">
        <v>60</v>
      </c>
      <c r="J1069" s="21" t="s">
        <v>3806</v>
      </c>
      <c r="K1069" s="21" t="s">
        <v>43</v>
      </c>
      <c r="L1069" s="21" t="s">
        <v>44</v>
      </c>
      <c r="M1069" s="21" t="s">
        <v>5097</v>
      </c>
      <c r="N1069" s="21" t="s">
        <v>7760</v>
      </c>
      <c r="O1069" s="48" t="s">
        <v>8027</v>
      </c>
      <c r="P1069" s="21" t="s">
        <v>75</v>
      </c>
      <c r="Q1069" s="24" t="s">
        <v>65</v>
      </c>
      <c r="R1069" s="21" t="s">
        <v>8028</v>
      </c>
      <c r="S1069" s="21" t="s">
        <v>51</v>
      </c>
      <c r="T1069" s="21" t="s">
        <v>52</v>
      </c>
      <c r="U1069" s="21" t="s">
        <v>52</v>
      </c>
      <c r="V1069" s="21" t="s">
        <v>52</v>
      </c>
      <c r="W1069" s="45">
        <v>46004.0</v>
      </c>
      <c r="X1069" s="49">
        <v>0.33194444444444443</v>
      </c>
      <c r="Y1069" s="45">
        <v>46004.0</v>
      </c>
      <c r="Z1069" s="49">
        <v>0.5284722222222222</v>
      </c>
      <c r="AA1069" s="49">
        <v>0.5291666666666667</v>
      </c>
      <c r="AB1069" s="25">
        <v>0.5798611111111112</v>
      </c>
      <c r="AC1069" s="25">
        <v>0.6493055555555556</v>
      </c>
      <c r="AD1069" s="25">
        <v>0.7048611111111112</v>
      </c>
      <c r="AE1069" s="45">
        <v>46004.0</v>
      </c>
      <c r="AF1069" s="21" t="s">
        <v>7020</v>
      </c>
      <c r="AG1069" s="21" t="s">
        <v>102</v>
      </c>
      <c r="AH1069" s="21" t="s">
        <v>7766</v>
      </c>
      <c r="AI1069" s="62" t="str">
        <f>IFERROR(__xludf.DUMMYFUNCTION("IF(OR(W1069="""",X1069="""",AE1069="""",AD1069=""""),"""",
   TEXT(
     (
       (AE1069+AD1069 + IF(AE1069+AD1069 &lt; W1069+X1069,1,0)) - (W1069+X1069)
     )
     - IF(AND(AB1069&lt;&gt;"""",AC1069&lt;&gt;""""), 
          SUM(ARRAYFORMULA(SPLIT(AC1069,"","") - SPLI"&amp;"T(AB1069,"",""))), 
          0
       ),
     ""[hh]:mm""
   )
)
"),"07:17")</f>
        <v>07:17</v>
      </c>
      <c r="AJ1069" s="27">
        <f t="shared" si="16"/>
        <v>0</v>
      </c>
      <c r="AK1069" s="63" t="str">
        <f t="shared" si="17"/>
        <v>Pass</v>
      </c>
    </row>
    <row r="1070">
      <c r="A1070" s="45">
        <v>46004.0</v>
      </c>
      <c r="B1070" s="49">
        <v>0.33194444444444443</v>
      </c>
      <c r="C1070" s="45">
        <v>46004.0</v>
      </c>
      <c r="D1070" s="49">
        <v>0.3326388888888889</v>
      </c>
      <c r="E1070" s="21" t="s">
        <v>8029</v>
      </c>
      <c r="F1070" s="21" t="s">
        <v>1192</v>
      </c>
      <c r="G1070" s="21" t="s">
        <v>1193</v>
      </c>
      <c r="H1070" s="21" t="s">
        <v>756</v>
      </c>
      <c r="I1070" s="21" t="s">
        <v>1612</v>
      </c>
      <c r="J1070" s="21" t="s">
        <v>1612</v>
      </c>
      <c r="K1070" s="21" t="s">
        <v>143</v>
      </c>
      <c r="L1070" s="21" t="s">
        <v>5189</v>
      </c>
      <c r="M1070" s="21" t="s">
        <v>8030</v>
      </c>
      <c r="N1070" s="21" t="s">
        <v>8031</v>
      </c>
      <c r="O1070" s="48" t="s">
        <v>8032</v>
      </c>
      <c r="P1070" s="21" t="s">
        <v>75</v>
      </c>
      <c r="Q1070" s="24" t="s">
        <v>65</v>
      </c>
      <c r="R1070" s="21" t="s">
        <v>8033</v>
      </c>
      <c r="S1070" s="21" t="s">
        <v>51</v>
      </c>
      <c r="T1070" s="21" t="s">
        <v>52</v>
      </c>
      <c r="U1070" s="21" t="s">
        <v>52</v>
      </c>
      <c r="V1070" s="21" t="s">
        <v>52</v>
      </c>
      <c r="W1070" s="45">
        <v>46004.0</v>
      </c>
      <c r="X1070" s="49">
        <v>0.3326388888888889</v>
      </c>
      <c r="Y1070" s="45">
        <v>46004.0</v>
      </c>
      <c r="Z1070" s="49">
        <v>0.5</v>
      </c>
      <c r="AA1070" s="49">
        <v>0.5416666666666666</v>
      </c>
      <c r="AB1070" s="25">
        <v>0.5</v>
      </c>
      <c r="AC1070" s="25">
        <v>0.5208333333333334</v>
      </c>
      <c r="AD1070" s="25">
        <v>0.6666666666666666</v>
      </c>
      <c r="AE1070" s="45">
        <v>46004.0</v>
      </c>
      <c r="AF1070" s="21" t="s">
        <v>7020</v>
      </c>
      <c r="AG1070" s="21" t="s">
        <v>78</v>
      </c>
      <c r="AH1070" s="21" t="s">
        <v>8034</v>
      </c>
      <c r="AI1070" s="62" t="str">
        <f>IFERROR(__xludf.DUMMYFUNCTION("IF(OR(W1070="""",X1070="""",AE1070="""",AD1070=""""),"""",
   TEXT(
     (
       (AE1070+AD1070 + IF(AE1070+AD1070 &lt; W1070+X1070,1,0)) - (W1070+X1070)
     )
     - IF(AND(AB1070&lt;&gt;"""",AC1070&lt;&gt;""""), 
          SUM(ARRAYFORMULA(SPLIT(AC1070,"","") - SPLI"&amp;"T(AB1070,"",""))), 
          0
       ),
     ""[hh]:mm""
   )
)
"),"07:31")</f>
        <v>07:31</v>
      </c>
      <c r="AJ1070" s="27">
        <f t="shared" si="16"/>
        <v>0</v>
      </c>
      <c r="AK1070" s="63" t="str">
        <f t="shared" si="17"/>
        <v>Pass</v>
      </c>
    </row>
    <row r="1071">
      <c r="A1071" s="45">
        <v>46004.0</v>
      </c>
      <c r="B1071" s="49">
        <v>0.3611111111111111</v>
      </c>
      <c r="C1071" s="45">
        <v>46004.0</v>
      </c>
      <c r="D1071" s="49">
        <v>0.36666666666666664</v>
      </c>
      <c r="E1071" s="21" t="s">
        <v>8035</v>
      </c>
      <c r="F1071" s="21" t="s">
        <v>7253</v>
      </c>
      <c r="G1071" s="21" t="s">
        <v>7254</v>
      </c>
      <c r="H1071" s="21" t="s">
        <v>8036</v>
      </c>
      <c r="I1071" s="21" t="s">
        <v>95</v>
      </c>
      <c r="J1071" s="21" t="s">
        <v>95</v>
      </c>
      <c r="K1071" s="21" t="s">
        <v>386</v>
      </c>
      <c r="L1071" s="21" t="s">
        <v>3663</v>
      </c>
      <c r="M1071" s="21" t="s">
        <v>8037</v>
      </c>
      <c r="N1071" s="21" t="s">
        <v>8038</v>
      </c>
      <c r="O1071" s="48" t="s">
        <v>8039</v>
      </c>
      <c r="P1071" s="21" t="s">
        <v>48</v>
      </c>
      <c r="Q1071" s="24" t="s">
        <v>49</v>
      </c>
      <c r="R1071" s="21" t="s">
        <v>8040</v>
      </c>
      <c r="S1071" s="21" t="s">
        <v>51</v>
      </c>
      <c r="T1071" s="21" t="s">
        <v>52</v>
      </c>
      <c r="U1071" s="21" t="s">
        <v>52</v>
      </c>
      <c r="V1071" s="21" t="s">
        <v>52</v>
      </c>
      <c r="W1071" s="45">
        <v>46004.0</v>
      </c>
      <c r="X1071" s="49">
        <v>0.36666666666666664</v>
      </c>
      <c r="Y1071" s="45">
        <v>46004.0</v>
      </c>
      <c r="Z1071" s="49">
        <v>0.4354166666666667</v>
      </c>
      <c r="AA1071" s="49">
        <v>0.43680555555555556</v>
      </c>
      <c r="AB1071" s="25">
        <v>0.4375</v>
      </c>
      <c r="AC1071" s="25">
        <v>0.46041666666666664</v>
      </c>
      <c r="AD1071" s="25">
        <v>0.4618055555555556</v>
      </c>
      <c r="AE1071" s="45">
        <v>46004.0</v>
      </c>
      <c r="AF1071" s="21" t="s">
        <v>2839</v>
      </c>
      <c r="AG1071" s="21" t="s">
        <v>2004</v>
      </c>
      <c r="AH1071" s="21" t="s">
        <v>8041</v>
      </c>
      <c r="AI1071" s="62" t="str">
        <f>IFERROR(__xludf.DUMMYFUNCTION("IF(OR(W1071="""",X1071="""",AE1071="""",AD1071=""""),"""",
   TEXT(
     (
       (AE1071+AD1071 + IF(AE1071+AD1071 &lt; W1071+X1071,1,0)) - (W1071+X1071)
     )
     - IF(AND(AB1071&lt;&gt;"""",AC1071&lt;&gt;""""), 
          SUM(ARRAYFORMULA(SPLIT(AC1071,"","") - SPLI"&amp;"T(AB1071,"",""))), 
          0
       ),
     ""[hh]:mm""
   )
)
"),"01:44")</f>
        <v>01:44</v>
      </c>
      <c r="AJ1071" s="27">
        <f t="shared" si="16"/>
        <v>0</v>
      </c>
      <c r="AK1071" s="63" t="str">
        <f t="shared" si="17"/>
        <v>Pass</v>
      </c>
    </row>
    <row r="1072">
      <c r="A1072" s="45">
        <v>46004.0</v>
      </c>
      <c r="B1072" s="49">
        <v>0.5131944444444444</v>
      </c>
      <c r="C1072" s="45">
        <v>46004.0</v>
      </c>
      <c r="D1072" s="49">
        <v>0.5194444444444445</v>
      </c>
      <c r="E1072" s="21" t="s">
        <v>8042</v>
      </c>
      <c r="F1072" s="21" t="s">
        <v>1891</v>
      </c>
      <c r="G1072" s="21" t="s">
        <v>1892</v>
      </c>
      <c r="H1072" s="21" t="s">
        <v>1610</v>
      </c>
      <c r="I1072" s="21" t="s">
        <v>1612</v>
      </c>
      <c r="J1072" s="21" t="s">
        <v>1612</v>
      </c>
      <c r="K1072" s="21" t="s">
        <v>143</v>
      </c>
      <c r="L1072" s="21" t="s">
        <v>5189</v>
      </c>
      <c r="M1072" s="21" t="s">
        <v>8043</v>
      </c>
      <c r="N1072" s="21" t="s">
        <v>8044</v>
      </c>
      <c r="O1072" s="48" t="s">
        <v>8045</v>
      </c>
      <c r="P1072" s="21" t="s">
        <v>187</v>
      </c>
      <c r="Q1072" s="24" t="s">
        <v>65</v>
      </c>
      <c r="R1072" s="21" t="s">
        <v>8046</v>
      </c>
      <c r="S1072" s="21" t="s">
        <v>51</v>
      </c>
      <c r="T1072" s="21" t="s">
        <v>52</v>
      </c>
      <c r="U1072" s="21" t="s">
        <v>52</v>
      </c>
      <c r="V1072" s="21" t="s">
        <v>52</v>
      </c>
      <c r="W1072" s="45">
        <v>46004.0</v>
      </c>
      <c r="X1072" s="49">
        <v>0.5194444444444445</v>
      </c>
      <c r="Y1072" s="45">
        <v>46004.0</v>
      </c>
      <c r="Z1072" s="49">
        <v>0.6041666666666666</v>
      </c>
      <c r="AA1072" s="49">
        <v>0.6076388888888888</v>
      </c>
      <c r="AB1072" s="29"/>
      <c r="AC1072" s="29"/>
      <c r="AD1072" s="25">
        <v>0.7395833333333334</v>
      </c>
      <c r="AE1072" s="45">
        <v>46004.0</v>
      </c>
      <c r="AF1072" s="21" t="s">
        <v>7020</v>
      </c>
      <c r="AG1072" s="21" t="s">
        <v>3191</v>
      </c>
      <c r="AH1072" s="21" t="s">
        <v>8047</v>
      </c>
      <c r="AI1072" s="62" t="str">
        <f>IFERROR(__xludf.DUMMYFUNCTION("IF(OR(W1072="""",X1072="""",AE1072="""",AD1072=""""),"""",
   TEXT(
     (
       (AE1072+AD1072 + IF(AE1072+AD1072 &lt; W1072+X1072,1,0)) - (W1072+X1072)
     )
     - IF(AND(AB1072&lt;&gt;"""",AC1072&lt;&gt;""""), 
          SUM(ARRAYFORMULA(SPLIT(AC1072,"","") - SPLI"&amp;"T(AB1072,"",""))), 
          0
       ),
     ""[hh]:mm""
   )
)
"),"05:17")</f>
        <v>05:17</v>
      </c>
      <c r="AJ1072" s="27">
        <f t="shared" si="16"/>
        <v>0</v>
      </c>
      <c r="AK1072" s="63" t="str">
        <f t="shared" si="17"/>
        <v>Pass</v>
      </c>
    </row>
    <row r="1073">
      <c r="A1073" s="18">
        <v>46004.0</v>
      </c>
      <c r="B1073" s="20">
        <v>0.5409722222222222</v>
      </c>
      <c r="C1073" s="18">
        <v>46004.0</v>
      </c>
      <c r="D1073" s="20">
        <v>0.54375</v>
      </c>
      <c r="E1073" s="22" t="s">
        <v>8048</v>
      </c>
      <c r="F1073" s="22" t="s">
        <v>2011</v>
      </c>
      <c r="G1073" s="22" t="s">
        <v>2012</v>
      </c>
      <c r="H1073" s="22" t="s">
        <v>8049</v>
      </c>
      <c r="I1073" s="22" t="s">
        <v>131</v>
      </c>
      <c r="J1073" s="22" t="s">
        <v>2253</v>
      </c>
      <c r="K1073" s="22" t="s">
        <v>43</v>
      </c>
      <c r="L1073" s="22" t="s">
        <v>1120</v>
      </c>
      <c r="M1073" s="22" t="s">
        <v>8050</v>
      </c>
      <c r="N1073" s="22" t="s">
        <v>8051</v>
      </c>
      <c r="O1073" s="23" t="s">
        <v>8052</v>
      </c>
      <c r="P1073" s="22" t="s">
        <v>75</v>
      </c>
      <c r="Q1073" s="50" t="s">
        <v>65</v>
      </c>
      <c r="R1073" s="102" t="s">
        <v>8053</v>
      </c>
      <c r="S1073" s="22" t="s">
        <v>51</v>
      </c>
      <c r="T1073" s="22" t="s">
        <v>6676</v>
      </c>
      <c r="U1073" s="22" t="s">
        <v>7909</v>
      </c>
      <c r="V1073" s="22" t="s">
        <v>8050</v>
      </c>
      <c r="W1073" s="18">
        <v>46004.0</v>
      </c>
      <c r="X1073" s="20">
        <v>0.54375</v>
      </c>
      <c r="Y1073" s="18">
        <v>46004.0</v>
      </c>
      <c r="Z1073" s="20">
        <v>0.7118055555555556</v>
      </c>
      <c r="AA1073" s="20">
        <v>0.7152777777777778</v>
      </c>
      <c r="AB1073" s="50" t="s">
        <v>8054</v>
      </c>
      <c r="AC1073" s="50" t="s">
        <v>8055</v>
      </c>
      <c r="AD1073" s="51">
        <v>0.875</v>
      </c>
      <c r="AE1073" s="18">
        <v>46004.0</v>
      </c>
      <c r="AF1073" s="22" t="s">
        <v>2828</v>
      </c>
      <c r="AG1073" s="22" t="s">
        <v>5541</v>
      </c>
      <c r="AH1073" s="22" t="s">
        <v>8056</v>
      </c>
      <c r="AI1073" s="62" t="str">
        <f>IFERROR(__xludf.DUMMYFUNCTION("IF(OR(W1073="""",X1073="""",AE1073="""",AD1073=""""),"""",
   TEXT(
     (
       (AE1073+AD1073 + IF(AE1073+AD1073 &lt; W1073+X1073,1,0)) - (W1073+X1073)
     )
     - IF(AND(AB1073&lt;&gt;"""",AC1073&lt;&gt;""""), 
          SUM(ARRAYFORMULA(SPLIT(AC1073,"","") - SPLI"&amp;"T(AB1073,"",""))), 
          0
       ),
     ""[hh]:mm""
   )
)
"),"05:52")</f>
        <v>05:52</v>
      </c>
      <c r="AJ1073" s="27">
        <f t="shared" si="16"/>
        <v>0</v>
      </c>
      <c r="AK1073" s="63" t="str">
        <f t="shared" si="17"/>
        <v>Pass</v>
      </c>
    </row>
    <row r="1074">
      <c r="A1074" s="45">
        <v>46004.0</v>
      </c>
      <c r="B1074" s="49">
        <v>0.6583333333333333</v>
      </c>
      <c r="C1074" s="45">
        <v>46004.0</v>
      </c>
      <c r="D1074" s="49">
        <v>0.6645833333333333</v>
      </c>
      <c r="E1074" s="21" t="s">
        <v>8057</v>
      </c>
      <c r="F1074" s="21" t="s">
        <v>8058</v>
      </c>
      <c r="G1074" s="21" t="s">
        <v>8059</v>
      </c>
      <c r="H1074" s="21" t="s">
        <v>8060</v>
      </c>
      <c r="I1074" s="21" t="s">
        <v>2651</v>
      </c>
      <c r="J1074" s="21" t="s">
        <v>2655</v>
      </c>
      <c r="K1074" s="21" t="s">
        <v>43</v>
      </c>
      <c r="L1074" s="21" t="s">
        <v>2471</v>
      </c>
      <c r="M1074" s="21" t="s">
        <v>8061</v>
      </c>
      <c r="N1074" s="21" t="s">
        <v>8062</v>
      </c>
      <c r="O1074" s="48" t="s">
        <v>8063</v>
      </c>
      <c r="P1074" s="21" t="s">
        <v>75</v>
      </c>
      <c r="Q1074" s="24" t="s">
        <v>65</v>
      </c>
      <c r="R1074" s="21" t="s">
        <v>8064</v>
      </c>
      <c r="S1074" s="21" t="s">
        <v>51</v>
      </c>
      <c r="T1074" s="21" t="s">
        <v>52</v>
      </c>
      <c r="U1074" s="21" t="s">
        <v>52</v>
      </c>
      <c r="V1074" s="21" t="s">
        <v>52</v>
      </c>
      <c r="W1074" s="45">
        <v>46004.0</v>
      </c>
      <c r="X1074" s="49">
        <v>0.6506944444444445</v>
      </c>
      <c r="Y1074" s="45">
        <v>46004.0</v>
      </c>
      <c r="Z1074" s="49">
        <v>0.8284722222222223</v>
      </c>
      <c r="AA1074" s="49">
        <v>0.84375</v>
      </c>
      <c r="AB1074" s="29"/>
      <c r="AC1074" s="29"/>
      <c r="AD1074" s="25">
        <v>0.8680555555555556</v>
      </c>
      <c r="AE1074" s="45">
        <v>46004.0</v>
      </c>
      <c r="AF1074" s="21" t="s">
        <v>2744</v>
      </c>
      <c r="AG1074" s="21" t="s">
        <v>3359</v>
      </c>
      <c r="AH1074" s="21" t="s">
        <v>8065</v>
      </c>
      <c r="AI1074" s="62" t="str">
        <f>IFERROR(__xludf.DUMMYFUNCTION("IF(OR(W1074="""",X1074="""",AE1074="""",AD1074=""""),"""",
   TEXT(
     (
       (AE1074+AD1074 + IF(AE1074+AD1074 &lt; W1074+X1074,1,0)) - (W1074+X1074)
     )
     - IF(AND(AB1074&lt;&gt;"""",AC1074&lt;&gt;""""), 
          SUM(ARRAYFORMULA(SPLIT(AC1074,"","") - SPLI"&amp;"T(AB1074,"",""))), 
          0
       ),
     ""[hh]:mm""
   )
)
"),"05:13")</f>
        <v>05:13</v>
      </c>
      <c r="AJ1074" s="27">
        <f t="shared" si="16"/>
        <v>0</v>
      </c>
      <c r="AK1074" s="63" t="str">
        <f t="shared" si="17"/>
        <v>Pass</v>
      </c>
    </row>
    <row r="1075">
      <c r="A1075" s="18">
        <v>46004.0</v>
      </c>
      <c r="B1075" s="20">
        <v>0.7861111111111111</v>
      </c>
      <c r="C1075" s="18">
        <v>46004.0</v>
      </c>
      <c r="D1075" s="20">
        <v>0.7861111111111111</v>
      </c>
      <c r="E1075" s="22" t="s">
        <v>8066</v>
      </c>
      <c r="F1075" s="22" t="s">
        <v>7326</v>
      </c>
      <c r="G1075" s="22" t="s">
        <v>7905</v>
      </c>
      <c r="H1075" s="22" t="s">
        <v>3093</v>
      </c>
      <c r="I1075" s="22" t="s">
        <v>616</v>
      </c>
      <c r="J1075" s="22" t="s">
        <v>3813</v>
      </c>
      <c r="K1075" s="22" t="s">
        <v>43</v>
      </c>
      <c r="L1075" s="22" t="s">
        <v>1120</v>
      </c>
      <c r="M1075" s="22" t="s">
        <v>7910</v>
      </c>
      <c r="N1075" s="22" t="s">
        <v>8067</v>
      </c>
      <c r="O1075" s="23" t="s">
        <v>8068</v>
      </c>
      <c r="P1075" s="22" t="s">
        <v>75</v>
      </c>
      <c r="Q1075" s="50" t="s">
        <v>198</v>
      </c>
      <c r="R1075" s="22" t="s">
        <v>8069</v>
      </c>
      <c r="S1075" s="22" t="s">
        <v>51</v>
      </c>
      <c r="T1075" s="22" t="s">
        <v>52</v>
      </c>
      <c r="U1075" s="22" t="s">
        <v>52</v>
      </c>
      <c r="V1075" s="22" t="s">
        <v>52</v>
      </c>
      <c r="W1075" s="18">
        <v>46004.0</v>
      </c>
      <c r="X1075" s="103">
        <v>0.7861111111111111</v>
      </c>
      <c r="Y1075" s="18">
        <v>46004.0</v>
      </c>
      <c r="Z1075" s="20">
        <v>0.8402777777777778</v>
      </c>
      <c r="AA1075" s="20">
        <v>0.84375</v>
      </c>
      <c r="AB1075" s="54"/>
      <c r="AC1075" s="54"/>
      <c r="AD1075" s="51">
        <v>0.8472222222222222</v>
      </c>
      <c r="AE1075" s="18">
        <v>46004.0</v>
      </c>
      <c r="AF1075" s="22" t="s">
        <v>3007</v>
      </c>
      <c r="AG1075" s="22" t="s">
        <v>5541</v>
      </c>
      <c r="AH1075" s="22" t="s">
        <v>8070</v>
      </c>
      <c r="AI1075" s="62" t="str">
        <f>IFERROR(__xludf.DUMMYFUNCTION("IF(OR(W1075="""",X1075="""",AE1075="""",AD1075=""""),"""",
   TEXT(
     (
       (AE1075+AD1075 + IF(AE1075+AD1075 &lt; W1075+X1075,1,0)) - (W1075+X1075)
     )
     - IF(AND(AB1075&lt;&gt;"""",AC1075&lt;&gt;""""), 
          SUM(ARRAYFORMULA(SPLIT(AC1075,"","") - SPLI"&amp;"T(AB1075,"",""))), 
          0
       ),
     ""[hh]:mm""
   )
)
"),"01:28")</f>
        <v>01:28</v>
      </c>
      <c r="AJ1075" s="27">
        <f t="shared" si="16"/>
        <v>0</v>
      </c>
      <c r="AK1075" s="63" t="str">
        <f t="shared" si="17"/>
        <v>Pass</v>
      </c>
    </row>
    <row r="1076">
      <c r="A1076" s="45">
        <v>46004.0</v>
      </c>
      <c r="B1076" s="49">
        <v>0.47291666666666665</v>
      </c>
      <c r="C1076" s="45">
        <v>46004.0</v>
      </c>
      <c r="D1076" s="49">
        <v>0.47291666666666665</v>
      </c>
      <c r="E1076" s="21" t="s">
        <v>8071</v>
      </c>
      <c r="F1076" s="21" t="s">
        <v>316</v>
      </c>
      <c r="G1076" s="21" t="s">
        <v>317</v>
      </c>
      <c r="H1076" s="21" t="s">
        <v>253</v>
      </c>
      <c r="I1076" s="21" t="s">
        <v>107</v>
      </c>
      <c r="J1076" s="21" t="s">
        <v>3806</v>
      </c>
      <c r="K1076" s="21" t="s">
        <v>43</v>
      </c>
      <c r="L1076" s="21" t="s">
        <v>7731</v>
      </c>
      <c r="M1076" s="21" t="s">
        <v>7732</v>
      </c>
      <c r="N1076" s="21" t="s">
        <v>8072</v>
      </c>
      <c r="O1076" s="48" t="s">
        <v>8073</v>
      </c>
      <c r="P1076" s="21" t="s">
        <v>48</v>
      </c>
      <c r="Q1076" s="24" t="s">
        <v>49</v>
      </c>
      <c r="R1076" s="21" t="s">
        <v>8074</v>
      </c>
      <c r="S1076" s="21" t="s">
        <v>51</v>
      </c>
      <c r="T1076" s="21" t="s">
        <v>52</v>
      </c>
      <c r="U1076" s="21" t="s">
        <v>52</v>
      </c>
      <c r="V1076" s="21" t="s">
        <v>52</v>
      </c>
      <c r="W1076" s="45">
        <v>46005.0</v>
      </c>
      <c r="X1076" s="49">
        <v>0.4166666666666667</v>
      </c>
      <c r="Y1076" s="45">
        <v>46005.0</v>
      </c>
      <c r="Z1076" s="49">
        <v>0.4173611111111111</v>
      </c>
      <c r="AA1076" s="49">
        <v>0.44583333333333336</v>
      </c>
      <c r="AB1076" s="24" t="s">
        <v>8075</v>
      </c>
      <c r="AC1076" s="24" t="s">
        <v>8076</v>
      </c>
      <c r="AD1076" s="25">
        <v>0.6138888888888889</v>
      </c>
      <c r="AE1076" s="45">
        <v>46005.0</v>
      </c>
      <c r="AF1076" s="21" t="s">
        <v>7020</v>
      </c>
      <c r="AG1076" s="21" t="s">
        <v>162</v>
      </c>
      <c r="AH1076" s="21" t="s">
        <v>6670</v>
      </c>
      <c r="AI1076" s="62" t="str">
        <f>IFERROR(__xludf.DUMMYFUNCTION("IF(OR(W1076="""",X1076="""",AE1076="""",AD1076=""""),"""",
   TEXT(
     (
       (AE1076+AD1076 + IF(AE1076+AD1076 &lt; W1076+X1076,1,0)) - (W1076+X1076)
     )
     - IF(AND(AB1076&lt;&gt;"""",AC1076&lt;&gt;""""), 
          SUM(ARRAYFORMULA(SPLIT(AC1076,"","") - SPLI"&amp;"T(AB1076,"",""))), 
          0
       ),
     ""[hh]:mm""
   )
)
"),"01:23")</f>
        <v>01:23</v>
      </c>
      <c r="AJ1076" s="27">
        <f t="shared" si="16"/>
        <v>0</v>
      </c>
      <c r="AK1076" s="63" t="str">
        <f t="shared" si="17"/>
        <v>Pass</v>
      </c>
    </row>
    <row r="1077">
      <c r="A1077" s="45">
        <v>46004.0</v>
      </c>
      <c r="B1077" s="49">
        <v>0.5909722222222222</v>
      </c>
      <c r="C1077" s="45">
        <v>46004.0</v>
      </c>
      <c r="D1077" s="49">
        <v>0.5958333333333333</v>
      </c>
      <c r="E1077" s="21" t="s">
        <v>8077</v>
      </c>
      <c r="F1077" s="21" t="s">
        <v>3211</v>
      </c>
      <c r="G1077" s="21" t="s">
        <v>3212</v>
      </c>
      <c r="H1077" s="21" t="s">
        <v>1610</v>
      </c>
      <c r="I1077" s="21" t="s">
        <v>1612</v>
      </c>
      <c r="J1077" s="21" t="s">
        <v>1612</v>
      </c>
      <c r="K1077" s="21" t="s">
        <v>143</v>
      </c>
      <c r="L1077" s="21" t="s">
        <v>5189</v>
      </c>
      <c r="M1077" s="21" t="s">
        <v>8078</v>
      </c>
      <c r="N1077" s="21" t="s">
        <v>8079</v>
      </c>
      <c r="O1077" s="48" t="s">
        <v>8080</v>
      </c>
      <c r="P1077" s="21" t="s">
        <v>187</v>
      </c>
      <c r="Q1077" s="24" t="s">
        <v>65</v>
      </c>
      <c r="R1077" s="21" t="s">
        <v>8081</v>
      </c>
      <c r="S1077" s="21" t="s">
        <v>51</v>
      </c>
      <c r="T1077" s="21" t="s">
        <v>52</v>
      </c>
      <c r="U1077" s="21" t="s">
        <v>52</v>
      </c>
      <c r="V1077" s="21" t="s">
        <v>52</v>
      </c>
      <c r="W1077" s="45">
        <v>46005.0</v>
      </c>
      <c r="X1077" s="49">
        <v>0.3993055555555556</v>
      </c>
      <c r="Y1077" s="45">
        <v>46005.0</v>
      </c>
      <c r="Z1077" s="49">
        <v>0.4583333333333333</v>
      </c>
      <c r="AA1077" s="49">
        <v>0.4618055555555556</v>
      </c>
      <c r="AB1077" s="29"/>
      <c r="AC1077" s="29"/>
      <c r="AD1077" s="25">
        <v>0.6277777777777778</v>
      </c>
      <c r="AE1077" s="45">
        <v>46005.0</v>
      </c>
      <c r="AF1077" s="21" t="s">
        <v>5717</v>
      </c>
      <c r="AG1077" s="21" t="s">
        <v>293</v>
      </c>
      <c r="AH1077" s="21" t="s">
        <v>8082</v>
      </c>
      <c r="AI1077" s="62" t="str">
        <f>IFERROR(__xludf.DUMMYFUNCTION("IF(OR(W1077="""",X1077="""",AE1077="""",AD1077=""""),"""",
   TEXT(
     (
       (AE1077+AD1077 + IF(AE1077+AD1077 &lt; W1077+X1077,1,0)) - (W1077+X1077)
     )
     - IF(AND(AB1077&lt;&gt;"""",AC1077&lt;&gt;""""), 
          SUM(ARRAYFORMULA(SPLIT(AC1077,"","") - SPLI"&amp;"T(AB1077,"",""))), 
          0
       ),
     ""[hh]:mm""
   )
)
"),"05:29")</f>
        <v>05:29</v>
      </c>
      <c r="AJ1077" s="27">
        <f t="shared" si="16"/>
        <v>0</v>
      </c>
      <c r="AK1077" s="63" t="str">
        <f t="shared" si="17"/>
        <v>Pass</v>
      </c>
    </row>
    <row r="1078">
      <c r="A1078" s="45">
        <v>46004.0</v>
      </c>
      <c r="B1078" s="49">
        <v>0.6152777777777778</v>
      </c>
      <c r="C1078" s="45">
        <v>46004.0</v>
      </c>
      <c r="D1078" s="49">
        <v>0.6166666666666667</v>
      </c>
      <c r="E1078" s="21" t="s">
        <v>8083</v>
      </c>
      <c r="F1078" s="21" t="s">
        <v>3211</v>
      </c>
      <c r="G1078" s="21" t="s">
        <v>3212</v>
      </c>
      <c r="H1078" s="21" t="s">
        <v>1610</v>
      </c>
      <c r="I1078" s="21" t="s">
        <v>1612</v>
      </c>
      <c r="J1078" s="21" t="s">
        <v>1612</v>
      </c>
      <c r="K1078" s="21" t="s">
        <v>143</v>
      </c>
      <c r="L1078" s="21" t="s">
        <v>5189</v>
      </c>
      <c r="M1078" s="21" t="s">
        <v>8084</v>
      </c>
      <c r="N1078" s="21" t="s">
        <v>8079</v>
      </c>
      <c r="O1078" s="48" t="s">
        <v>8080</v>
      </c>
      <c r="P1078" s="21" t="s">
        <v>187</v>
      </c>
      <c r="Q1078" s="24" t="s">
        <v>65</v>
      </c>
      <c r="R1078" s="21" t="s">
        <v>8081</v>
      </c>
      <c r="S1078" s="21" t="s">
        <v>51</v>
      </c>
      <c r="T1078" s="21" t="s">
        <v>52</v>
      </c>
      <c r="U1078" s="21" t="s">
        <v>52</v>
      </c>
      <c r="V1078" s="21" t="s">
        <v>52</v>
      </c>
      <c r="W1078" s="45">
        <v>46005.0</v>
      </c>
      <c r="X1078" s="49">
        <v>0.3993055555555556</v>
      </c>
      <c r="Y1078" s="45">
        <v>46005.0</v>
      </c>
      <c r="Z1078" s="49">
        <v>0.4583333333333333</v>
      </c>
      <c r="AA1078" s="49">
        <v>0.4618055555555556</v>
      </c>
      <c r="AB1078" s="29"/>
      <c r="AC1078" s="29"/>
      <c r="AD1078" s="25">
        <v>0.6277777777777778</v>
      </c>
      <c r="AE1078" s="45">
        <v>46005.0</v>
      </c>
      <c r="AF1078" s="21" t="s">
        <v>5717</v>
      </c>
      <c r="AG1078" s="21" t="s">
        <v>293</v>
      </c>
      <c r="AH1078" s="21" t="s">
        <v>8082</v>
      </c>
      <c r="AI1078" s="62" t="str">
        <f>IFERROR(__xludf.DUMMYFUNCTION("IF(OR(W1078="""",X1078="""",AE1078="""",AD1078=""""),"""",
   TEXT(
     (
       (AE1078+AD1078 + IF(AE1078+AD1078 &lt; W1078+X1078,1,0)) - (W1078+X1078)
     )
     - IF(AND(AB1078&lt;&gt;"""",AC1078&lt;&gt;""""), 
          SUM(ARRAYFORMULA(SPLIT(AC1078,"","") - SPLI"&amp;"T(AB1078,"",""))), 
          0
       ),
     ""[hh]:mm""
   )
)
"),"05:29")</f>
        <v>05:29</v>
      </c>
      <c r="AJ1078" s="27">
        <f t="shared" si="16"/>
        <v>0</v>
      </c>
      <c r="AK1078" s="63" t="str">
        <f t="shared" si="17"/>
        <v>Pass</v>
      </c>
    </row>
    <row r="1079">
      <c r="A1079" s="18">
        <v>46004.0</v>
      </c>
      <c r="B1079" s="20">
        <v>0.7090277777777778</v>
      </c>
      <c r="C1079" s="18">
        <v>46004.0</v>
      </c>
      <c r="D1079" s="20">
        <v>0.7159722222222222</v>
      </c>
      <c r="E1079" s="22" t="s">
        <v>8085</v>
      </c>
      <c r="F1079" s="22" t="s">
        <v>8086</v>
      </c>
      <c r="G1079" s="22" t="s">
        <v>8087</v>
      </c>
      <c r="H1079" s="22" t="s">
        <v>377</v>
      </c>
      <c r="I1079" s="22" t="s">
        <v>1326</v>
      </c>
      <c r="J1079" s="22" t="s">
        <v>768</v>
      </c>
      <c r="K1079" s="22" t="s">
        <v>769</v>
      </c>
      <c r="L1079" s="22" t="s">
        <v>8088</v>
      </c>
      <c r="M1079" s="22" t="s">
        <v>8089</v>
      </c>
      <c r="N1079" s="22" t="s">
        <v>8090</v>
      </c>
      <c r="O1079" s="23" t="s">
        <v>8091</v>
      </c>
      <c r="P1079" s="22" t="s">
        <v>187</v>
      </c>
      <c r="Q1079" s="50" t="s">
        <v>65</v>
      </c>
      <c r="R1079" s="22" t="s">
        <v>8092</v>
      </c>
      <c r="S1079" s="22" t="s">
        <v>51</v>
      </c>
      <c r="T1079" s="22" t="s">
        <v>52</v>
      </c>
      <c r="U1079" s="22" t="s">
        <v>52</v>
      </c>
      <c r="V1079" s="22" t="s">
        <v>52</v>
      </c>
      <c r="W1079" s="18">
        <v>46005.0</v>
      </c>
      <c r="X1079" s="20">
        <v>0.375</v>
      </c>
      <c r="Y1079" s="18">
        <v>46005.0</v>
      </c>
      <c r="Z1079" s="20">
        <v>0.3854166666666667</v>
      </c>
      <c r="AA1079" s="20">
        <v>0.3888888888888889</v>
      </c>
      <c r="AB1079" s="54"/>
      <c r="AC1079" s="54"/>
      <c r="AD1079" s="51">
        <v>0.4583333333333333</v>
      </c>
      <c r="AE1079" s="18">
        <v>46005.0</v>
      </c>
      <c r="AF1079" s="22" t="s">
        <v>2839</v>
      </c>
      <c r="AG1079" s="22" t="s">
        <v>8093</v>
      </c>
      <c r="AH1079" s="22" t="s">
        <v>8094</v>
      </c>
      <c r="AI1079" s="26" t="str">
        <f>IFERROR(__xludf.DUMMYFUNCTION("IF(OR(W1079="""",X1079="""",AE1079="""",AD1079=""""),"""",
   TEXT(
     (
       (AE1079+AD1079 + IF(AE1079+AD1079 &lt; W1079+X1079,1,0)) - (W1079+X1079)
     )
     - IF(AND(AB1079&lt;&gt;"""",AC1079&lt;&gt;""""), 
          SUM(ARRAYFORMULA(SPLIT(AC1079,"","") - SPLI"&amp;"T(AB1079,"",""))), 
          0
       ),
     ""[hh]:mm""
   )
)
"),"02:00")</f>
        <v>02:00</v>
      </c>
      <c r="AJ1079" s="55">
        <f t="shared" si="16"/>
        <v>0</v>
      </c>
      <c r="AK1079" s="28" t="str">
        <f t="shared" si="17"/>
        <v>Pass</v>
      </c>
    </row>
    <row r="1080">
      <c r="A1080" s="45">
        <v>46005.0</v>
      </c>
      <c r="B1080" s="49">
        <v>0.7680555555555556</v>
      </c>
      <c r="C1080" s="45">
        <v>46005.0</v>
      </c>
      <c r="D1080" s="49">
        <v>0.7680555555555556</v>
      </c>
      <c r="E1080" s="21" t="s">
        <v>8095</v>
      </c>
      <c r="F1080" s="21" t="s">
        <v>4686</v>
      </c>
      <c r="G1080" s="21" t="s">
        <v>4687</v>
      </c>
      <c r="H1080" s="21" t="s">
        <v>3093</v>
      </c>
      <c r="I1080" s="21" t="s">
        <v>2026</v>
      </c>
      <c r="J1080" s="21" t="s">
        <v>2253</v>
      </c>
      <c r="K1080" s="21" t="s">
        <v>43</v>
      </c>
      <c r="L1080" s="21" t="s">
        <v>8096</v>
      </c>
      <c r="M1080" s="21" t="s">
        <v>7716</v>
      </c>
      <c r="N1080" s="21" t="s">
        <v>8067</v>
      </c>
      <c r="O1080" s="48" t="s">
        <v>8097</v>
      </c>
      <c r="P1080" s="21" t="s">
        <v>75</v>
      </c>
      <c r="Q1080" s="24" t="s">
        <v>198</v>
      </c>
      <c r="R1080" s="21" t="s">
        <v>8098</v>
      </c>
      <c r="S1080" s="21" t="s">
        <v>51</v>
      </c>
      <c r="T1080" s="21" t="s">
        <v>52</v>
      </c>
      <c r="U1080" s="21" t="s">
        <v>52</v>
      </c>
      <c r="V1080" s="21" t="s">
        <v>52</v>
      </c>
      <c r="W1080" s="45">
        <v>46005.0</v>
      </c>
      <c r="X1080" s="49">
        <v>0.7680555555555556</v>
      </c>
      <c r="Y1080" s="45">
        <v>46005.0</v>
      </c>
      <c r="Z1080" s="49">
        <v>0.7680555555555556</v>
      </c>
      <c r="AA1080" s="49">
        <v>0.84375</v>
      </c>
      <c r="AB1080" s="51">
        <v>0.7680555555555556</v>
      </c>
      <c r="AC1080" s="25">
        <v>0.84375</v>
      </c>
      <c r="AD1080" s="25">
        <v>0.8506944444444444</v>
      </c>
      <c r="AE1080" s="45">
        <v>46005.0</v>
      </c>
      <c r="AF1080" s="21" t="s">
        <v>53</v>
      </c>
      <c r="AG1080" s="21" t="s">
        <v>162</v>
      </c>
      <c r="AH1080" s="21" t="s">
        <v>8099</v>
      </c>
      <c r="AI1080" s="62" t="str">
        <f>IFERROR(__xludf.DUMMYFUNCTION("IF(OR(W1080="""",X1080="""",AE1080="""",AD1080=""""),"""",
   TEXT(
     (
       (AE1080+AD1080 + IF(AE1080+AD1080 &lt; W1080+X1080,1,0)) - (W1080+X1080)
     )
     - IF(AND(AB1080&lt;&gt;"""",AC1080&lt;&gt;""""), 
          SUM(ARRAYFORMULA(SPLIT(AC1080,"","") - SPLI"&amp;"T(AB1080,"",""))), 
          0
       ),
     ""[hh]:mm""
   )
)
"),"00:10")</f>
        <v>00:10</v>
      </c>
      <c r="AJ1080" s="27">
        <f t="shared" si="16"/>
        <v>0</v>
      </c>
      <c r="AK1080" s="63" t="str">
        <f t="shared" si="17"/>
        <v>Pass</v>
      </c>
    </row>
    <row r="1081">
      <c r="A1081" s="45">
        <v>46005.0</v>
      </c>
      <c r="B1081" s="49">
        <v>0.6680555555555555</v>
      </c>
      <c r="C1081" s="45">
        <v>46005.0</v>
      </c>
      <c r="D1081" s="49">
        <v>0.6680555555555555</v>
      </c>
      <c r="E1081" s="21" t="s">
        <v>8100</v>
      </c>
      <c r="F1081" s="21" t="s">
        <v>998</v>
      </c>
      <c r="G1081" s="21" t="s">
        <v>8101</v>
      </c>
      <c r="H1081" s="21" t="s">
        <v>3093</v>
      </c>
      <c r="I1081" s="21" t="s">
        <v>131</v>
      </c>
      <c r="J1081" s="21" t="s">
        <v>2253</v>
      </c>
      <c r="K1081" s="21" t="s">
        <v>43</v>
      </c>
      <c r="L1081" s="21" t="s">
        <v>2663</v>
      </c>
      <c r="M1081" s="21" t="s">
        <v>7884</v>
      </c>
      <c r="N1081" s="21" t="s">
        <v>8067</v>
      </c>
      <c r="O1081" s="48" t="s">
        <v>8102</v>
      </c>
      <c r="P1081" s="21" t="s">
        <v>75</v>
      </c>
      <c r="Q1081" s="24" t="s">
        <v>198</v>
      </c>
      <c r="R1081" s="21" t="s">
        <v>8098</v>
      </c>
      <c r="S1081" s="21" t="s">
        <v>51</v>
      </c>
      <c r="T1081" s="21" t="s">
        <v>52</v>
      </c>
      <c r="U1081" s="21" t="s">
        <v>52</v>
      </c>
      <c r="V1081" s="21" t="s">
        <v>52</v>
      </c>
      <c r="W1081" s="45">
        <v>46005.0</v>
      </c>
      <c r="X1081" s="49">
        <v>0.6680555555555555</v>
      </c>
      <c r="Y1081" s="45">
        <v>46005.0</v>
      </c>
      <c r="Z1081" s="49">
        <v>0.6680555555555555</v>
      </c>
      <c r="AA1081" s="49">
        <v>0.6694444444444444</v>
      </c>
      <c r="AB1081" s="29"/>
      <c r="AC1081" s="29"/>
      <c r="AD1081" s="25">
        <v>0.6805555555555556</v>
      </c>
      <c r="AE1081" s="45">
        <v>46005.0</v>
      </c>
      <c r="AF1081" s="21" t="s">
        <v>53</v>
      </c>
      <c r="AG1081" s="21" t="s">
        <v>162</v>
      </c>
      <c r="AH1081" s="21" t="s">
        <v>8103</v>
      </c>
      <c r="AI1081" s="62" t="str">
        <f>IFERROR(__xludf.DUMMYFUNCTION("IF(OR(W1081="""",X1081="""",AE1081="""",AD1081=""""),"""",
   TEXT(
     (
       (AE1081+AD1081 + IF(AE1081+AD1081 &lt; W1081+X1081,1,0)) - (W1081+X1081)
     )
     - IF(AND(AB1081&lt;&gt;"""",AC1081&lt;&gt;""""), 
          SUM(ARRAYFORMULA(SPLIT(AC1081,"","") - SPLI"&amp;"T(AB1081,"",""))), 
          0
       ),
     ""[hh]:mm""
   )
)
"),"00:18")</f>
        <v>00:18</v>
      </c>
      <c r="AJ1081" s="27">
        <f t="shared" si="16"/>
        <v>0</v>
      </c>
      <c r="AK1081" s="63" t="str">
        <f t="shared" si="17"/>
        <v>Pass</v>
      </c>
    </row>
    <row r="1082">
      <c r="A1082" s="45">
        <v>46005.0</v>
      </c>
      <c r="B1082" s="49">
        <v>0.64375</v>
      </c>
      <c r="C1082" s="45">
        <v>46005.0</v>
      </c>
      <c r="D1082" s="49">
        <v>0.64375</v>
      </c>
      <c r="E1082" s="21" t="s">
        <v>8104</v>
      </c>
      <c r="F1082" s="21" t="s">
        <v>3265</v>
      </c>
      <c r="G1082" s="21" t="s">
        <v>3266</v>
      </c>
      <c r="H1082" s="21" t="s">
        <v>3093</v>
      </c>
      <c r="I1082" s="21" t="s">
        <v>131</v>
      </c>
      <c r="J1082" s="21" t="s">
        <v>2253</v>
      </c>
      <c r="K1082" s="21" t="s">
        <v>43</v>
      </c>
      <c r="L1082" s="21" t="s">
        <v>2663</v>
      </c>
      <c r="M1082" s="21" t="s">
        <v>7806</v>
      </c>
      <c r="N1082" s="21" t="s">
        <v>8067</v>
      </c>
      <c r="O1082" s="48" t="s">
        <v>8105</v>
      </c>
      <c r="P1082" s="21" t="s">
        <v>75</v>
      </c>
      <c r="Q1082" s="24" t="s">
        <v>198</v>
      </c>
      <c r="R1082" s="21" t="s">
        <v>8106</v>
      </c>
      <c r="S1082" s="21" t="s">
        <v>51</v>
      </c>
      <c r="T1082" s="21" t="s">
        <v>52</v>
      </c>
      <c r="U1082" s="21" t="s">
        <v>52</v>
      </c>
      <c r="V1082" s="21" t="s">
        <v>52</v>
      </c>
      <c r="W1082" s="45">
        <v>46005.0</v>
      </c>
      <c r="X1082" s="49">
        <v>0.64375</v>
      </c>
      <c r="Y1082" s="45">
        <v>46005.0</v>
      </c>
      <c r="Z1082" s="49">
        <v>0.64375</v>
      </c>
      <c r="AA1082" s="49">
        <v>0.6444444444444445</v>
      </c>
      <c r="AB1082" s="29"/>
      <c r="AC1082" s="29"/>
      <c r="AD1082" s="25">
        <v>0.6666666666666666</v>
      </c>
      <c r="AE1082" s="45">
        <v>46005.0</v>
      </c>
      <c r="AF1082" s="21" t="s">
        <v>53</v>
      </c>
      <c r="AG1082" s="21" t="s">
        <v>8107</v>
      </c>
      <c r="AH1082" s="21" t="s">
        <v>8108</v>
      </c>
      <c r="AI1082" s="62" t="str">
        <f>IFERROR(__xludf.DUMMYFUNCTION("IF(OR(W1082="""",X1082="""",AE1082="""",AD1082=""""),"""",
   TEXT(
     (
       (AE1082+AD1082 + IF(AE1082+AD1082 &lt; W1082+X1082,1,0)) - (W1082+X1082)
     )
     - IF(AND(AB1082&lt;&gt;"""",AC1082&lt;&gt;""""), 
          SUM(ARRAYFORMULA(SPLIT(AC1082,"","") - SPLI"&amp;"T(AB1082,"",""))), 
          0
       ),
     ""[hh]:mm""
   )
)
"),"00:33")</f>
        <v>00:33</v>
      </c>
      <c r="AJ1082" s="27">
        <f t="shared" si="16"/>
        <v>0</v>
      </c>
      <c r="AK1082" s="63" t="str">
        <f t="shared" si="17"/>
        <v>Pass</v>
      </c>
    </row>
    <row r="1083">
      <c r="A1083" s="18">
        <v>46005.0</v>
      </c>
      <c r="B1083" s="20">
        <v>0.40555555555555556</v>
      </c>
      <c r="C1083" s="18">
        <v>46005.0</v>
      </c>
      <c r="D1083" s="20">
        <v>0.41180555555555554</v>
      </c>
      <c r="E1083" s="22" t="s">
        <v>8109</v>
      </c>
      <c r="F1083" s="22" t="s">
        <v>473</v>
      </c>
      <c r="G1083" s="22" t="s">
        <v>474</v>
      </c>
      <c r="H1083" s="22" t="s">
        <v>566</v>
      </c>
      <c r="I1083" s="22" t="s">
        <v>991</v>
      </c>
      <c r="J1083" s="22" t="s">
        <v>8110</v>
      </c>
      <c r="K1083" s="22" t="s">
        <v>386</v>
      </c>
      <c r="L1083" s="22" t="s">
        <v>6020</v>
      </c>
      <c r="M1083" s="22" t="s">
        <v>8111</v>
      </c>
      <c r="N1083" s="22" t="s">
        <v>8112</v>
      </c>
      <c r="O1083" s="23" t="s">
        <v>8113</v>
      </c>
      <c r="P1083" s="22" t="s">
        <v>48</v>
      </c>
      <c r="Q1083" s="50" t="s">
        <v>49</v>
      </c>
      <c r="R1083" s="22" t="s">
        <v>8114</v>
      </c>
      <c r="S1083" s="22" t="s">
        <v>51</v>
      </c>
      <c r="T1083" s="22" t="s">
        <v>52</v>
      </c>
      <c r="U1083" s="22" t="s">
        <v>52</v>
      </c>
      <c r="V1083" s="22" t="s">
        <v>52</v>
      </c>
      <c r="W1083" s="18">
        <v>46005.0</v>
      </c>
      <c r="X1083" s="20">
        <v>0.41180555555555554</v>
      </c>
      <c r="Y1083" s="18">
        <v>46005.0</v>
      </c>
      <c r="Z1083" s="20">
        <v>0.47708333333333336</v>
      </c>
      <c r="AA1083" s="20">
        <v>0.4861111111111111</v>
      </c>
      <c r="AB1083" s="54"/>
      <c r="AC1083" s="54"/>
      <c r="AD1083" s="51">
        <v>0.5104166666666666</v>
      </c>
      <c r="AE1083" s="18">
        <v>46005.0</v>
      </c>
      <c r="AF1083" s="22" t="s">
        <v>2931</v>
      </c>
      <c r="AG1083" s="22" t="s">
        <v>67</v>
      </c>
      <c r="AH1083" s="22" t="s">
        <v>8115</v>
      </c>
      <c r="AI1083" s="62" t="str">
        <f>IFERROR(__xludf.DUMMYFUNCTION("IF(OR(W1083="""",X1083="""",AE1083="""",AD1083=""""),"""",
   TEXT(
     (
       (AE1083+AD1083 + IF(AE1083+AD1083 &lt; W1083+X1083,1,0)) - (W1083+X1083)
     )
     - IF(AND(AB1083&lt;&gt;"""",AC1083&lt;&gt;""""), 
          SUM(ARRAYFORMULA(SPLIT(AC1083,"","") - SPLI"&amp;"T(AB1083,"",""))), 
          0
       ),
     ""[hh]:mm""
   )
)
"),"02:22")</f>
        <v>02:22</v>
      </c>
      <c r="AJ1083" s="27">
        <f t="shared" si="16"/>
        <v>0</v>
      </c>
      <c r="AK1083" s="63" t="str">
        <f t="shared" si="17"/>
        <v>Pass</v>
      </c>
    </row>
    <row r="1084">
      <c r="A1084" s="45">
        <v>46005.0</v>
      </c>
      <c r="B1084" s="49">
        <v>0.43333333333333335</v>
      </c>
      <c r="C1084" s="45">
        <v>46005.0</v>
      </c>
      <c r="D1084" s="49">
        <v>0.4395833333333333</v>
      </c>
      <c r="E1084" s="21" t="s">
        <v>8116</v>
      </c>
      <c r="F1084" s="21" t="s">
        <v>613</v>
      </c>
      <c r="G1084" s="21" t="s">
        <v>6028</v>
      </c>
      <c r="H1084" s="21" t="s">
        <v>2337</v>
      </c>
      <c r="I1084" s="21" t="s">
        <v>60</v>
      </c>
      <c r="J1084" s="21" t="s">
        <v>4198</v>
      </c>
      <c r="K1084" s="21" t="s">
        <v>72</v>
      </c>
      <c r="L1084" s="21" t="s">
        <v>1815</v>
      </c>
      <c r="M1084" s="21" t="s">
        <v>8117</v>
      </c>
      <c r="N1084" s="21" t="s">
        <v>8118</v>
      </c>
      <c r="O1084" s="48" t="s">
        <v>8119</v>
      </c>
      <c r="P1084" s="21" t="s">
        <v>75</v>
      </c>
      <c r="Q1084" s="24" t="s">
        <v>65</v>
      </c>
      <c r="R1084" s="21" t="s">
        <v>8120</v>
      </c>
      <c r="S1084" s="21" t="s">
        <v>51</v>
      </c>
      <c r="T1084" s="21" t="s">
        <v>52</v>
      </c>
      <c r="U1084" s="21" t="s">
        <v>52</v>
      </c>
      <c r="V1084" s="21" t="s">
        <v>52</v>
      </c>
      <c r="W1084" s="45">
        <v>46005.0</v>
      </c>
      <c r="X1084" s="49">
        <v>0.4395833333333333</v>
      </c>
      <c r="Y1084" s="45">
        <v>46005.0</v>
      </c>
      <c r="Z1084" s="49">
        <v>0.5486111111111112</v>
      </c>
      <c r="AA1084" s="49">
        <v>0.5493055555555556</v>
      </c>
      <c r="AB1084" s="25">
        <v>0.5493055555555556</v>
      </c>
      <c r="AC1084" s="25">
        <v>0.5902777777777778</v>
      </c>
      <c r="AD1084" s="25">
        <v>0.6006944444444444</v>
      </c>
      <c r="AE1084" s="45">
        <v>46005.0</v>
      </c>
      <c r="AF1084" s="21" t="s">
        <v>7241</v>
      </c>
      <c r="AG1084" s="21" t="s">
        <v>239</v>
      </c>
      <c r="AH1084" s="21" t="s">
        <v>624</v>
      </c>
      <c r="AI1084" s="62" t="str">
        <f>IFERROR(__xludf.DUMMYFUNCTION("IF(OR(W1084="""",X1084="""",AE1084="""",AD1084=""""),"""",
   TEXT(
     (
       (AE1084+AD1084 + IF(AE1084+AD1084 &lt; W1084+X1084,1,0)) - (W1084+X1084)
     )
     - IF(AND(AB1084&lt;&gt;"""",AC1084&lt;&gt;""""), 
          SUM(ARRAYFORMULA(SPLIT(AC1084,"","") - SPLI"&amp;"T(AB1084,"",""))), 
          0
       ),
     ""[hh]:mm""
   )
)
"),"02:53")</f>
        <v>02:53</v>
      </c>
      <c r="AJ1084" s="27">
        <f t="shared" si="16"/>
        <v>0</v>
      </c>
      <c r="AK1084" s="63" t="str">
        <f t="shared" si="17"/>
        <v>Pass</v>
      </c>
    </row>
    <row r="1085">
      <c r="A1085" s="45">
        <v>46005.0</v>
      </c>
      <c r="B1085" s="49">
        <v>0.5916666666666667</v>
      </c>
      <c r="C1085" s="45">
        <v>46005.0</v>
      </c>
      <c r="D1085" s="49">
        <v>0.5951388888888889</v>
      </c>
      <c r="E1085" s="21" t="s">
        <v>8121</v>
      </c>
      <c r="F1085" s="21" t="s">
        <v>4300</v>
      </c>
      <c r="G1085" s="21" t="s">
        <v>4301</v>
      </c>
      <c r="H1085" s="21" t="s">
        <v>6041</v>
      </c>
      <c r="I1085" s="21" t="s">
        <v>60</v>
      </c>
      <c r="J1085" s="21" t="s">
        <v>3806</v>
      </c>
      <c r="K1085" s="21" t="s">
        <v>43</v>
      </c>
      <c r="L1085" s="21" t="s">
        <v>1171</v>
      </c>
      <c r="M1085" s="21" t="s">
        <v>8122</v>
      </c>
      <c r="N1085" s="21" t="s">
        <v>8123</v>
      </c>
      <c r="O1085" s="48" t="s">
        <v>8124</v>
      </c>
      <c r="P1085" s="21" t="s">
        <v>75</v>
      </c>
      <c r="Q1085" s="24" t="s">
        <v>65</v>
      </c>
      <c r="R1085" s="102" t="s">
        <v>8125</v>
      </c>
      <c r="S1085" s="21" t="s">
        <v>51</v>
      </c>
      <c r="T1085" s="21" t="s">
        <v>52</v>
      </c>
      <c r="U1085" s="21" t="s">
        <v>52</v>
      </c>
      <c r="V1085" s="21" t="s">
        <v>52</v>
      </c>
      <c r="W1085" s="45">
        <v>46005.0</v>
      </c>
      <c r="X1085" s="88">
        <v>0.5951388888888889</v>
      </c>
      <c r="Y1085" s="45">
        <v>46005.0</v>
      </c>
      <c r="Z1085" s="49">
        <v>0.6777777777777778</v>
      </c>
      <c r="AA1085" s="49">
        <v>0.6875</v>
      </c>
      <c r="AB1085" s="25">
        <v>0.7152777777777778</v>
      </c>
      <c r="AC1085" s="25">
        <v>0.8125</v>
      </c>
      <c r="AD1085" s="25">
        <v>0.8402777777777778</v>
      </c>
      <c r="AE1085" s="45">
        <v>46005.0</v>
      </c>
      <c r="AF1085" s="21" t="s">
        <v>3327</v>
      </c>
      <c r="AG1085" s="21" t="s">
        <v>8126</v>
      </c>
      <c r="AH1085" s="21" t="s">
        <v>8011</v>
      </c>
      <c r="AI1085" s="62" t="str">
        <f>IFERROR(__xludf.DUMMYFUNCTION("IF(OR(W1085="""",X1085="""",AE1085="""",AD1085=""""),"""",
   TEXT(
     (
       (AE1085+AD1085 + IF(AE1085+AD1085 &lt; W1085+X1085,1,0)) - (W1085+X1085)
     )
     - IF(AND(AB1085&lt;&gt;"""",AC1085&lt;&gt;""""), 
          SUM(ARRAYFORMULA(SPLIT(AC1085,"","") - SPLI"&amp;"T(AB1085,"",""))), 
          0
       ),
     ""[hh]:mm""
   )
)
"),"03:33")</f>
        <v>03:33</v>
      </c>
      <c r="AJ1085" s="27">
        <f t="shared" si="16"/>
        <v>0</v>
      </c>
      <c r="AK1085" s="63" t="str">
        <f t="shared" si="17"/>
        <v>Pass</v>
      </c>
    </row>
    <row r="1086">
      <c r="A1086" s="45">
        <v>46005.0</v>
      </c>
      <c r="B1086" s="49">
        <v>0.5729166666666666</v>
      </c>
      <c r="C1086" s="45">
        <v>46005.0</v>
      </c>
      <c r="D1086" s="49">
        <v>0.6298611111111111</v>
      </c>
      <c r="E1086" s="21" t="s">
        <v>8127</v>
      </c>
      <c r="F1086" s="21" t="s">
        <v>8128</v>
      </c>
      <c r="G1086" s="21" t="s">
        <v>8129</v>
      </c>
      <c r="H1086" s="21" t="s">
        <v>566</v>
      </c>
      <c r="I1086" s="21" t="s">
        <v>95</v>
      </c>
      <c r="J1086" s="21" t="s">
        <v>95</v>
      </c>
      <c r="K1086" s="21" t="s">
        <v>143</v>
      </c>
      <c r="L1086" s="21" t="s">
        <v>8130</v>
      </c>
      <c r="M1086" s="21" t="s">
        <v>8131</v>
      </c>
      <c r="N1086" s="21" t="s">
        <v>1882</v>
      </c>
      <c r="O1086" s="48" t="s">
        <v>8132</v>
      </c>
      <c r="P1086" s="21" t="s">
        <v>48</v>
      </c>
      <c r="Q1086" s="24" t="s">
        <v>198</v>
      </c>
      <c r="R1086" s="21" t="s">
        <v>8133</v>
      </c>
      <c r="S1086" s="21" t="s">
        <v>51</v>
      </c>
      <c r="T1086" s="21" t="s">
        <v>52</v>
      </c>
      <c r="U1086" s="21" t="s">
        <v>52</v>
      </c>
      <c r="V1086" s="21" t="s">
        <v>52</v>
      </c>
      <c r="W1086" s="45">
        <v>46005.0</v>
      </c>
      <c r="X1086" s="88">
        <v>0.6298611111111111</v>
      </c>
      <c r="Y1086" s="45">
        <v>46005.0</v>
      </c>
      <c r="Z1086" s="49">
        <v>0.7159722222222222</v>
      </c>
      <c r="AA1086" s="49">
        <v>0.7291666666666666</v>
      </c>
      <c r="AB1086" s="29"/>
      <c r="AC1086" s="29"/>
      <c r="AD1086" s="25">
        <v>0.7847222222222222</v>
      </c>
      <c r="AE1086" s="45">
        <v>46005.0</v>
      </c>
      <c r="AF1086" s="21" t="s">
        <v>3327</v>
      </c>
      <c r="AG1086" s="21" t="s">
        <v>6787</v>
      </c>
      <c r="AH1086" s="21" t="s">
        <v>8134</v>
      </c>
      <c r="AI1086" s="62" t="str">
        <f>IFERROR(__xludf.DUMMYFUNCTION("IF(OR(W1086="""",X1086="""",AE1086="""",AD1086=""""),"""",
   TEXT(
     (
       (AE1086+AD1086 + IF(AE1086+AD1086 &lt; W1086+X1086,1,0)) - (W1086+X1086)
     )
     - IF(AND(AB1086&lt;&gt;"""",AC1086&lt;&gt;""""), 
          SUM(ARRAYFORMULA(SPLIT(AC1086,"","") - SPLI"&amp;"T(AB1086,"",""))), 
          0
       ),
     ""[hh]:mm""
   )
)
"),"03:43")</f>
        <v>03:43</v>
      </c>
      <c r="AJ1086" s="27">
        <f t="shared" si="16"/>
        <v>0</v>
      </c>
      <c r="AK1086" s="63" t="str">
        <f t="shared" si="17"/>
        <v>Pass</v>
      </c>
    </row>
    <row r="1087">
      <c r="A1087" s="45">
        <v>46005.0</v>
      </c>
      <c r="B1087" s="49">
        <v>0.7159722222222222</v>
      </c>
      <c r="C1087" s="45">
        <v>46005.0</v>
      </c>
      <c r="D1087" s="49">
        <v>0.7159722222222222</v>
      </c>
      <c r="E1087" s="21" t="s">
        <v>8135</v>
      </c>
      <c r="F1087" s="21" t="s">
        <v>8128</v>
      </c>
      <c r="G1087" s="21" t="s">
        <v>8129</v>
      </c>
      <c r="H1087" s="21" t="s">
        <v>756</v>
      </c>
      <c r="I1087" s="21" t="s">
        <v>131</v>
      </c>
      <c r="J1087" s="21" t="s">
        <v>3806</v>
      </c>
      <c r="K1087" s="21" t="s">
        <v>43</v>
      </c>
      <c r="L1087" s="21" t="s">
        <v>1171</v>
      </c>
      <c r="M1087" s="21" t="s">
        <v>8136</v>
      </c>
      <c r="N1087" s="21" t="s">
        <v>8137</v>
      </c>
      <c r="O1087" s="48" t="s">
        <v>8138</v>
      </c>
      <c r="P1087" s="21" t="s">
        <v>75</v>
      </c>
      <c r="Q1087" s="24" t="s">
        <v>65</v>
      </c>
      <c r="R1087" s="21" t="s">
        <v>8139</v>
      </c>
      <c r="S1087" s="21" t="s">
        <v>51</v>
      </c>
      <c r="T1087" s="21" t="s">
        <v>52</v>
      </c>
      <c r="U1087" s="21" t="s">
        <v>52</v>
      </c>
      <c r="V1087" s="21" t="s">
        <v>52</v>
      </c>
      <c r="W1087" s="45">
        <v>46005.0</v>
      </c>
      <c r="X1087" s="88">
        <v>0.7159722222222222</v>
      </c>
      <c r="Y1087" s="45">
        <v>46005.0</v>
      </c>
      <c r="Z1087" s="49">
        <v>0.7159722222222222</v>
      </c>
      <c r="AA1087" s="49">
        <v>0.7291666666666666</v>
      </c>
      <c r="AB1087" s="29"/>
      <c r="AC1087" s="29"/>
      <c r="AD1087" s="25">
        <v>0.7847222222222222</v>
      </c>
      <c r="AE1087" s="45">
        <v>46005.0</v>
      </c>
      <c r="AF1087" s="47"/>
      <c r="AG1087" s="21" t="s">
        <v>6787</v>
      </c>
      <c r="AH1087" s="21" t="s">
        <v>8134</v>
      </c>
      <c r="AI1087" s="62" t="str">
        <f>IFERROR(__xludf.DUMMYFUNCTION("IF(OR(W1087="""",X1087="""",AE1087="""",AD1087=""""),"""",
   TEXT(
     (
       (AE1087+AD1087 + IF(AE1087+AD1087 &lt; W1087+X1087,1,0)) - (W1087+X1087)
     )
     - IF(AND(AB1087&lt;&gt;"""",AC1087&lt;&gt;""""), 
          SUM(ARRAYFORMULA(SPLIT(AC1087,"","") - SPLI"&amp;"T(AB1087,"",""))), 
          0
       ),
     ""[hh]:mm""
   )
)
"),"01:39")</f>
        <v>01:39</v>
      </c>
      <c r="AJ1087" s="27">
        <f t="shared" si="16"/>
        <v>0</v>
      </c>
      <c r="AK1087" s="63" t="str">
        <f t="shared" si="17"/>
        <v>Pass</v>
      </c>
    </row>
    <row r="1088">
      <c r="A1088" s="45">
        <v>46005.0</v>
      </c>
      <c r="B1088" s="49">
        <v>0.6479166666666667</v>
      </c>
      <c r="C1088" s="45">
        <v>46005.0</v>
      </c>
      <c r="D1088" s="49">
        <v>0.6541666666666667</v>
      </c>
      <c r="E1088" s="21" t="s">
        <v>8140</v>
      </c>
      <c r="F1088" s="21" t="s">
        <v>8141</v>
      </c>
      <c r="G1088" s="21" t="s">
        <v>8142</v>
      </c>
      <c r="H1088" s="21" t="s">
        <v>1610</v>
      </c>
      <c r="I1088" s="21" t="s">
        <v>1612</v>
      </c>
      <c r="J1088" s="21" t="s">
        <v>1612</v>
      </c>
      <c r="K1088" s="21" t="s">
        <v>143</v>
      </c>
      <c r="L1088" s="21" t="s">
        <v>1613</v>
      </c>
      <c r="M1088" s="21" t="s">
        <v>8143</v>
      </c>
      <c r="N1088" s="21" t="s">
        <v>8144</v>
      </c>
      <c r="O1088" s="48" t="s">
        <v>8145</v>
      </c>
      <c r="P1088" s="21" t="s">
        <v>187</v>
      </c>
      <c r="Q1088" s="24" t="s">
        <v>65</v>
      </c>
      <c r="R1088" s="21" t="s">
        <v>8146</v>
      </c>
      <c r="S1088" s="21" t="s">
        <v>51</v>
      </c>
      <c r="T1088" s="21" t="s">
        <v>52</v>
      </c>
      <c r="U1088" s="21" t="s">
        <v>52</v>
      </c>
      <c r="V1088" s="21" t="s">
        <v>52</v>
      </c>
      <c r="W1088" s="45">
        <v>46006.0</v>
      </c>
      <c r="X1088" s="49">
        <v>0.375</v>
      </c>
      <c r="Y1088" s="45">
        <v>46006.0</v>
      </c>
      <c r="Z1088" s="49">
        <v>0.7222222222222222</v>
      </c>
      <c r="AA1088" s="49">
        <v>0.7291666666666666</v>
      </c>
      <c r="AB1088" s="29"/>
      <c r="AC1088" s="29"/>
      <c r="AD1088" s="25">
        <v>0.7986111111111112</v>
      </c>
      <c r="AE1088" s="45">
        <v>46006.0</v>
      </c>
      <c r="AF1088" s="21" t="s">
        <v>2711</v>
      </c>
      <c r="AG1088" s="21" t="s">
        <v>6787</v>
      </c>
      <c r="AH1088" s="21" t="s">
        <v>8147</v>
      </c>
      <c r="AI1088" s="62" t="str">
        <f>IFERROR(__xludf.DUMMYFUNCTION("IF(OR(W1088="""",X1088="""",AE1088="""",AD1088=""""),"""",
   TEXT(
     (
       (AE1088+AD1088 + IF(AE1088+AD1088 &lt; W1088+X1088,1,0)) - (W1088+X1088)
     )
     - IF(AND(AB1088&lt;&gt;"""",AC1088&lt;&gt;""""), 
          SUM(ARRAYFORMULA(SPLIT(AC1088,"","") - SPLI"&amp;"T(AB1088,"",""))), 
          0
       ),
     ""[hh]:mm""
   )
)
"),"10:10")</f>
        <v>10:10</v>
      </c>
      <c r="AJ1088" s="27">
        <f t="shared" si="16"/>
        <v>0</v>
      </c>
      <c r="AK1088" s="63" t="str">
        <f t="shared" si="17"/>
        <v>Pass</v>
      </c>
    </row>
    <row r="1089">
      <c r="A1089" s="18">
        <v>46005.0</v>
      </c>
      <c r="B1089" s="20">
        <v>0.9208333333333333</v>
      </c>
      <c r="C1089" s="18">
        <v>46006.0</v>
      </c>
      <c r="D1089" s="20">
        <v>0.3541666666666667</v>
      </c>
      <c r="E1089" s="22" t="s">
        <v>8148</v>
      </c>
      <c r="F1089" s="22" t="s">
        <v>8149</v>
      </c>
      <c r="G1089" s="22" t="s">
        <v>8150</v>
      </c>
      <c r="H1089" s="22" t="s">
        <v>855</v>
      </c>
      <c r="I1089" s="22" t="s">
        <v>644</v>
      </c>
      <c r="J1089" s="22" t="s">
        <v>644</v>
      </c>
      <c r="K1089" s="22" t="s">
        <v>143</v>
      </c>
      <c r="L1089" s="22" t="s">
        <v>8151</v>
      </c>
      <c r="M1089" s="22" t="s">
        <v>8152</v>
      </c>
      <c r="N1089" s="22" t="s">
        <v>8153</v>
      </c>
      <c r="O1089" s="23" t="s">
        <v>8154</v>
      </c>
      <c r="P1089" s="22" t="s">
        <v>48</v>
      </c>
      <c r="Q1089" s="50" t="s">
        <v>65</v>
      </c>
      <c r="R1089" s="22" t="s">
        <v>8155</v>
      </c>
      <c r="S1089" s="22" t="s">
        <v>51</v>
      </c>
      <c r="T1089" s="22" t="s">
        <v>52</v>
      </c>
      <c r="U1089" s="22" t="s">
        <v>52</v>
      </c>
      <c r="V1089" s="22" t="s">
        <v>52</v>
      </c>
      <c r="W1089" s="18">
        <v>46006.0</v>
      </c>
      <c r="X1089" s="20">
        <v>0.2986111111111111</v>
      </c>
      <c r="Y1089" s="18">
        <v>46006.0</v>
      </c>
      <c r="Z1089" s="20">
        <v>0.2986111111111111</v>
      </c>
      <c r="AA1089" s="20">
        <v>0.2986111111111111</v>
      </c>
      <c r="AB1089" s="54"/>
      <c r="AC1089" s="54"/>
      <c r="AD1089" s="51">
        <v>0.3402777777777778</v>
      </c>
      <c r="AE1089" s="18">
        <v>46006.0</v>
      </c>
      <c r="AF1089" s="22" t="s">
        <v>2971</v>
      </c>
      <c r="AG1089" s="22" t="s">
        <v>8126</v>
      </c>
      <c r="AH1089" s="22" t="s">
        <v>8156</v>
      </c>
      <c r="AI1089" s="62" t="str">
        <f>IFERROR(__xludf.DUMMYFUNCTION("IF(OR(W1089="""",X1089="""",AE1089="""",AD1089=""""),"""",
   TEXT(
     (
       (AE1089+AD1089 + IF(AE1089+AD1089 &lt; W1089+X1089,1,0)) - (W1089+X1089)
     )
     - IF(AND(AB1089&lt;&gt;"""",AC1089&lt;&gt;""""), 
          SUM(ARRAYFORMULA(SPLIT(AC1089,"","") - SPLI"&amp;"T(AB1089,"",""))), 
          0
       ),
     ""[hh]:mm""
   )
)
"),"01:00")</f>
        <v>01:00</v>
      </c>
      <c r="AJ1089" s="27">
        <f t="shared" si="16"/>
        <v>0</v>
      </c>
      <c r="AK1089" s="63" t="str">
        <f t="shared" si="17"/>
        <v>Pass</v>
      </c>
    </row>
    <row r="1090">
      <c r="A1090" s="45">
        <v>46006.0</v>
      </c>
      <c r="B1090" s="49">
        <v>0.06944444444444445</v>
      </c>
      <c r="C1090" s="45">
        <v>46006.0</v>
      </c>
      <c r="D1090" s="49">
        <v>0.3611111111111111</v>
      </c>
      <c r="E1090" s="21" t="s">
        <v>8157</v>
      </c>
      <c r="F1090" s="21" t="s">
        <v>251</v>
      </c>
      <c r="G1090" s="21" t="s">
        <v>1717</v>
      </c>
      <c r="H1090" s="21" t="s">
        <v>746</v>
      </c>
      <c r="I1090" s="21" t="s">
        <v>1374</v>
      </c>
      <c r="J1090" s="21" t="s">
        <v>3806</v>
      </c>
      <c r="K1090" s="21" t="s">
        <v>43</v>
      </c>
      <c r="L1090" s="21" t="s">
        <v>7245</v>
      </c>
      <c r="M1090" s="21" t="s">
        <v>8158</v>
      </c>
      <c r="N1090" s="21" t="s">
        <v>8159</v>
      </c>
      <c r="O1090" s="48" t="s">
        <v>8160</v>
      </c>
      <c r="P1090" s="21" t="s">
        <v>75</v>
      </c>
      <c r="Q1090" s="24" t="s">
        <v>65</v>
      </c>
      <c r="R1090" s="21" t="s">
        <v>8161</v>
      </c>
      <c r="S1090" s="21" t="s">
        <v>51</v>
      </c>
      <c r="T1090" s="21" t="s">
        <v>52</v>
      </c>
      <c r="U1090" s="21" t="s">
        <v>52</v>
      </c>
      <c r="V1090" s="21" t="s">
        <v>52</v>
      </c>
      <c r="W1090" s="45">
        <v>46006.0</v>
      </c>
      <c r="X1090" s="49">
        <v>0.375</v>
      </c>
      <c r="Y1090" s="45">
        <v>46006.0</v>
      </c>
      <c r="Z1090" s="49">
        <v>0.51875</v>
      </c>
      <c r="AA1090" s="49">
        <v>0.5277777777777778</v>
      </c>
      <c r="AB1090" s="29"/>
      <c r="AC1090" s="29"/>
      <c r="AD1090" s="25">
        <v>0.5416666666666666</v>
      </c>
      <c r="AE1090" s="45">
        <v>46006.0</v>
      </c>
      <c r="AF1090" s="21" t="s">
        <v>3218</v>
      </c>
      <c r="AG1090" s="21" t="s">
        <v>2679</v>
      </c>
      <c r="AH1090" s="21" t="s">
        <v>8162</v>
      </c>
      <c r="AI1090" s="62" t="str">
        <f>IFERROR(__xludf.DUMMYFUNCTION("IF(OR(W1090="""",X1090="""",AE1090="""",AD1090=""""),"""",
   TEXT(
     (
       (AE1090+AD1090 + IF(AE1090+AD1090 &lt; W1090+X1090,1,0)) - (W1090+X1090)
     )
     - IF(AND(AB1090&lt;&gt;"""",AC1090&lt;&gt;""""), 
          SUM(ARRAYFORMULA(SPLIT(AC1090,"","") - SPLI"&amp;"T(AB1090,"",""))), 
          0
       ),
     ""[hh]:mm""
   )
)
"),"04:00")</f>
        <v>04:00</v>
      </c>
      <c r="AJ1090" s="27">
        <f t="shared" si="16"/>
        <v>0</v>
      </c>
      <c r="AK1090" s="63" t="str">
        <f t="shared" si="17"/>
        <v>Pass</v>
      </c>
    </row>
    <row r="1091">
      <c r="A1091" s="18">
        <v>46006.0</v>
      </c>
      <c r="B1091" s="20">
        <v>0.1326388888888889</v>
      </c>
      <c r="C1091" s="18">
        <v>46006.0</v>
      </c>
      <c r="D1091" s="20">
        <v>0.3645833333333333</v>
      </c>
      <c r="E1091" s="22" t="s">
        <v>8163</v>
      </c>
      <c r="F1091" s="22" t="s">
        <v>765</v>
      </c>
      <c r="G1091" s="22" t="s">
        <v>766</v>
      </c>
      <c r="H1091" s="22" t="s">
        <v>1610</v>
      </c>
      <c r="I1091" s="22" t="s">
        <v>1612</v>
      </c>
      <c r="J1091" s="22" t="s">
        <v>1612</v>
      </c>
      <c r="K1091" s="22" t="s">
        <v>143</v>
      </c>
      <c r="L1091" s="22" t="s">
        <v>1613</v>
      </c>
      <c r="M1091" s="22" t="s">
        <v>8164</v>
      </c>
      <c r="N1091" s="22" t="s">
        <v>8165</v>
      </c>
      <c r="O1091" s="23" t="s">
        <v>8166</v>
      </c>
      <c r="P1091" s="22" t="s">
        <v>187</v>
      </c>
      <c r="Q1091" s="50" t="s">
        <v>65</v>
      </c>
      <c r="R1091" s="22" t="s">
        <v>8167</v>
      </c>
      <c r="S1091" s="22" t="s">
        <v>51</v>
      </c>
      <c r="T1091" s="22" t="s">
        <v>52</v>
      </c>
      <c r="U1091" s="22" t="s">
        <v>52</v>
      </c>
      <c r="V1091" s="22" t="s">
        <v>52</v>
      </c>
      <c r="W1091" s="18">
        <v>46006.0</v>
      </c>
      <c r="X1091" s="20">
        <v>0.375</v>
      </c>
      <c r="Y1091" s="18">
        <v>46006.0</v>
      </c>
      <c r="Z1091" s="20">
        <v>0.4027777777777778</v>
      </c>
      <c r="AA1091" s="20">
        <v>0.4041666666666667</v>
      </c>
      <c r="AB1091" s="54"/>
      <c r="AC1091" s="54"/>
      <c r="AD1091" s="51">
        <v>0.4375</v>
      </c>
      <c r="AE1091" s="18">
        <v>46006.0</v>
      </c>
      <c r="AF1091" s="22" t="s">
        <v>3218</v>
      </c>
      <c r="AG1091" s="22" t="s">
        <v>4384</v>
      </c>
      <c r="AH1091" s="22" t="s">
        <v>8168</v>
      </c>
      <c r="AI1091" s="62" t="str">
        <f>IFERROR(__xludf.DUMMYFUNCTION("IF(OR(W1091="""",X1091="""",AE1091="""",AD1091=""""),"""",
   TEXT(
     (
       (AE1091+AD1091 + IF(AE1091+AD1091 &lt; W1091+X1091,1,0)) - (W1091+X1091)
     )
     - IF(AND(AB1091&lt;&gt;"""",AC1091&lt;&gt;""""), 
          SUM(ARRAYFORMULA(SPLIT(AC1091,"","") - SPLI"&amp;"T(AB1091,"",""))), 
          0
       ),
     ""[hh]:mm""
   )
)
"),"01:30")</f>
        <v>01:30</v>
      </c>
      <c r="AJ1091" s="27">
        <f t="shared" si="16"/>
        <v>0</v>
      </c>
      <c r="AK1091" s="63" t="str">
        <f t="shared" si="17"/>
        <v>Pass</v>
      </c>
    </row>
    <row r="1092">
      <c r="A1092" s="45">
        <v>46006.0</v>
      </c>
      <c r="B1092" s="49">
        <v>0.4361111111111111</v>
      </c>
      <c r="C1092" s="45">
        <v>46006.0</v>
      </c>
      <c r="D1092" s="49">
        <v>0.44375</v>
      </c>
      <c r="E1092" s="21" t="s">
        <v>8169</v>
      </c>
      <c r="F1092" s="95" t="s">
        <v>8170</v>
      </c>
      <c r="G1092" s="21" t="s">
        <v>8171</v>
      </c>
      <c r="H1092" s="21" t="s">
        <v>156</v>
      </c>
      <c r="I1092" s="21" t="s">
        <v>616</v>
      </c>
      <c r="J1092" s="21" t="s">
        <v>3806</v>
      </c>
      <c r="K1092" s="21" t="s">
        <v>43</v>
      </c>
      <c r="L1092" s="21" t="s">
        <v>617</v>
      </c>
      <c r="M1092" s="21" t="s">
        <v>8172</v>
      </c>
      <c r="N1092" s="21" t="s">
        <v>8173</v>
      </c>
      <c r="O1092" s="48" t="s">
        <v>8174</v>
      </c>
      <c r="P1092" s="21" t="s">
        <v>75</v>
      </c>
      <c r="Q1092" s="24" t="s">
        <v>65</v>
      </c>
      <c r="R1092" s="21" t="s">
        <v>8175</v>
      </c>
      <c r="S1092" s="21" t="s">
        <v>51</v>
      </c>
      <c r="T1092" s="21" t="s">
        <v>52</v>
      </c>
      <c r="U1092" s="21" t="s">
        <v>52</v>
      </c>
      <c r="V1092" s="21" t="s">
        <v>52</v>
      </c>
      <c r="W1092" s="45">
        <v>46006.0</v>
      </c>
      <c r="X1092" s="49">
        <v>0.44375</v>
      </c>
      <c r="Y1092" s="45">
        <v>46006.0</v>
      </c>
      <c r="Z1092" s="49">
        <v>0.5145833333333333</v>
      </c>
      <c r="AA1092" s="49">
        <v>0.5208333333333334</v>
      </c>
      <c r="AB1092" s="29"/>
      <c r="AC1092" s="29"/>
      <c r="AD1092" s="25">
        <v>0.5555555555555556</v>
      </c>
      <c r="AE1092" s="45">
        <v>46006.0</v>
      </c>
      <c r="AF1092" s="21" t="s">
        <v>2828</v>
      </c>
      <c r="AG1092" s="21" t="s">
        <v>583</v>
      </c>
      <c r="AH1092" s="21" t="s">
        <v>8176</v>
      </c>
      <c r="AI1092" s="62" t="str">
        <f>IFERROR(__xludf.DUMMYFUNCTION("IF(OR(W1092="""",X1092="""",AE1092="""",AD1092=""""),"""",
   TEXT(
     (
       (AE1092+AD1092 + IF(AE1092+AD1092 &lt; W1092+X1092,1,0)) - (W1092+X1092)
     )
     - IF(AND(AB1092&lt;&gt;"""",AC1092&lt;&gt;""""), 
          SUM(ARRAYFORMULA(SPLIT(AC1092,"","") - SPLI"&amp;"T(AB1092,"",""))), 
          0
       ),
     ""[hh]:mm""
   )
)
"),"02:41")</f>
        <v>02:41</v>
      </c>
      <c r="AJ1092" s="27">
        <f t="shared" si="16"/>
        <v>0</v>
      </c>
      <c r="AK1092" s="63" t="str">
        <f t="shared" si="17"/>
        <v>Pass</v>
      </c>
    </row>
    <row r="1093">
      <c r="A1093" s="45">
        <v>46006.0</v>
      </c>
      <c r="B1093" s="49">
        <v>0.44722222222222224</v>
      </c>
      <c r="C1093" s="45">
        <v>46006.0</v>
      </c>
      <c r="D1093" s="49">
        <v>0.48333333333333334</v>
      </c>
      <c r="E1093" s="21" t="s">
        <v>8177</v>
      </c>
      <c r="F1093" s="21" t="s">
        <v>2276</v>
      </c>
      <c r="G1093" s="21" t="s">
        <v>2277</v>
      </c>
      <c r="H1093" s="21" t="s">
        <v>3093</v>
      </c>
      <c r="I1093" s="21" t="s">
        <v>616</v>
      </c>
      <c r="J1093" s="21" t="s">
        <v>2253</v>
      </c>
      <c r="K1093" s="21" t="s">
        <v>43</v>
      </c>
      <c r="L1093" s="21" t="s">
        <v>8096</v>
      </c>
      <c r="M1093" s="21" t="s">
        <v>8178</v>
      </c>
      <c r="N1093" s="21" t="s">
        <v>8067</v>
      </c>
      <c r="O1093" s="48" t="s">
        <v>8179</v>
      </c>
      <c r="P1093" s="21" t="s">
        <v>75</v>
      </c>
      <c r="Q1093" s="24" t="s">
        <v>198</v>
      </c>
      <c r="R1093" s="21" t="s">
        <v>8180</v>
      </c>
      <c r="S1093" s="21" t="s">
        <v>51</v>
      </c>
      <c r="T1093" s="21" t="s">
        <v>52</v>
      </c>
      <c r="U1093" s="21" t="s">
        <v>52</v>
      </c>
      <c r="V1093" s="21" t="s">
        <v>52</v>
      </c>
      <c r="W1093" s="45">
        <v>46006.0</v>
      </c>
      <c r="X1093" s="49">
        <v>0.48333333333333334</v>
      </c>
      <c r="Y1093" s="45">
        <v>46006.0</v>
      </c>
      <c r="Z1093" s="49">
        <v>0.5895833333333333</v>
      </c>
      <c r="AA1093" s="49">
        <v>0.5902777777777778</v>
      </c>
      <c r="AB1093" s="29"/>
      <c r="AC1093" s="29"/>
      <c r="AD1093" s="25">
        <v>0.6111111111111112</v>
      </c>
      <c r="AE1093" s="45">
        <v>46006.0</v>
      </c>
      <c r="AF1093" s="21" t="s">
        <v>2839</v>
      </c>
      <c r="AG1093" s="21" t="s">
        <v>102</v>
      </c>
      <c r="AH1093" s="21" t="s">
        <v>7583</v>
      </c>
      <c r="AI1093" s="62" t="str">
        <f>IFERROR(__xludf.DUMMYFUNCTION("IF(OR(W1093="""",X1093="""",AE1093="""",AD1093=""""),"""",
   TEXT(
     (
       (AE1093+AD1093 + IF(AE1093+AD1093 &lt; W1093+X1093,1,0)) - (W1093+X1093)
     )
     - IF(AND(AB1093&lt;&gt;"""",AC1093&lt;&gt;""""), 
          SUM(ARRAYFORMULA(SPLIT(AC1093,"","") - SPLI"&amp;"T(AB1093,"",""))), 
          0
       ),
     ""[hh]:mm""
   )
)
"),"03:04")</f>
        <v>03:04</v>
      </c>
      <c r="AJ1093" s="27">
        <f t="shared" si="16"/>
        <v>0</v>
      </c>
      <c r="AK1093" s="63" t="str">
        <f t="shared" si="17"/>
        <v>Pass</v>
      </c>
    </row>
    <row r="1094">
      <c r="A1094" s="45">
        <v>46006.0</v>
      </c>
      <c r="B1094" s="49">
        <v>0.4791666666666667</v>
      </c>
      <c r="C1094" s="45">
        <v>46006.0</v>
      </c>
      <c r="D1094" s="49">
        <v>0.48125</v>
      </c>
      <c r="E1094" s="21" t="s">
        <v>8181</v>
      </c>
      <c r="F1094" s="21" t="s">
        <v>7854</v>
      </c>
      <c r="G1094" s="21" t="s">
        <v>7855</v>
      </c>
      <c r="H1094" s="21" t="s">
        <v>756</v>
      </c>
      <c r="I1094" s="21" t="s">
        <v>1326</v>
      </c>
      <c r="J1094" s="21" t="s">
        <v>768</v>
      </c>
      <c r="K1094" s="21" t="s">
        <v>769</v>
      </c>
      <c r="L1094" s="21" t="s">
        <v>8182</v>
      </c>
      <c r="M1094" s="21" t="s">
        <v>8183</v>
      </c>
      <c r="N1094" s="21" t="s">
        <v>8184</v>
      </c>
      <c r="O1094" s="48" t="s">
        <v>8185</v>
      </c>
      <c r="P1094" s="21" t="s">
        <v>48</v>
      </c>
      <c r="Q1094" s="24" t="s">
        <v>65</v>
      </c>
      <c r="R1094" s="21" t="s">
        <v>8186</v>
      </c>
      <c r="S1094" s="21" t="s">
        <v>51</v>
      </c>
      <c r="T1094" s="21" t="s">
        <v>52</v>
      </c>
      <c r="U1094" s="21" t="s">
        <v>52</v>
      </c>
      <c r="V1094" s="21" t="s">
        <v>52</v>
      </c>
      <c r="W1094" s="45">
        <v>46006.0</v>
      </c>
      <c r="X1094" s="49">
        <v>0.6513888888888889</v>
      </c>
      <c r="Y1094" s="45">
        <v>46006.0</v>
      </c>
      <c r="Z1094" s="49">
        <v>0.8888888888888888</v>
      </c>
      <c r="AA1094" s="49">
        <v>0.8902777777777777</v>
      </c>
      <c r="AB1094" s="29"/>
      <c r="AC1094" s="29"/>
      <c r="AD1094" s="25">
        <v>0.9375</v>
      </c>
      <c r="AE1094" s="45">
        <v>46006.0</v>
      </c>
      <c r="AF1094" s="21" t="s">
        <v>2828</v>
      </c>
      <c r="AG1094" s="21" t="s">
        <v>8187</v>
      </c>
      <c r="AH1094" s="21" t="s">
        <v>5303</v>
      </c>
      <c r="AI1094" s="62" t="str">
        <f>IFERROR(__xludf.DUMMYFUNCTION("IF(OR(W1094="""",X1094="""",AE1094="""",AD1094=""""),"""",
   TEXT(
     (
       (AE1094+AD1094 + IF(AE1094+AD1094 &lt; W1094+X1094,1,0)) - (W1094+X1094)
     )
     - IF(AND(AB1094&lt;&gt;"""",AC1094&lt;&gt;""""), 
          SUM(ARRAYFORMULA(SPLIT(AC1094,"","") - SPLI"&amp;"T(AB1094,"",""))), 
          0
       ),
     ""[hh]:mm""
   )
)
"),"06:52")</f>
        <v>06:52</v>
      </c>
      <c r="AJ1094" s="27">
        <f t="shared" si="16"/>
        <v>0</v>
      </c>
      <c r="AK1094" s="63" t="str">
        <f t="shared" si="17"/>
        <v>Pass</v>
      </c>
    </row>
    <row r="1095">
      <c r="A1095" s="45">
        <v>46006.0</v>
      </c>
      <c r="B1095" s="49">
        <v>0.5583333333333333</v>
      </c>
      <c r="C1095" s="45">
        <v>46006.0</v>
      </c>
      <c r="D1095" s="49">
        <v>0.5659722222222222</v>
      </c>
      <c r="E1095" s="21" t="s">
        <v>8188</v>
      </c>
      <c r="F1095" s="21" t="s">
        <v>1064</v>
      </c>
      <c r="G1095" s="21" t="s">
        <v>1065</v>
      </c>
      <c r="H1095" s="21" t="s">
        <v>1610</v>
      </c>
      <c r="I1095" s="21" t="s">
        <v>1612</v>
      </c>
      <c r="J1095" s="21" t="s">
        <v>1612</v>
      </c>
      <c r="K1095" s="21" t="s">
        <v>143</v>
      </c>
      <c r="L1095" s="21" t="s">
        <v>1613</v>
      </c>
      <c r="M1095" s="21" t="s">
        <v>8189</v>
      </c>
      <c r="N1095" s="21" t="s">
        <v>8190</v>
      </c>
      <c r="O1095" s="48" t="s">
        <v>8191</v>
      </c>
      <c r="P1095" s="21" t="s">
        <v>187</v>
      </c>
      <c r="Q1095" s="24" t="s">
        <v>65</v>
      </c>
      <c r="R1095" s="21" t="s">
        <v>8192</v>
      </c>
      <c r="S1095" s="21" t="s">
        <v>51</v>
      </c>
      <c r="T1095" s="21" t="s">
        <v>52</v>
      </c>
      <c r="U1095" s="21" t="s">
        <v>52</v>
      </c>
      <c r="V1095" s="21" t="s">
        <v>52</v>
      </c>
      <c r="W1095" s="45">
        <v>46006.0</v>
      </c>
      <c r="X1095" s="88">
        <v>0.5659722222222222</v>
      </c>
      <c r="Y1095" s="45">
        <v>46006.0</v>
      </c>
      <c r="Z1095" s="49">
        <v>0.6951388888888889</v>
      </c>
      <c r="AA1095" s="49">
        <v>0.6958333333333333</v>
      </c>
      <c r="AB1095" s="25">
        <v>0.6972222222222222</v>
      </c>
      <c r="AC1095" s="25">
        <v>0.7222222222222222</v>
      </c>
      <c r="AD1095" s="25">
        <v>0.8541666666666666</v>
      </c>
      <c r="AE1095" s="45">
        <v>46006.0</v>
      </c>
      <c r="AF1095" s="21" t="s">
        <v>7241</v>
      </c>
      <c r="AG1095" s="21" t="s">
        <v>5541</v>
      </c>
      <c r="AH1095" s="21" t="s">
        <v>8193</v>
      </c>
      <c r="AI1095" s="62" t="str">
        <f>IFERROR(__xludf.DUMMYFUNCTION("IF(OR(W1095="""",X1095="""",AE1095="""",AD1095=""""),"""",
   TEXT(
     (
       (AE1095+AD1095 + IF(AE1095+AD1095 &lt; W1095+X1095,1,0)) - (W1095+X1095)
     )
     - IF(AND(AB1095&lt;&gt;"""",AC1095&lt;&gt;""""), 
          SUM(ARRAYFORMULA(SPLIT(AC1095,"","") - SPLI"&amp;"T(AB1095,"",""))), 
          0
       ),
     ""[hh]:mm""
   )
)
"),"06:19")</f>
        <v>06:19</v>
      </c>
      <c r="AJ1095" s="27">
        <f t="shared" si="16"/>
        <v>0</v>
      </c>
      <c r="AK1095" s="63" t="str">
        <f t="shared" si="17"/>
        <v>Pass</v>
      </c>
    </row>
    <row r="1096">
      <c r="A1096" s="18">
        <v>46006.0</v>
      </c>
      <c r="B1096" s="20">
        <v>0.6375</v>
      </c>
      <c r="C1096" s="18">
        <v>46006.0</v>
      </c>
      <c r="D1096" s="20">
        <v>0.6409722222222223</v>
      </c>
      <c r="E1096" s="22" t="s">
        <v>8194</v>
      </c>
      <c r="F1096" s="22" t="s">
        <v>5137</v>
      </c>
      <c r="G1096" s="22" t="s">
        <v>8195</v>
      </c>
      <c r="H1096" s="22" t="s">
        <v>566</v>
      </c>
      <c r="I1096" s="22" t="s">
        <v>815</v>
      </c>
      <c r="J1096" s="22" t="s">
        <v>1084</v>
      </c>
      <c r="K1096" s="22" t="s">
        <v>1085</v>
      </c>
      <c r="L1096" s="22" t="s">
        <v>8196</v>
      </c>
      <c r="M1096" s="22" t="s">
        <v>8197</v>
      </c>
      <c r="N1096" s="22" t="s">
        <v>8198</v>
      </c>
      <c r="O1096" s="23" t="s">
        <v>8199</v>
      </c>
      <c r="P1096" s="22" t="s">
        <v>48</v>
      </c>
      <c r="Q1096" s="50" t="s">
        <v>198</v>
      </c>
      <c r="R1096" s="22" t="s">
        <v>8200</v>
      </c>
      <c r="S1096" s="22" t="s">
        <v>51</v>
      </c>
      <c r="T1096" s="22" t="s">
        <v>52</v>
      </c>
      <c r="U1096" s="22" t="s">
        <v>52</v>
      </c>
      <c r="V1096" s="22" t="s">
        <v>52</v>
      </c>
      <c r="W1096" s="18">
        <v>46007.0</v>
      </c>
      <c r="X1096" s="20">
        <v>0.5743055555555555</v>
      </c>
      <c r="Y1096" s="18">
        <v>46007.0</v>
      </c>
      <c r="Z1096" s="20">
        <v>0.6520833333333333</v>
      </c>
      <c r="AA1096" s="20">
        <v>0.65625</v>
      </c>
      <c r="AB1096" s="54"/>
      <c r="AC1096" s="54"/>
      <c r="AD1096" s="77">
        <v>0.8055555555555556</v>
      </c>
      <c r="AE1096" s="18">
        <v>46007.0</v>
      </c>
      <c r="AF1096" s="22" t="s">
        <v>2918</v>
      </c>
      <c r="AG1096" s="22" t="s">
        <v>1975</v>
      </c>
      <c r="AH1096" s="22" t="s">
        <v>8201</v>
      </c>
      <c r="AI1096" s="26" t="str">
        <f>IFERROR(__xludf.DUMMYFUNCTION("IF(OR(W1096="""",X1096="""",AE1096="""",AD1096=""""),"""",
   TEXT(
     (
       (AE1096+AD1096 + IF(AE1096+AD1096 &lt; W1096+X1096,1,0)) - (W1096+X1096)
     )
     - IF(AND(AB1096&lt;&gt;"""",AC1096&lt;&gt;""""), 
          SUM(ARRAYFORMULA(SPLIT(AC1096,"","") - SPLI"&amp;"T(AB1096,"",""))), 
          0
       ),
     ""[hh]:mm""
   )
)
"),"05:33")</f>
        <v>05:33</v>
      </c>
      <c r="AJ1096" s="55">
        <f t="shared" si="16"/>
        <v>0</v>
      </c>
      <c r="AK1096" s="28" t="str">
        <f t="shared" si="17"/>
        <v>Pass</v>
      </c>
    </row>
    <row r="1097">
      <c r="A1097" s="45">
        <v>46006.0</v>
      </c>
      <c r="B1097" s="49">
        <v>0.5444444444444444</v>
      </c>
      <c r="C1097" s="45">
        <v>46006.0</v>
      </c>
      <c r="D1097" s="49">
        <v>0.5444444444444444</v>
      </c>
      <c r="E1097" s="21" t="s">
        <v>8202</v>
      </c>
      <c r="F1097" s="21" t="s">
        <v>8203</v>
      </c>
      <c r="G1097" s="21" t="s">
        <v>8204</v>
      </c>
      <c r="H1097" s="21" t="s">
        <v>1610</v>
      </c>
      <c r="I1097" s="21" t="s">
        <v>1612</v>
      </c>
      <c r="J1097" s="21" t="s">
        <v>1612</v>
      </c>
      <c r="K1097" s="21" t="s">
        <v>143</v>
      </c>
      <c r="L1097" s="21" t="s">
        <v>8205</v>
      </c>
      <c r="M1097" s="21" t="s">
        <v>8206</v>
      </c>
      <c r="N1097" s="21" t="s">
        <v>8207</v>
      </c>
      <c r="O1097" s="48" t="s">
        <v>8208</v>
      </c>
      <c r="P1097" s="21" t="s">
        <v>75</v>
      </c>
      <c r="Q1097" s="24" t="s">
        <v>65</v>
      </c>
      <c r="R1097" s="21" t="s">
        <v>8209</v>
      </c>
      <c r="S1097" s="21" t="s">
        <v>51</v>
      </c>
      <c r="T1097" s="21" t="s">
        <v>52</v>
      </c>
      <c r="U1097" s="21" t="s">
        <v>52</v>
      </c>
      <c r="V1097" s="21" t="s">
        <v>52</v>
      </c>
      <c r="W1097" s="45">
        <v>46006.0</v>
      </c>
      <c r="X1097" s="88">
        <v>0.5444444444444444</v>
      </c>
      <c r="Y1097" s="45">
        <v>46006.0</v>
      </c>
      <c r="Z1097" s="88">
        <v>0.5444444444444444</v>
      </c>
      <c r="AA1097" s="49">
        <v>0.5486111111111112</v>
      </c>
      <c r="AB1097" s="29"/>
      <c r="AC1097" s="29"/>
      <c r="AD1097" s="25">
        <v>0.7083333333333334</v>
      </c>
      <c r="AE1097" s="45">
        <v>46006.0</v>
      </c>
      <c r="AF1097" s="21" t="s">
        <v>33</v>
      </c>
      <c r="AG1097" s="21" t="s">
        <v>8210</v>
      </c>
      <c r="AH1097" s="21" t="s">
        <v>8211</v>
      </c>
      <c r="AI1097" s="62" t="str">
        <f>IFERROR(__xludf.DUMMYFUNCTION("IF(OR(W1097="""",X1097="""",AE1097="""",AD1097=""""),"""",
   TEXT(
     (
       (AE1097+AD1097 + IF(AE1097+AD1097 &lt; W1097+X1097,1,0)) - (W1097+X1097)
     )
     - IF(AND(AB1097&lt;&gt;"""",AC1097&lt;&gt;""""), 
          SUM(ARRAYFORMULA(SPLIT(AC1097,"","") - SPLI"&amp;"T(AB1097,"",""))), 
          0
       ),
     ""[hh]:mm""
   )
)
"),"03:56")</f>
        <v>03:56</v>
      </c>
      <c r="AJ1097" s="27">
        <f t="shared" si="16"/>
        <v>0</v>
      </c>
      <c r="AK1097" s="63" t="str">
        <f t="shared" si="17"/>
        <v>Pass</v>
      </c>
    </row>
    <row r="1098">
      <c r="A1098" s="45">
        <v>46006.0</v>
      </c>
      <c r="B1098" s="49">
        <v>0.5444444444444444</v>
      </c>
      <c r="C1098" s="45">
        <v>46006.0</v>
      </c>
      <c r="D1098" s="49">
        <v>0.5444444444444444</v>
      </c>
      <c r="E1098" s="21" t="s">
        <v>8212</v>
      </c>
      <c r="F1098" s="21" t="s">
        <v>8203</v>
      </c>
      <c r="G1098" s="21" t="s">
        <v>8204</v>
      </c>
      <c r="H1098" s="21" t="s">
        <v>1610</v>
      </c>
      <c r="I1098" s="21" t="s">
        <v>1612</v>
      </c>
      <c r="J1098" s="21" t="s">
        <v>1612</v>
      </c>
      <c r="K1098" s="21" t="s">
        <v>143</v>
      </c>
      <c r="L1098" s="21" t="s">
        <v>8205</v>
      </c>
      <c r="M1098" s="21" t="s">
        <v>8213</v>
      </c>
      <c r="N1098" s="21" t="s">
        <v>8207</v>
      </c>
      <c r="O1098" s="48" t="s">
        <v>8208</v>
      </c>
      <c r="P1098" s="21" t="s">
        <v>75</v>
      </c>
      <c r="Q1098" s="24" t="s">
        <v>65</v>
      </c>
      <c r="R1098" s="21" t="s">
        <v>8209</v>
      </c>
      <c r="S1098" s="21" t="s">
        <v>51</v>
      </c>
      <c r="T1098" s="21" t="s">
        <v>52</v>
      </c>
      <c r="U1098" s="21" t="s">
        <v>52</v>
      </c>
      <c r="V1098" s="21" t="s">
        <v>52</v>
      </c>
      <c r="W1098" s="45">
        <v>46006.0</v>
      </c>
      <c r="X1098" s="88">
        <v>0.5444444444444444</v>
      </c>
      <c r="Y1098" s="45">
        <v>46006.0</v>
      </c>
      <c r="Z1098" s="88">
        <v>0.5444444444444444</v>
      </c>
      <c r="AA1098" s="49">
        <v>0.5486111111111112</v>
      </c>
      <c r="AB1098" s="29"/>
      <c r="AC1098" s="29"/>
      <c r="AD1098" s="25">
        <v>0.7083333333333334</v>
      </c>
      <c r="AE1098" s="45">
        <v>46006.0</v>
      </c>
      <c r="AF1098" s="21" t="s">
        <v>33</v>
      </c>
      <c r="AG1098" s="21" t="s">
        <v>8210</v>
      </c>
      <c r="AH1098" s="21" t="s">
        <v>8211</v>
      </c>
      <c r="AI1098" s="62" t="str">
        <f>IFERROR(__xludf.DUMMYFUNCTION("IF(OR(W1098="""",X1098="""",AE1098="""",AD1098=""""),"""",
   TEXT(
     (
       (AE1098+AD1098 + IF(AE1098+AD1098 &lt; W1098+X1098,1,0)) - (W1098+X1098)
     )
     - IF(AND(AB1098&lt;&gt;"""",AC1098&lt;&gt;""""), 
          SUM(ARRAYFORMULA(SPLIT(AC1098,"","") - SPLI"&amp;"T(AB1098,"",""))), 
          0
       ),
     ""[hh]:mm""
   )
)
"),"03:56")</f>
        <v>03:56</v>
      </c>
      <c r="AJ1098" s="27">
        <f t="shared" si="16"/>
        <v>0</v>
      </c>
      <c r="AK1098" s="63" t="str">
        <f t="shared" si="17"/>
        <v>Pass</v>
      </c>
    </row>
    <row r="1099">
      <c r="A1099" s="45">
        <v>46006.0</v>
      </c>
      <c r="B1099" s="49">
        <v>0.775</v>
      </c>
      <c r="C1099" s="45">
        <v>46006.0</v>
      </c>
      <c r="D1099" s="49">
        <v>0.7805555555555556</v>
      </c>
      <c r="E1099" s="21" t="s">
        <v>8214</v>
      </c>
      <c r="F1099" s="21" t="s">
        <v>8128</v>
      </c>
      <c r="G1099" s="21" t="s">
        <v>8215</v>
      </c>
      <c r="H1099" s="21" t="s">
        <v>377</v>
      </c>
      <c r="I1099" s="21" t="s">
        <v>95</v>
      </c>
      <c r="J1099" s="21" t="s">
        <v>95</v>
      </c>
      <c r="K1099" s="21" t="s">
        <v>143</v>
      </c>
      <c r="L1099" s="21" t="s">
        <v>8216</v>
      </c>
      <c r="M1099" s="21" t="s">
        <v>8131</v>
      </c>
      <c r="N1099" s="21" t="s">
        <v>8217</v>
      </c>
      <c r="O1099" s="48" t="s">
        <v>8218</v>
      </c>
      <c r="P1099" s="21" t="s">
        <v>75</v>
      </c>
      <c r="Q1099" s="24" t="s">
        <v>49</v>
      </c>
      <c r="R1099" s="21" t="s">
        <v>8219</v>
      </c>
      <c r="S1099" s="21" t="s">
        <v>51</v>
      </c>
      <c r="T1099" s="21" t="s">
        <v>52</v>
      </c>
      <c r="U1099" s="21" t="s">
        <v>52</v>
      </c>
      <c r="V1099" s="21" t="s">
        <v>52</v>
      </c>
      <c r="W1099" s="45">
        <v>46007.0</v>
      </c>
      <c r="X1099" s="49">
        <v>0.375</v>
      </c>
      <c r="Y1099" s="45">
        <v>46007.0</v>
      </c>
      <c r="Z1099" s="49">
        <v>0.3861111111111111</v>
      </c>
      <c r="AA1099" s="49">
        <v>0.3958333333333333</v>
      </c>
      <c r="AB1099" s="29"/>
      <c r="AC1099" s="29"/>
      <c r="AD1099" s="25">
        <v>0.4583333333333333</v>
      </c>
      <c r="AE1099" s="45">
        <v>46007.0</v>
      </c>
      <c r="AF1099" s="21" t="s">
        <v>2839</v>
      </c>
      <c r="AG1099" s="21" t="s">
        <v>8210</v>
      </c>
      <c r="AH1099" s="21" t="s">
        <v>8134</v>
      </c>
      <c r="AI1099" s="62" t="str">
        <f>IFERROR(__xludf.DUMMYFUNCTION("IF(OR(W1099="""",X1099="""",AE1099="""",AD1099=""""),"""",
   TEXT(
     (
       (AE1099+AD1099 + IF(AE1099+AD1099 &lt; W1099+X1099,1,0)) - (W1099+X1099)
     )
     - IF(AND(AB1099&lt;&gt;"""",AC1099&lt;&gt;""""), 
          SUM(ARRAYFORMULA(SPLIT(AC1099,"","") - SPLI"&amp;"T(AB1099,"",""))), 
          0
       ),
     ""[hh]:mm""
   )
)
"),"02:00")</f>
        <v>02:00</v>
      </c>
      <c r="AJ1099" s="27">
        <f t="shared" si="16"/>
        <v>0</v>
      </c>
      <c r="AK1099" s="63" t="str">
        <f t="shared" si="17"/>
        <v>Pass</v>
      </c>
    </row>
    <row r="1100">
      <c r="A1100" s="18">
        <v>46006.0</v>
      </c>
      <c r="B1100" s="20">
        <v>0.5263888888888889</v>
      </c>
      <c r="C1100" s="18">
        <v>46007.0</v>
      </c>
      <c r="D1100" s="20">
        <v>0.3055555555555556</v>
      </c>
      <c r="E1100" s="22" t="s">
        <v>8220</v>
      </c>
      <c r="F1100" s="22" t="s">
        <v>1833</v>
      </c>
      <c r="G1100" s="22" t="s">
        <v>1834</v>
      </c>
      <c r="H1100" s="22" t="s">
        <v>156</v>
      </c>
      <c r="I1100" s="22" t="s">
        <v>616</v>
      </c>
      <c r="J1100" s="22" t="s">
        <v>2253</v>
      </c>
      <c r="K1100" s="22" t="s">
        <v>43</v>
      </c>
      <c r="L1100" s="22" t="s">
        <v>617</v>
      </c>
      <c r="M1100" s="22" t="s">
        <v>8221</v>
      </c>
      <c r="N1100" s="22" t="s">
        <v>8222</v>
      </c>
      <c r="O1100" s="23" t="s">
        <v>8223</v>
      </c>
      <c r="P1100" s="22" t="s">
        <v>75</v>
      </c>
      <c r="Q1100" s="50" t="s">
        <v>65</v>
      </c>
      <c r="R1100" s="102" t="s">
        <v>8224</v>
      </c>
      <c r="S1100" s="22" t="s">
        <v>51</v>
      </c>
      <c r="T1100" s="22" t="s">
        <v>6676</v>
      </c>
      <c r="U1100" s="22" t="s">
        <v>8225</v>
      </c>
      <c r="V1100" s="22" t="s">
        <v>8221</v>
      </c>
      <c r="W1100" s="18">
        <v>46007.0</v>
      </c>
      <c r="X1100" s="20">
        <v>0.3055555555555556</v>
      </c>
      <c r="Y1100" s="18">
        <v>46007.0</v>
      </c>
      <c r="Z1100" s="20">
        <v>0.5256944444444445</v>
      </c>
      <c r="AA1100" s="20">
        <v>0.5263888888888889</v>
      </c>
      <c r="AB1100" s="51">
        <v>0.5409722222222222</v>
      </c>
      <c r="AC1100" s="51">
        <v>0.7215277777777778</v>
      </c>
      <c r="AD1100" s="51">
        <v>0.7395833333333334</v>
      </c>
      <c r="AE1100" s="18">
        <v>46007.0</v>
      </c>
      <c r="AF1100" s="21" t="s">
        <v>2931</v>
      </c>
      <c r="AG1100" s="22" t="s">
        <v>239</v>
      </c>
      <c r="AH1100" s="22" t="s">
        <v>4782</v>
      </c>
      <c r="AI1100" s="26" t="str">
        <f>IFERROR(__xludf.DUMMYFUNCTION("IF(OR(W1100="""",X1100="""",AE1100="""",AD1100=""""),"""",
   TEXT(
     (
       (AE1100+AD1100 + IF(AE1100+AD1100 &lt; W1100+X1100,1,0)) - (W1100+X1100)
     )
     - IF(AND(AB1100&lt;&gt;"""",AC1100&lt;&gt;""""), 
          SUM(ARRAYFORMULA(SPLIT(AC1100,"","") - SPLI"&amp;"T(AB1100,"",""))), 
          0
       ),
     ""[hh]:mm""
   )
)
"),"06:05")</f>
        <v>06:05</v>
      </c>
      <c r="AJ1100" s="55">
        <f t="shared" si="16"/>
        <v>0</v>
      </c>
      <c r="AK1100" s="28" t="str">
        <f t="shared" si="17"/>
        <v>Pass</v>
      </c>
    </row>
    <row r="1101">
      <c r="A1101" s="45">
        <v>46007.0</v>
      </c>
      <c r="B1101" s="49">
        <v>0.05347222222222222</v>
      </c>
      <c r="C1101" s="45">
        <v>46007.0</v>
      </c>
      <c r="D1101" s="49">
        <v>0.3076388888888889</v>
      </c>
      <c r="E1101" s="21" t="s">
        <v>8226</v>
      </c>
      <c r="F1101" s="21" t="s">
        <v>3864</v>
      </c>
      <c r="G1101" s="21" t="s">
        <v>3865</v>
      </c>
      <c r="H1101" s="21" t="s">
        <v>566</v>
      </c>
      <c r="I1101" s="21" t="s">
        <v>60</v>
      </c>
      <c r="J1101" s="21" t="s">
        <v>3813</v>
      </c>
      <c r="K1101" s="21" t="s">
        <v>61</v>
      </c>
      <c r="L1101" s="21" t="s">
        <v>183</v>
      </c>
      <c r="M1101" s="21" t="s">
        <v>3867</v>
      </c>
      <c r="N1101" s="21" t="s">
        <v>8227</v>
      </c>
      <c r="O1101" s="48" t="s">
        <v>8228</v>
      </c>
      <c r="P1101" s="21" t="s">
        <v>48</v>
      </c>
      <c r="Q1101" s="24" t="s">
        <v>49</v>
      </c>
      <c r="R1101" s="21" t="s">
        <v>8229</v>
      </c>
      <c r="S1101" s="21" t="s">
        <v>51</v>
      </c>
      <c r="T1101" s="21" t="s">
        <v>52</v>
      </c>
      <c r="U1101" s="21" t="s">
        <v>52</v>
      </c>
      <c r="V1101" s="21" t="s">
        <v>52</v>
      </c>
      <c r="W1101" s="45">
        <v>46007.0</v>
      </c>
      <c r="X1101" s="49">
        <v>0.4215277777777778</v>
      </c>
      <c r="Y1101" s="45">
        <v>46007.0</v>
      </c>
      <c r="Z1101" s="49">
        <v>0.4444444444444444</v>
      </c>
      <c r="AA1101" s="49">
        <v>0.4513888888888889</v>
      </c>
      <c r="AB1101" s="25">
        <v>0.5</v>
      </c>
      <c r="AC1101" s="25">
        <v>0.5208333333333334</v>
      </c>
      <c r="AD1101" s="25">
        <v>0.5243055555555556</v>
      </c>
      <c r="AE1101" s="45">
        <v>46007.0</v>
      </c>
      <c r="AF1101" s="21" t="s">
        <v>2931</v>
      </c>
      <c r="AG1101" s="21" t="s">
        <v>78</v>
      </c>
      <c r="AH1101" s="21" t="s">
        <v>8230</v>
      </c>
      <c r="AI1101" s="62" t="str">
        <f>IFERROR(__xludf.DUMMYFUNCTION("IF(OR(W1101="""",X1101="""",AE1101="""",AD1101=""""),"""",
   TEXT(
     (
       (AE1101+AD1101 + IF(AE1101+AD1101 &lt; W1101+X1101,1,0)) - (W1101+X1101)
     )
     - IF(AND(AB1101&lt;&gt;"""",AC1101&lt;&gt;""""), 
          SUM(ARRAYFORMULA(SPLIT(AC1101,"","") - SPLI"&amp;"T(AB1101,"",""))), 
          0
       ),
     ""[hh]:mm""
   )
)
"),"01:58")</f>
        <v>01:58</v>
      </c>
      <c r="AJ1101" s="27">
        <f t="shared" si="16"/>
        <v>0</v>
      </c>
      <c r="AK1101" s="63" t="str">
        <f t="shared" si="17"/>
        <v>Pass</v>
      </c>
    </row>
    <row r="1102">
      <c r="A1102" s="45">
        <v>46007.0</v>
      </c>
      <c r="B1102" s="49">
        <v>0.05763888888888889</v>
      </c>
      <c r="C1102" s="45">
        <v>46007.0</v>
      </c>
      <c r="D1102" s="49">
        <v>0.3076388888888889</v>
      </c>
      <c r="E1102" s="21" t="s">
        <v>8231</v>
      </c>
      <c r="F1102" s="21" t="s">
        <v>3864</v>
      </c>
      <c r="G1102" s="21" t="s">
        <v>3865</v>
      </c>
      <c r="H1102" s="21" t="s">
        <v>566</v>
      </c>
      <c r="I1102" s="21" t="s">
        <v>234</v>
      </c>
      <c r="J1102" s="21" t="s">
        <v>3813</v>
      </c>
      <c r="K1102" s="21" t="s">
        <v>61</v>
      </c>
      <c r="L1102" s="21" t="s">
        <v>183</v>
      </c>
      <c r="M1102" s="21" t="s">
        <v>8232</v>
      </c>
      <c r="N1102" s="21" t="s">
        <v>8233</v>
      </c>
      <c r="O1102" s="48" t="s">
        <v>8234</v>
      </c>
      <c r="P1102" s="21" t="s">
        <v>48</v>
      </c>
      <c r="Q1102" s="24" t="s">
        <v>49</v>
      </c>
      <c r="R1102" s="21" t="s">
        <v>8229</v>
      </c>
      <c r="S1102" s="21" t="s">
        <v>51</v>
      </c>
      <c r="T1102" s="21" t="s">
        <v>52</v>
      </c>
      <c r="U1102" s="21" t="s">
        <v>52</v>
      </c>
      <c r="V1102" s="21" t="s">
        <v>52</v>
      </c>
      <c r="W1102" s="45">
        <v>46007.0</v>
      </c>
      <c r="X1102" s="49">
        <v>0.4215277777777778</v>
      </c>
      <c r="Y1102" s="45">
        <v>46007.0</v>
      </c>
      <c r="Z1102" s="49">
        <v>0.4444444444444444</v>
      </c>
      <c r="AA1102" s="49">
        <v>0.4513888888888889</v>
      </c>
      <c r="AB1102" s="25">
        <v>0.5</v>
      </c>
      <c r="AC1102" s="25">
        <v>0.5208333333333334</v>
      </c>
      <c r="AD1102" s="25">
        <v>0.5243055555555556</v>
      </c>
      <c r="AE1102" s="45">
        <v>46007.0</v>
      </c>
      <c r="AF1102" s="21" t="s">
        <v>2931</v>
      </c>
      <c r="AG1102" s="21" t="s">
        <v>78</v>
      </c>
      <c r="AH1102" s="21" t="s">
        <v>8230</v>
      </c>
      <c r="AI1102" s="62" t="str">
        <f>IFERROR(__xludf.DUMMYFUNCTION("IF(OR(W1102="""",X1102="""",AE1102="""",AD1102=""""),"""",
   TEXT(
     (
       (AE1102+AD1102 + IF(AE1102+AD1102 &lt; W1102+X1102,1,0)) - (W1102+X1102)
     )
     - IF(AND(AB1102&lt;&gt;"""",AC1102&lt;&gt;""""), 
          SUM(ARRAYFORMULA(SPLIT(AC1102,"","") - SPLI"&amp;"T(AB1102,"",""))), 
          0
       ),
     ""[hh]:mm""
   )
)
"),"01:58")</f>
        <v>01:58</v>
      </c>
      <c r="AJ1102" s="27">
        <f t="shared" si="16"/>
        <v>0</v>
      </c>
      <c r="AK1102" s="63" t="str">
        <f t="shared" si="17"/>
        <v>Pass</v>
      </c>
    </row>
    <row r="1103">
      <c r="A1103" s="45">
        <v>46007.0</v>
      </c>
      <c r="B1103" s="49">
        <v>0.4215277777777778</v>
      </c>
      <c r="C1103" s="45">
        <v>46007.0</v>
      </c>
      <c r="D1103" s="49">
        <v>0.4215277777777778</v>
      </c>
      <c r="E1103" s="21" t="s">
        <v>8235</v>
      </c>
      <c r="F1103" s="21" t="s">
        <v>3864</v>
      </c>
      <c r="G1103" s="21" t="s">
        <v>3865</v>
      </c>
      <c r="H1103" s="21" t="s">
        <v>566</v>
      </c>
      <c r="I1103" s="21" t="s">
        <v>95</v>
      </c>
      <c r="J1103" s="21" t="s">
        <v>95</v>
      </c>
      <c r="K1103" s="21" t="s">
        <v>143</v>
      </c>
      <c r="L1103" s="21" t="s">
        <v>606</v>
      </c>
      <c r="M1103" s="21" t="s">
        <v>8236</v>
      </c>
      <c r="N1103" s="21" t="s">
        <v>8237</v>
      </c>
      <c r="O1103" s="48" t="s">
        <v>8238</v>
      </c>
      <c r="P1103" s="21" t="s">
        <v>48</v>
      </c>
      <c r="Q1103" s="24" t="s">
        <v>49</v>
      </c>
      <c r="R1103" s="21" t="s">
        <v>8229</v>
      </c>
      <c r="S1103" s="21" t="s">
        <v>51</v>
      </c>
      <c r="T1103" s="21" t="s">
        <v>52</v>
      </c>
      <c r="U1103" s="21" t="s">
        <v>52</v>
      </c>
      <c r="V1103" s="21" t="s">
        <v>52</v>
      </c>
      <c r="W1103" s="45">
        <v>46007.0</v>
      </c>
      <c r="X1103" s="49">
        <v>0.4215277777777778</v>
      </c>
      <c r="Y1103" s="45">
        <v>46007.0</v>
      </c>
      <c r="Z1103" s="49">
        <v>0.4444444444444444</v>
      </c>
      <c r="AA1103" s="49">
        <v>0.4513888888888889</v>
      </c>
      <c r="AB1103" s="25">
        <v>0.5</v>
      </c>
      <c r="AC1103" s="25">
        <v>0.5208333333333334</v>
      </c>
      <c r="AD1103" s="25">
        <v>0.5243055555555556</v>
      </c>
      <c r="AE1103" s="45">
        <v>46007.0</v>
      </c>
      <c r="AF1103" s="21" t="s">
        <v>2931</v>
      </c>
      <c r="AG1103" s="21" t="s">
        <v>78</v>
      </c>
      <c r="AH1103" s="21" t="s">
        <v>8230</v>
      </c>
      <c r="AI1103" s="62" t="str">
        <f>IFERROR(__xludf.DUMMYFUNCTION("IF(OR(W1103="""",X1103="""",AE1103="""",AD1103=""""),"""",
   TEXT(
     (
       (AE1103+AD1103 + IF(AE1103+AD1103 &lt; W1103+X1103,1,0)) - (W1103+X1103)
     )
     - IF(AND(AB1103&lt;&gt;"""",AC1103&lt;&gt;""""), 
          SUM(ARRAYFORMULA(SPLIT(AC1103,"","") - SPLI"&amp;"T(AB1103,"",""))), 
          0
       ),
     ""[hh]:mm""
   )
)
"),"01:58")</f>
        <v>01:58</v>
      </c>
      <c r="AJ1103" s="27">
        <f t="shared" si="16"/>
        <v>0</v>
      </c>
      <c r="AK1103" s="63" t="str">
        <f t="shared" si="17"/>
        <v>Pass</v>
      </c>
    </row>
    <row r="1104">
      <c r="A1104" s="18">
        <v>46007.0</v>
      </c>
      <c r="B1104" s="20">
        <v>0.3875</v>
      </c>
      <c r="C1104" s="18">
        <v>46007.0</v>
      </c>
      <c r="D1104" s="20">
        <v>0.3902777777777778</v>
      </c>
      <c r="E1104" s="22" t="s">
        <v>8239</v>
      </c>
      <c r="F1104" s="22" t="s">
        <v>8240</v>
      </c>
      <c r="G1104" s="22" t="s">
        <v>8241</v>
      </c>
      <c r="H1104" s="22" t="s">
        <v>1468</v>
      </c>
      <c r="I1104" s="22" t="s">
        <v>856</v>
      </c>
      <c r="J1104" s="22" t="s">
        <v>1084</v>
      </c>
      <c r="K1104" s="22" t="s">
        <v>1998</v>
      </c>
      <c r="L1104" s="22" t="s">
        <v>52</v>
      </c>
      <c r="M1104" s="22" t="s">
        <v>8242</v>
      </c>
      <c r="N1104" s="22" t="s">
        <v>8243</v>
      </c>
      <c r="O1104" s="23" t="s">
        <v>8244</v>
      </c>
      <c r="P1104" s="22" t="s">
        <v>48</v>
      </c>
      <c r="Q1104" s="50" t="s">
        <v>65</v>
      </c>
      <c r="R1104" s="22" t="s">
        <v>6863</v>
      </c>
      <c r="S1104" s="22" t="s">
        <v>51</v>
      </c>
      <c r="T1104" s="22" t="s">
        <v>52</v>
      </c>
      <c r="U1104" s="22" t="s">
        <v>52</v>
      </c>
      <c r="V1104" s="22" t="s">
        <v>52</v>
      </c>
      <c r="W1104" s="18">
        <v>46007.0</v>
      </c>
      <c r="X1104" s="20">
        <v>0.32708333333333334</v>
      </c>
      <c r="Y1104" s="18">
        <v>46007.0</v>
      </c>
      <c r="Z1104" s="20">
        <v>0.375</v>
      </c>
      <c r="AA1104" s="20">
        <v>0.375</v>
      </c>
      <c r="AB1104" s="51">
        <v>0.375</v>
      </c>
      <c r="AC1104" s="51">
        <v>0.5416666666666666</v>
      </c>
      <c r="AD1104" s="51">
        <v>0.5625</v>
      </c>
      <c r="AE1104" s="18">
        <v>46007.0</v>
      </c>
      <c r="AF1104" s="22" t="s">
        <v>2918</v>
      </c>
      <c r="AG1104" s="22" t="s">
        <v>209</v>
      </c>
      <c r="AH1104" s="22" t="s">
        <v>8245</v>
      </c>
      <c r="AI1104" s="26" t="str">
        <f>IFERROR(__xludf.DUMMYFUNCTION("IF(OR(W1104="""",X1104="""",AE1104="""",AD1104=""""),"""",
   TEXT(
     (
       (AE1104+AD1104 + IF(AE1104+AD1104 &lt; W1104+X1104,1,0)) - (W1104+X1104)
     )
     - IF(AND(AB1104&lt;&gt;"""",AC1104&lt;&gt;""""), 
          SUM(ARRAYFORMULA(SPLIT(AC1104,"","") - SPLI"&amp;"T(AB1104,"",""))), 
          0
       ),
     ""[hh]:mm""
   )
)
"),"01:39")</f>
        <v>01:39</v>
      </c>
      <c r="AJ1104" s="55">
        <f t="shared" si="16"/>
        <v>0</v>
      </c>
      <c r="AK1104" s="28" t="str">
        <f t="shared" si="17"/>
        <v>Pass</v>
      </c>
    </row>
    <row r="1105">
      <c r="A1105" s="18">
        <v>46007.0</v>
      </c>
      <c r="B1105" s="20">
        <v>0.425</v>
      </c>
      <c r="C1105" s="18">
        <v>46007.0</v>
      </c>
      <c r="D1105" s="20">
        <v>0.4284722222222222</v>
      </c>
      <c r="E1105" s="22" t="s">
        <v>8246</v>
      </c>
      <c r="F1105" s="22" t="s">
        <v>3831</v>
      </c>
      <c r="G1105" s="22" t="s">
        <v>3832</v>
      </c>
      <c r="H1105" s="22" t="s">
        <v>1422</v>
      </c>
      <c r="I1105" s="22" t="s">
        <v>234</v>
      </c>
      <c r="J1105" s="22" t="s">
        <v>3813</v>
      </c>
      <c r="K1105" s="22" t="s">
        <v>61</v>
      </c>
      <c r="L1105" s="22" t="s">
        <v>183</v>
      </c>
      <c r="M1105" s="22" t="s">
        <v>8247</v>
      </c>
      <c r="N1105" s="22" t="s">
        <v>8248</v>
      </c>
      <c r="O1105" s="23" t="s">
        <v>8249</v>
      </c>
      <c r="P1105" s="22" t="s">
        <v>75</v>
      </c>
      <c r="Q1105" s="50" t="s">
        <v>65</v>
      </c>
      <c r="R1105" s="22" t="s">
        <v>8250</v>
      </c>
      <c r="S1105" s="22" t="s">
        <v>51</v>
      </c>
      <c r="T1105" s="22" t="s">
        <v>324</v>
      </c>
      <c r="U1105" s="22" t="s">
        <v>8251</v>
      </c>
      <c r="V1105" s="22" t="s">
        <v>8252</v>
      </c>
      <c r="W1105" s="18">
        <v>46007.0</v>
      </c>
      <c r="X1105" s="20">
        <v>0.4284722222222222</v>
      </c>
      <c r="Y1105" s="18">
        <v>46007.0</v>
      </c>
      <c r="Z1105" s="20">
        <v>0.5847222222222223</v>
      </c>
      <c r="AA1105" s="20">
        <v>0.5868055555555556</v>
      </c>
      <c r="AB1105" s="50" t="s">
        <v>8253</v>
      </c>
      <c r="AC1105" s="50" t="s">
        <v>8254</v>
      </c>
      <c r="AD1105" s="51">
        <v>0.9791666666666666</v>
      </c>
      <c r="AE1105" s="18">
        <v>46007.0</v>
      </c>
      <c r="AF1105" s="21" t="s">
        <v>2931</v>
      </c>
      <c r="AG1105" s="22" t="s">
        <v>4384</v>
      </c>
      <c r="AH1105" s="22" t="s">
        <v>8255</v>
      </c>
      <c r="AI1105" s="26" t="str">
        <f>IFERROR(__xludf.DUMMYFUNCTION("IF(OR(W1105="""",X1105="""",AE1105="""",AD1105=""""),"""",
   TEXT(
     (
       (AE1105+AD1105 + IF(AE1105+AD1105 &lt; W1105+X1105,1,0)) - (W1105+X1105)
     )
     - IF(AND(AB1105&lt;&gt;"""",AC1105&lt;&gt;""""), 
          SUM(ARRAYFORMULA(SPLIT(AC1105,"","") - SPLI"&amp;"T(AB1105,"",""))), 
          0
       ),
     ""[hh]:mm""
   )
)
"),"09:07")</f>
        <v>09:07</v>
      </c>
      <c r="AJ1105" s="55">
        <f t="shared" si="16"/>
        <v>0</v>
      </c>
      <c r="AK1105" s="28" t="str">
        <f t="shared" si="17"/>
        <v>Pass</v>
      </c>
    </row>
    <row r="1106">
      <c r="A1106" s="18">
        <v>46007.0</v>
      </c>
      <c r="B1106" s="20">
        <v>0.43194444444444446</v>
      </c>
      <c r="C1106" s="18">
        <v>46007.0</v>
      </c>
      <c r="D1106" s="20">
        <v>0.4326388888888889</v>
      </c>
      <c r="E1106" s="22" t="s">
        <v>8256</v>
      </c>
      <c r="F1106" s="22" t="s">
        <v>6517</v>
      </c>
      <c r="G1106" s="22" t="s">
        <v>8257</v>
      </c>
      <c r="H1106" s="22" t="s">
        <v>156</v>
      </c>
      <c r="I1106" s="22" t="s">
        <v>616</v>
      </c>
      <c r="J1106" s="22" t="s">
        <v>2253</v>
      </c>
      <c r="K1106" s="22" t="s">
        <v>43</v>
      </c>
      <c r="L1106" s="22" t="s">
        <v>2663</v>
      </c>
      <c r="M1106" s="22" t="s">
        <v>8258</v>
      </c>
      <c r="N1106" s="22" t="s">
        <v>8259</v>
      </c>
      <c r="O1106" s="23" t="s">
        <v>8260</v>
      </c>
      <c r="P1106" s="22" t="s">
        <v>75</v>
      </c>
      <c r="Q1106" s="50" t="s">
        <v>49</v>
      </c>
      <c r="R1106" s="22" t="s">
        <v>8261</v>
      </c>
      <c r="S1106" s="22" t="s">
        <v>51</v>
      </c>
      <c r="T1106" s="22" t="s">
        <v>52</v>
      </c>
      <c r="U1106" s="22" t="s">
        <v>52</v>
      </c>
      <c r="V1106" s="22" t="s">
        <v>52</v>
      </c>
      <c r="W1106" s="18">
        <v>46007.0</v>
      </c>
      <c r="X1106" s="20">
        <v>0.4326388888888889</v>
      </c>
      <c r="Y1106" s="18">
        <v>46007.0</v>
      </c>
      <c r="Z1106" s="20">
        <v>0.5159722222222223</v>
      </c>
      <c r="AA1106" s="20">
        <v>0.5902777777777778</v>
      </c>
      <c r="AB1106" s="51">
        <v>0.5159722222222223</v>
      </c>
      <c r="AC1106" s="51">
        <v>0.5895833333333333</v>
      </c>
      <c r="AD1106" s="51">
        <v>0.6111111111111112</v>
      </c>
      <c r="AE1106" s="18">
        <v>46007.0</v>
      </c>
      <c r="AF1106" s="22" t="s">
        <v>2931</v>
      </c>
      <c r="AG1106" s="22" t="s">
        <v>848</v>
      </c>
      <c r="AH1106" s="22" t="s">
        <v>8262</v>
      </c>
      <c r="AI1106" s="26" t="str">
        <f>IFERROR(__xludf.DUMMYFUNCTION("IF(OR(W1106="""",X1106="""",AE1106="""",AD1106=""""),"""",
   TEXT(
     (
       (AE1106+AD1106 + IF(AE1106+AD1106 &lt; W1106+X1106,1,0)) - (W1106+X1106)
     )
     - IF(AND(AB1106&lt;&gt;"""",AC1106&lt;&gt;""""), 
          SUM(ARRAYFORMULA(SPLIT(AC1106,"","") - SPLI"&amp;"T(AB1106,"",""))), 
          0
       ),
     ""[hh]:mm""
   )
)
"),"02:31")</f>
        <v>02:31</v>
      </c>
      <c r="AJ1106" s="55">
        <f t="shared" si="16"/>
        <v>0</v>
      </c>
      <c r="AK1106" s="28" t="str">
        <f t="shared" si="17"/>
        <v>Pass</v>
      </c>
    </row>
    <row r="1107">
      <c r="A1107" s="18">
        <v>46007.0</v>
      </c>
      <c r="B1107" s="20">
        <v>0.43194444444444446</v>
      </c>
      <c r="C1107" s="18">
        <v>46007.0</v>
      </c>
      <c r="D1107" s="20">
        <v>0.4326388888888889</v>
      </c>
      <c r="E1107" s="22" t="s">
        <v>8263</v>
      </c>
      <c r="F1107" s="22" t="s">
        <v>6517</v>
      </c>
      <c r="G1107" s="22" t="s">
        <v>8257</v>
      </c>
      <c r="H1107" s="22" t="s">
        <v>156</v>
      </c>
      <c r="I1107" s="22" t="s">
        <v>131</v>
      </c>
      <c r="J1107" s="22" t="s">
        <v>2253</v>
      </c>
      <c r="K1107" s="22" t="s">
        <v>43</v>
      </c>
      <c r="L1107" s="22" t="s">
        <v>2663</v>
      </c>
      <c r="M1107" s="22" t="s">
        <v>3094</v>
      </c>
      <c r="N1107" s="22" t="s">
        <v>8259</v>
      </c>
      <c r="O1107" s="23" t="s">
        <v>8264</v>
      </c>
      <c r="P1107" s="22" t="s">
        <v>75</v>
      </c>
      <c r="Q1107" s="50" t="s">
        <v>49</v>
      </c>
      <c r="R1107" s="22" t="s">
        <v>8261</v>
      </c>
      <c r="S1107" s="22" t="s">
        <v>51</v>
      </c>
      <c r="T1107" s="22" t="s">
        <v>52</v>
      </c>
      <c r="U1107" s="22" t="s">
        <v>52</v>
      </c>
      <c r="V1107" s="22" t="s">
        <v>52</v>
      </c>
      <c r="W1107" s="18">
        <v>46007.0</v>
      </c>
      <c r="X1107" s="20">
        <v>0.4326388888888889</v>
      </c>
      <c r="Y1107" s="18">
        <v>46007.0</v>
      </c>
      <c r="Z1107" s="20">
        <v>0.5159722222222223</v>
      </c>
      <c r="AA1107" s="20">
        <v>0.5416666666666666</v>
      </c>
      <c r="AB1107" s="51">
        <v>0.5166666666666667</v>
      </c>
      <c r="AC1107" s="51">
        <v>0.5409722222222222</v>
      </c>
      <c r="AD1107" s="51">
        <v>0.5625</v>
      </c>
      <c r="AE1107" s="18">
        <v>46007.0</v>
      </c>
      <c r="AF1107" s="22" t="s">
        <v>2931</v>
      </c>
      <c r="AG1107" s="22" t="s">
        <v>848</v>
      </c>
      <c r="AH1107" s="22" t="s">
        <v>8262</v>
      </c>
      <c r="AI1107" s="26" t="str">
        <f>IFERROR(__xludf.DUMMYFUNCTION("IF(OR(W1107="""",X1107="""",AE1107="""",AD1107=""""),"""",
   TEXT(
     (
       (AE1107+AD1107 + IF(AE1107+AD1107 &lt; W1107+X1107,1,0)) - (W1107+X1107)
     )
     - IF(AND(AB1107&lt;&gt;"""",AC1107&lt;&gt;""""), 
          SUM(ARRAYFORMULA(SPLIT(AC1107,"","") - SPLI"&amp;"T(AB1107,"",""))), 
          0
       ),
     ""[hh]:mm""
   )
)
"),"02:32")</f>
        <v>02:32</v>
      </c>
      <c r="AJ1107" s="55">
        <f t="shared" si="16"/>
        <v>0</v>
      </c>
      <c r="AK1107" s="28" t="str">
        <f t="shared" si="17"/>
        <v>Pass</v>
      </c>
    </row>
    <row r="1108">
      <c r="A1108" s="18">
        <v>46007.0</v>
      </c>
      <c r="B1108" s="20">
        <v>0.4875</v>
      </c>
      <c r="C1108" s="18">
        <v>46007.0</v>
      </c>
      <c r="D1108" s="20">
        <v>0.4979166666666667</v>
      </c>
      <c r="E1108" s="22" t="s">
        <v>8265</v>
      </c>
      <c r="F1108" s="22" t="s">
        <v>8266</v>
      </c>
      <c r="G1108" s="22" t="s">
        <v>8267</v>
      </c>
      <c r="H1108" s="22" t="s">
        <v>746</v>
      </c>
      <c r="I1108" s="22" t="s">
        <v>2651</v>
      </c>
      <c r="J1108" s="22" t="s">
        <v>2655</v>
      </c>
      <c r="K1108" s="22" t="s">
        <v>43</v>
      </c>
      <c r="L1108" s="22" t="s">
        <v>8268</v>
      </c>
      <c r="M1108" s="22" t="s">
        <v>8269</v>
      </c>
      <c r="N1108" s="22" t="s">
        <v>8270</v>
      </c>
      <c r="O1108" s="23" t="s">
        <v>8271</v>
      </c>
      <c r="P1108" s="22" t="s">
        <v>75</v>
      </c>
      <c r="Q1108" s="50" t="s">
        <v>49</v>
      </c>
      <c r="R1108" s="22" t="s">
        <v>8272</v>
      </c>
      <c r="S1108" s="22" t="s">
        <v>51</v>
      </c>
      <c r="T1108" s="22" t="s">
        <v>679</v>
      </c>
      <c r="U1108" s="22">
        <v>2.02406280231E11</v>
      </c>
      <c r="V1108" s="22" t="s">
        <v>52</v>
      </c>
      <c r="W1108" s="45">
        <v>46007.0</v>
      </c>
      <c r="X1108" s="20">
        <v>0.4979166666666667</v>
      </c>
      <c r="Y1108" s="45">
        <v>46007.0</v>
      </c>
      <c r="Z1108" s="20">
        <v>0.5534722222222223</v>
      </c>
      <c r="AA1108" s="20">
        <v>0.5534722222222223</v>
      </c>
      <c r="AB1108" s="50" t="s">
        <v>8273</v>
      </c>
      <c r="AC1108" s="50" t="s">
        <v>8274</v>
      </c>
      <c r="AD1108" s="51">
        <v>0.6875</v>
      </c>
      <c r="AE1108" s="45">
        <v>46007.0</v>
      </c>
      <c r="AF1108" s="21" t="s">
        <v>2931</v>
      </c>
      <c r="AG1108" s="22" t="s">
        <v>3191</v>
      </c>
      <c r="AH1108" s="22" t="s">
        <v>8275</v>
      </c>
      <c r="AI1108" s="62" t="str">
        <f>IFERROR(__xludf.DUMMYFUNCTION("IF(OR(W1108="""",X1108="""",AE1108="""",AD1108=""""),"""",
   TEXT(
     (
       (AE1108+AD1108 + IF(AE1108+AD1108 &lt; W1108+X1108,1,0)) - (W1108+X1108)
     )
     - IF(AND(AB1108&lt;&gt;"""",AC1108&lt;&gt;""""), 
          SUM(ARRAYFORMULA(SPLIT(AC1108,"","") - SPLI"&amp;"T(AB1108,"",""))), 
          0
       ),
     ""[hh]:mm""
   )
)
"),"02:20")</f>
        <v>02:20</v>
      </c>
      <c r="AJ1108" s="27">
        <f t="shared" si="16"/>
        <v>0</v>
      </c>
      <c r="AK1108" s="63" t="str">
        <f t="shared" si="17"/>
        <v>Pass</v>
      </c>
    </row>
    <row r="1109">
      <c r="A1109" s="18">
        <v>46007.0</v>
      </c>
      <c r="B1109" s="20">
        <v>0.5027777777777778</v>
      </c>
      <c r="C1109" s="18">
        <v>46007.0</v>
      </c>
      <c r="D1109" s="20">
        <v>0.5055555555555555</v>
      </c>
      <c r="E1109" s="22" t="s">
        <v>8276</v>
      </c>
      <c r="F1109" s="22" t="s">
        <v>1210</v>
      </c>
      <c r="G1109" s="22" t="s">
        <v>1211</v>
      </c>
      <c r="H1109" s="22" t="s">
        <v>318</v>
      </c>
      <c r="I1109" s="22" t="s">
        <v>234</v>
      </c>
      <c r="J1109" s="22" t="s">
        <v>3813</v>
      </c>
      <c r="K1109" s="22" t="s">
        <v>61</v>
      </c>
      <c r="L1109" s="22" t="s">
        <v>183</v>
      </c>
      <c r="M1109" s="22" t="s">
        <v>6067</v>
      </c>
      <c r="N1109" s="22" t="s">
        <v>8248</v>
      </c>
      <c r="O1109" s="23" t="s">
        <v>8277</v>
      </c>
      <c r="P1109" s="22" t="s">
        <v>187</v>
      </c>
      <c r="Q1109" s="50" t="s">
        <v>65</v>
      </c>
      <c r="R1109" s="22" t="s">
        <v>8278</v>
      </c>
      <c r="S1109" s="22" t="s">
        <v>51</v>
      </c>
      <c r="T1109" s="22" t="s">
        <v>52</v>
      </c>
      <c r="U1109" s="22" t="s">
        <v>52</v>
      </c>
      <c r="V1109" s="22" t="s">
        <v>52</v>
      </c>
      <c r="W1109" s="18">
        <v>46007.0</v>
      </c>
      <c r="X1109" s="20">
        <v>0.5055555555555555</v>
      </c>
      <c r="Y1109" s="18">
        <v>46007.0</v>
      </c>
      <c r="Z1109" s="20">
        <v>0.6111111111111112</v>
      </c>
      <c r="AA1109" s="20">
        <v>0.6152777777777778</v>
      </c>
      <c r="AB1109" s="54"/>
      <c r="AC1109" s="54"/>
      <c r="AD1109" s="51">
        <v>0.7465277777777778</v>
      </c>
      <c r="AE1109" s="18">
        <v>46007.0</v>
      </c>
      <c r="AF1109" s="22" t="s">
        <v>2931</v>
      </c>
      <c r="AG1109" s="22" t="s">
        <v>313</v>
      </c>
      <c r="AH1109" s="22" t="s">
        <v>8279</v>
      </c>
      <c r="AI1109" s="62" t="str">
        <f>IFERROR(__xludf.DUMMYFUNCTION("IF(OR(W1109="""",X1109="""",AE1109="""",AD1109=""""),"""",
   TEXT(
     (
       (AE1109+AD1109 + IF(AE1109+AD1109 &lt; W1109+X1109,1,0)) - (W1109+X1109)
     )
     - IF(AND(AB1109&lt;&gt;"""",AC1109&lt;&gt;""""), 
          SUM(ARRAYFORMULA(SPLIT(AC1109,"","") - SPLI"&amp;"T(AB1109,"",""))), 
          0
       ),
     ""[hh]:mm""
   )
)
"),"05:47")</f>
        <v>05:47</v>
      </c>
      <c r="AJ1109" s="27">
        <f t="shared" si="16"/>
        <v>0</v>
      </c>
      <c r="AK1109" s="63" t="str">
        <f t="shared" si="17"/>
        <v>Pass</v>
      </c>
    </row>
    <row r="1110">
      <c r="A1110" s="45">
        <v>46007.0</v>
      </c>
      <c r="B1110" s="49">
        <v>0.5090277777777777</v>
      </c>
      <c r="C1110" s="45">
        <v>46007.0</v>
      </c>
      <c r="D1110" s="49">
        <v>0.5104166666666666</v>
      </c>
      <c r="E1110" s="21" t="s">
        <v>8280</v>
      </c>
      <c r="F1110" s="21" t="s">
        <v>1833</v>
      </c>
      <c r="G1110" s="21" t="s">
        <v>1834</v>
      </c>
      <c r="H1110" s="21" t="s">
        <v>40</v>
      </c>
      <c r="I1110" s="21" t="s">
        <v>95</v>
      </c>
      <c r="J1110" s="21" t="s">
        <v>95</v>
      </c>
      <c r="K1110" s="21" t="s">
        <v>143</v>
      </c>
      <c r="L1110" s="21" t="s">
        <v>606</v>
      </c>
      <c r="M1110" s="21" t="s">
        <v>8281</v>
      </c>
      <c r="N1110" s="21" t="s">
        <v>8282</v>
      </c>
      <c r="O1110" s="48" t="s">
        <v>8283</v>
      </c>
      <c r="P1110" s="21" t="s">
        <v>48</v>
      </c>
      <c r="Q1110" s="24" t="s">
        <v>49</v>
      </c>
      <c r="R1110" s="21" t="s">
        <v>8284</v>
      </c>
      <c r="S1110" s="21" t="s">
        <v>51</v>
      </c>
      <c r="T1110" s="21" t="s">
        <v>52</v>
      </c>
      <c r="U1110" s="21" t="s">
        <v>52</v>
      </c>
      <c r="V1110" s="21" t="s">
        <v>52</v>
      </c>
      <c r="W1110" s="45">
        <v>46007.0</v>
      </c>
      <c r="X1110" s="49">
        <v>0.5104166666666666</v>
      </c>
      <c r="Y1110" s="45">
        <v>46007.0</v>
      </c>
      <c r="Z1110" s="49">
        <v>0.5256944444444445</v>
      </c>
      <c r="AA1110" s="49">
        <v>0.5263888888888889</v>
      </c>
      <c r="AB1110" s="29"/>
      <c r="AC1110" s="24" t="s">
        <v>829</v>
      </c>
      <c r="AD1110" s="25">
        <v>0.5409722222222222</v>
      </c>
      <c r="AE1110" s="45">
        <v>46007.0</v>
      </c>
      <c r="AF1110" s="21" t="s">
        <v>2931</v>
      </c>
      <c r="AG1110" s="21" t="s">
        <v>239</v>
      </c>
      <c r="AH1110" s="21" t="s">
        <v>8285</v>
      </c>
      <c r="AI1110" s="62" t="str">
        <f>IFERROR(__xludf.DUMMYFUNCTION("IF(OR(W1110="""",X1110="""",AE1110="""",AD1110=""""),"""",
   TEXT(
     (
       (AE1110+AD1110 + IF(AE1110+AD1110 &lt; W1110+X1110,1,0)) - (W1110+X1110)
     )
     - IF(AND(AB1110&lt;&gt;"""",AC1110&lt;&gt;""""), 
          SUM(ARRAYFORMULA(SPLIT(AC1110,"","") - SPLI"&amp;"T(AB1110,"",""))), 
          0
       ),
     ""[hh]:mm""
   )
)
"),"00:44")</f>
        <v>00:44</v>
      </c>
      <c r="AJ1110" s="27">
        <f t="shared" si="16"/>
        <v>0</v>
      </c>
      <c r="AK1110" s="63" t="str">
        <f t="shared" si="17"/>
        <v>Pass</v>
      </c>
    </row>
    <row r="1111">
      <c r="A1111" s="45">
        <v>46007.0</v>
      </c>
      <c r="B1111" s="49">
        <v>0.5979166666666667</v>
      </c>
      <c r="C1111" s="45">
        <v>46007.0</v>
      </c>
      <c r="D1111" s="49">
        <v>0.6006944444444444</v>
      </c>
      <c r="E1111" s="21" t="s">
        <v>8286</v>
      </c>
      <c r="F1111" s="21" t="s">
        <v>8287</v>
      </c>
      <c r="G1111" s="21" t="s">
        <v>8288</v>
      </c>
      <c r="H1111" s="21" t="s">
        <v>566</v>
      </c>
      <c r="I1111" s="21" t="s">
        <v>644</v>
      </c>
      <c r="J1111" s="21" t="s">
        <v>644</v>
      </c>
      <c r="K1111" s="21" t="s">
        <v>143</v>
      </c>
      <c r="L1111" s="21" t="s">
        <v>8289</v>
      </c>
      <c r="M1111" s="21" t="s">
        <v>8290</v>
      </c>
      <c r="N1111" s="21" t="s">
        <v>8291</v>
      </c>
      <c r="O1111" s="48" t="s">
        <v>8292</v>
      </c>
      <c r="P1111" s="21" t="s">
        <v>48</v>
      </c>
      <c r="Q1111" s="24" t="s">
        <v>65</v>
      </c>
      <c r="R1111" s="21" t="s">
        <v>8293</v>
      </c>
      <c r="S1111" s="21" t="s">
        <v>51</v>
      </c>
      <c r="T1111" s="21" t="s">
        <v>52</v>
      </c>
      <c r="U1111" s="21" t="s">
        <v>52</v>
      </c>
      <c r="V1111" s="21" t="s">
        <v>52</v>
      </c>
      <c r="W1111" s="45">
        <v>46007.0</v>
      </c>
      <c r="X1111" s="49">
        <v>0.6006944444444444</v>
      </c>
      <c r="Y1111" s="45">
        <v>46007.0</v>
      </c>
      <c r="Z1111" s="49">
        <v>0.7083333333333334</v>
      </c>
      <c r="AA1111" s="49">
        <v>0.7083333333333334</v>
      </c>
      <c r="AB1111" s="29"/>
      <c r="AC1111" s="29"/>
      <c r="AD1111" s="25">
        <v>0.7638888888888888</v>
      </c>
      <c r="AE1111" s="45">
        <v>46007.0</v>
      </c>
      <c r="AF1111" s="21" t="s">
        <v>2918</v>
      </c>
      <c r="AG1111" s="21" t="s">
        <v>7188</v>
      </c>
      <c r="AH1111" s="21" t="s">
        <v>8294</v>
      </c>
      <c r="AI1111" s="62" t="str">
        <f>IFERROR(__xludf.DUMMYFUNCTION("IF(OR(W1111="""",X1111="""",AE1111="""",AD1111=""""),"""",
   TEXT(
     (
       (AE1111+AD1111 + IF(AE1111+AD1111 &lt; W1111+X1111,1,0)) - (W1111+X1111)
     )
     - IF(AND(AB1111&lt;&gt;"""",AC1111&lt;&gt;""""), 
          SUM(ARRAYFORMULA(SPLIT(AC1111,"","") - SPLI"&amp;"T(AB1111,"",""))), 
          0
       ),
     ""[hh]:mm""
   )
)
"),"03:55")</f>
        <v>03:55</v>
      </c>
      <c r="AJ1111" s="27">
        <f t="shared" si="16"/>
        <v>0</v>
      </c>
      <c r="AK1111" s="63" t="str">
        <f t="shared" si="17"/>
        <v>Pass</v>
      </c>
    </row>
    <row r="1112">
      <c r="A1112" s="18">
        <v>46007.0</v>
      </c>
      <c r="B1112" s="20">
        <v>0.6111111111111112</v>
      </c>
      <c r="C1112" s="18">
        <v>46007.0</v>
      </c>
      <c r="D1112" s="20">
        <v>0.6111111111111112</v>
      </c>
      <c r="E1112" s="22" t="s">
        <v>8295</v>
      </c>
      <c r="F1112" s="22" t="s">
        <v>1210</v>
      </c>
      <c r="G1112" s="22" t="s">
        <v>1211</v>
      </c>
      <c r="H1112" s="22" t="s">
        <v>855</v>
      </c>
      <c r="I1112" s="22" t="s">
        <v>60</v>
      </c>
      <c r="J1112" s="22" t="s">
        <v>3813</v>
      </c>
      <c r="K1112" s="22" t="s">
        <v>61</v>
      </c>
      <c r="L1112" s="22" t="s">
        <v>183</v>
      </c>
      <c r="M1112" s="22" t="s">
        <v>8296</v>
      </c>
      <c r="N1112" s="22" t="s">
        <v>8297</v>
      </c>
      <c r="O1112" s="23" t="s">
        <v>8298</v>
      </c>
      <c r="P1112" s="22" t="s">
        <v>48</v>
      </c>
      <c r="Q1112" s="50" t="s">
        <v>65</v>
      </c>
      <c r="R1112" s="22" t="s">
        <v>8299</v>
      </c>
      <c r="S1112" s="22" t="s">
        <v>51</v>
      </c>
      <c r="T1112" s="22" t="s">
        <v>52</v>
      </c>
      <c r="U1112" s="22" t="s">
        <v>52</v>
      </c>
      <c r="V1112" s="22" t="s">
        <v>52</v>
      </c>
      <c r="W1112" s="18">
        <v>46007.0</v>
      </c>
      <c r="X1112" s="20">
        <v>0.6111111111111112</v>
      </c>
      <c r="Y1112" s="18">
        <v>46007.0</v>
      </c>
      <c r="Z1112" s="20">
        <v>0.6111111111111112</v>
      </c>
      <c r="AA1112" s="75">
        <v>0.7465277777777778</v>
      </c>
      <c r="AB1112" s="50" t="s">
        <v>8300</v>
      </c>
      <c r="AC1112" s="50" t="s">
        <v>8301</v>
      </c>
      <c r="AD1112" s="51">
        <v>0.8590277777777777</v>
      </c>
      <c r="AE1112" s="18">
        <v>46007.0</v>
      </c>
      <c r="AF1112" s="22" t="s">
        <v>33</v>
      </c>
      <c r="AG1112" s="22" t="s">
        <v>313</v>
      </c>
      <c r="AH1112" s="22" t="s">
        <v>8279</v>
      </c>
      <c r="AI1112" s="62" t="str">
        <f>IFERROR(__xludf.DUMMYFUNCTION("IF(OR(W1112="""",X1112="""",AE1112="""",AD1112=""""),"""",
   TEXT(
     (
       (AE1112+AD1112 + IF(AE1112+AD1112 &lt; W1112+X1112,1,0)) - (W1112+X1112)
     )
     - IF(AND(AB1112&lt;&gt;"""",AC1112&lt;&gt;""""), 
          SUM(ARRAYFORMULA(SPLIT(AC1112,"","") - SPLI"&amp;"T(AB1112,"",""))), 
          0
       ),
     ""[hh]:mm""
   )
)
"),"00:47")</f>
        <v>00:47</v>
      </c>
      <c r="AJ1112" s="27">
        <f t="shared" si="16"/>
        <v>0</v>
      </c>
      <c r="AK1112" s="63" t="str">
        <f t="shared" si="17"/>
        <v>Pass</v>
      </c>
    </row>
    <row r="1113">
      <c r="A1113" s="18">
        <v>46007.0</v>
      </c>
      <c r="B1113" s="20">
        <v>0.6131944444444445</v>
      </c>
      <c r="C1113" s="18">
        <v>46007.0</v>
      </c>
      <c r="D1113" s="20">
        <v>0.6354166666666666</v>
      </c>
      <c r="E1113" s="22" t="s">
        <v>8302</v>
      </c>
      <c r="F1113" s="22" t="s">
        <v>287</v>
      </c>
      <c r="G1113" s="22" t="s">
        <v>288</v>
      </c>
      <c r="H1113" s="22" t="s">
        <v>1610</v>
      </c>
      <c r="I1113" s="22" t="s">
        <v>1612</v>
      </c>
      <c r="J1113" s="22" t="s">
        <v>1612</v>
      </c>
      <c r="K1113" s="22" t="s">
        <v>143</v>
      </c>
      <c r="L1113" s="22" t="s">
        <v>1613</v>
      </c>
      <c r="M1113" s="22" t="s">
        <v>8303</v>
      </c>
      <c r="N1113" s="22" t="s">
        <v>8304</v>
      </c>
      <c r="O1113" s="23" t="s">
        <v>8305</v>
      </c>
      <c r="P1113" s="22" t="s">
        <v>187</v>
      </c>
      <c r="Q1113" s="50" t="s">
        <v>65</v>
      </c>
      <c r="R1113" s="22" t="s">
        <v>8306</v>
      </c>
      <c r="S1113" s="22" t="s">
        <v>51</v>
      </c>
      <c r="T1113" s="22" t="s">
        <v>52</v>
      </c>
      <c r="U1113" s="22" t="s">
        <v>52</v>
      </c>
      <c r="V1113" s="22" t="s">
        <v>52</v>
      </c>
      <c r="W1113" s="18">
        <v>46008.0</v>
      </c>
      <c r="X1113" s="20">
        <v>0.375</v>
      </c>
      <c r="Y1113" s="18">
        <v>46008.0</v>
      </c>
      <c r="Z1113" s="20">
        <v>0.4583333333333333</v>
      </c>
      <c r="AA1113" s="20">
        <v>0.4583333333333333</v>
      </c>
      <c r="AB1113" s="54"/>
      <c r="AC1113" s="54"/>
      <c r="AD1113" s="77">
        <v>0.6145833333333334</v>
      </c>
      <c r="AE1113" s="18">
        <v>46008.0</v>
      </c>
      <c r="AF1113" s="22" t="s">
        <v>2744</v>
      </c>
      <c r="AG1113" s="22" t="s">
        <v>293</v>
      </c>
      <c r="AH1113" s="22" t="s">
        <v>8307</v>
      </c>
      <c r="AI1113" s="26" t="str">
        <f>IFERROR(__xludf.DUMMYFUNCTION("IF(OR(W1113="""",X1113="""",AE1113="""",AD1113=""""),"""",
   TEXT(
     (
       (AE1113+AD1113 + IF(AE1113+AD1113 &lt; W1113+X1113,1,0)) - (W1113+X1113)
     )
     - IF(AND(AB1113&lt;&gt;"""",AC1113&lt;&gt;""""), 
          SUM(ARRAYFORMULA(SPLIT(AC1113,"","") - SPLI"&amp;"T(AB1113,"",""))), 
          0
       ),
     ""[hh]:mm""
   )
)
"),"05:45")</f>
        <v>05:45</v>
      </c>
      <c r="AJ1113" s="55">
        <f t="shared" si="16"/>
        <v>0</v>
      </c>
      <c r="AK1113" s="28" t="str">
        <f t="shared" si="17"/>
        <v>Pass</v>
      </c>
    </row>
    <row r="1114">
      <c r="A1114" s="45">
        <v>46007.0</v>
      </c>
      <c r="B1114" s="49">
        <v>0.6840277777777778</v>
      </c>
      <c r="C1114" s="45">
        <v>46007.0</v>
      </c>
      <c r="D1114" s="49">
        <v>0.6861111111111111</v>
      </c>
      <c r="E1114" s="21" t="s">
        <v>8308</v>
      </c>
      <c r="F1114" s="21" t="s">
        <v>7512</v>
      </c>
      <c r="G1114" s="21" t="s">
        <v>8309</v>
      </c>
      <c r="H1114" s="21" t="s">
        <v>1610</v>
      </c>
      <c r="I1114" s="21" t="s">
        <v>1612</v>
      </c>
      <c r="J1114" s="21" t="s">
        <v>1612</v>
      </c>
      <c r="K1114" s="21" t="s">
        <v>143</v>
      </c>
      <c r="L1114" s="21" t="s">
        <v>1613</v>
      </c>
      <c r="M1114" s="21" t="s">
        <v>8310</v>
      </c>
      <c r="N1114" s="21" t="s">
        <v>8311</v>
      </c>
      <c r="O1114" s="48" t="s">
        <v>8312</v>
      </c>
      <c r="P1114" s="21" t="s">
        <v>187</v>
      </c>
      <c r="Q1114" s="24" t="s">
        <v>65</v>
      </c>
      <c r="R1114" s="21" t="s">
        <v>8313</v>
      </c>
      <c r="S1114" s="21" t="s">
        <v>51</v>
      </c>
      <c r="T1114" s="21" t="s">
        <v>52</v>
      </c>
      <c r="U1114" s="21" t="s">
        <v>52</v>
      </c>
      <c r="V1114" s="21" t="s">
        <v>52</v>
      </c>
      <c r="W1114" s="45">
        <v>46008.0</v>
      </c>
      <c r="X1114" s="49">
        <v>0.375</v>
      </c>
      <c r="Y1114" s="45">
        <v>46008.0</v>
      </c>
      <c r="Z1114" s="49">
        <v>0.43125</v>
      </c>
      <c r="AA1114" s="49">
        <v>0.43472222222222223</v>
      </c>
      <c r="AB1114" s="29"/>
      <c r="AC1114" s="29"/>
      <c r="AD1114" s="25">
        <v>0.4791666666666667</v>
      </c>
      <c r="AE1114" s="45">
        <v>46008.0</v>
      </c>
      <c r="AF1114" s="21" t="s">
        <v>3358</v>
      </c>
      <c r="AG1114" s="21" t="s">
        <v>313</v>
      </c>
      <c r="AH1114" s="21" t="s">
        <v>8314</v>
      </c>
      <c r="AI1114" s="62" t="str">
        <f>IFERROR(__xludf.DUMMYFUNCTION("IF(OR(W1114="""",X1114="""",AE1114="""",AD1114=""""),"""",
   TEXT(
     (
       (AE1114+AD1114 + IF(AE1114+AD1114 &lt; W1114+X1114,1,0)) - (W1114+X1114)
     )
     - IF(AND(AB1114&lt;&gt;"""",AC1114&lt;&gt;""""), 
          SUM(ARRAYFORMULA(SPLIT(AC1114,"","") - SPLI"&amp;"T(AB1114,"",""))), 
          0
       ),
     ""[hh]:mm""
   )
)
"),"02:30")</f>
        <v>02:30</v>
      </c>
      <c r="AJ1114" s="27">
        <f t="shared" si="16"/>
        <v>0</v>
      </c>
      <c r="AK1114" s="63" t="str">
        <f t="shared" si="17"/>
        <v>Pass</v>
      </c>
    </row>
    <row r="1115">
      <c r="A1115" s="18">
        <v>46007.0</v>
      </c>
      <c r="B1115" s="49">
        <v>0.8034722222222223</v>
      </c>
      <c r="C1115" s="18">
        <v>46007.0</v>
      </c>
      <c r="D1115" s="49">
        <v>0.8340277777777778</v>
      </c>
      <c r="E1115" s="21" t="s">
        <v>8315</v>
      </c>
      <c r="F1115" s="21" t="s">
        <v>1276</v>
      </c>
      <c r="G1115" s="21" t="s">
        <v>1277</v>
      </c>
      <c r="H1115" s="21" t="s">
        <v>1610</v>
      </c>
      <c r="I1115" s="21" t="s">
        <v>1612</v>
      </c>
      <c r="J1115" s="21" t="s">
        <v>1612</v>
      </c>
      <c r="K1115" s="21" t="s">
        <v>143</v>
      </c>
      <c r="L1115" s="21" t="s">
        <v>1613</v>
      </c>
      <c r="M1115" s="21" t="s">
        <v>8316</v>
      </c>
      <c r="N1115" s="21" t="s">
        <v>8317</v>
      </c>
      <c r="O1115" s="48" t="s">
        <v>8318</v>
      </c>
      <c r="P1115" s="21" t="s">
        <v>187</v>
      </c>
      <c r="Q1115" s="24" t="s">
        <v>65</v>
      </c>
      <c r="R1115" s="21" t="s">
        <v>8319</v>
      </c>
      <c r="S1115" s="21" t="s">
        <v>51</v>
      </c>
      <c r="T1115" s="21" t="s">
        <v>52</v>
      </c>
      <c r="U1115" s="21" t="s">
        <v>52</v>
      </c>
      <c r="V1115" s="21" t="s">
        <v>52</v>
      </c>
      <c r="W1115" s="18">
        <v>46007.0</v>
      </c>
      <c r="X1115" s="49">
        <v>0.8340277777777778</v>
      </c>
      <c r="Y1115" s="18">
        <v>46007.0</v>
      </c>
      <c r="Z1115" s="49">
        <v>0.9715277777777778</v>
      </c>
      <c r="AA1115" s="49">
        <v>0.9729166666666667</v>
      </c>
      <c r="AB1115" s="29"/>
      <c r="AC1115" s="29"/>
      <c r="AD1115" s="25">
        <v>0.04513888888888889</v>
      </c>
      <c r="AE1115" s="18">
        <v>46008.0</v>
      </c>
      <c r="AF1115" s="21" t="s">
        <v>2839</v>
      </c>
      <c r="AG1115" s="21" t="s">
        <v>8320</v>
      </c>
      <c r="AH1115" s="21" t="s">
        <v>8321</v>
      </c>
      <c r="AI1115" s="62" t="str">
        <f>IFERROR(__xludf.DUMMYFUNCTION("IF(OR(W1115="""",X1115="""",AE1115="""",AD1115=""""),"""",
   TEXT(
     (
       (AE1115+AD1115 + IF(AE1115+AD1115 &lt; W1115+X1115,1,0)) - (W1115+X1115)
     )
     - IF(AND(AB1115&lt;&gt;"""",AC1115&lt;&gt;""""), 
          SUM(ARRAYFORMULA(SPLIT(AC1115,"","") - SPLI"&amp;"T(AB1115,"",""))), 
          0
       ),
     ""[hh]:mm""
   )
)
"),"05:04")</f>
        <v>05:04</v>
      </c>
      <c r="AJ1115" s="27">
        <f t="shared" si="16"/>
        <v>0</v>
      </c>
      <c r="AK1115" s="63" t="str">
        <f t="shared" si="17"/>
        <v>Pass</v>
      </c>
    </row>
    <row r="1116">
      <c r="A1116" s="18">
        <v>46007.0</v>
      </c>
      <c r="B1116" s="49">
        <v>0.8055555555555556</v>
      </c>
      <c r="C1116" s="18">
        <v>46007.0</v>
      </c>
      <c r="D1116" s="49">
        <v>0.8347222222222223</v>
      </c>
      <c r="E1116" s="21" t="s">
        <v>8322</v>
      </c>
      <c r="F1116" s="21" t="s">
        <v>1276</v>
      </c>
      <c r="G1116" s="21" t="s">
        <v>1277</v>
      </c>
      <c r="H1116" s="21" t="s">
        <v>1610</v>
      </c>
      <c r="I1116" s="21" t="s">
        <v>1612</v>
      </c>
      <c r="J1116" s="21" t="s">
        <v>1612</v>
      </c>
      <c r="K1116" s="21" t="s">
        <v>143</v>
      </c>
      <c r="L1116" s="21" t="s">
        <v>1613</v>
      </c>
      <c r="M1116" s="21" t="s">
        <v>8323</v>
      </c>
      <c r="N1116" s="21" t="s">
        <v>8317</v>
      </c>
      <c r="O1116" s="48" t="s">
        <v>8324</v>
      </c>
      <c r="P1116" s="21" t="s">
        <v>187</v>
      </c>
      <c r="Q1116" s="24" t="s">
        <v>65</v>
      </c>
      <c r="R1116" s="21" t="s">
        <v>8319</v>
      </c>
      <c r="S1116" s="21" t="s">
        <v>51</v>
      </c>
      <c r="T1116" s="21" t="s">
        <v>52</v>
      </c>
      <c r="U1116" s="21" t="s">
        <v>52</v>
      </c>
      <c r="V1116" s="21" t="s">
        <v>52</v>
      </c>
      <c r="W1116" s="18">
        <v>46007.0</v>
      </c>
      <c r="X1116" s="49">
        <v>0.8347222222222223</v>
      </c>
      <c r="Y1116" s="18">
        <v>46007.0</v>
      </c>
      <c r="Z1116" s="49">
        <v>0.9715277777777778</v>
      </c>
      <c r="AA1116" s="49">
        <v>0.9729166666666667</v>
      </c>
      <c r="AB1116" s="29"/>
      <c r="AC1116" s="29"/>
      <c r="AD1116" s="25">
        <v>0.04513888888888889</v>
      </c>
      <c r="AE1116" s="18">
        <v>46008.0</v>
      </c>
      <c r="AF1116" s="21" t="s">
        <v>2839</v>
      </c>
      <c r="AG1116" s="21" t="s">
        <v>8320</v>
      </c>
      <c r="AH1116" s="21" t="s">
        <v>8321</v>
      </c>
      <c r="AI1116" s="62" t="str">
        <f>IFERROR(__xludf.DUMMYFUNCTION("IF(OR(W1116="""",X1116="""",AE1116="""",AD1116=""""),"""",
   TEXT(
     (
       (AE1116+AD1116 + IF(AE1116+AD1116 &lt; W1116+X1116,1,0)) - (W1116+X1116)
     )
     - IF(AND(AB1116&lt;&gt;"""",AC1116&lt;&gt;""""), 
          SUM(ARRAYFORMULA(SPLIT(AC1116,"","") - SPLI"&amp;"T(AB1116,"",""))), 
          0
       ),
     ""[hh]:mm""
   )
)
"),"05:03")</f>
        <v>05:03</v>
      </c>
      <c r="AJ1116" s="27">
        <f t="shared" si="16"/>
        <v>0</v>
      </c>
      <c r="AK1116" s="63" t="str">
        <f t="shared" si="17"/>
        <v>Pass</v>
      </c>
    </row>
    <row r="1117">
      <c r="A1117" s="18">
        <v>46007.0</v>
      </c>
      <c r="B1117" s="49">
        <v>0.8097222222222222</v>
      </c>
      <c r="C1117" s="18">
        <v>46007.0</v>
      </c>
      <c r="D1117" s="49">
        <v>0.8375</v>
      </c>
      <c r="E1117" s="21" t="s">
        <v>8325</v>
      </c>
      <c r="F1117" s="21" t="s">
        <v>1276</v>
      </c>
      <c r="G1117" s="21" t="s">
        <v>1277</v>
      </c>
      <c r="H1117" s="21" t="s">
        <v>6041</v>
      </c>
      <c r="I1117" s="21" t="s">
        <v>131</v>
      </c>
      <c r="J1117" s="21" t="s">
        <v>2253</v>
      </c>
      <c r="K1117" s="21" t="s">
        <v>43</v>
      </c>
      <c r="L1117" s="21" t="s">
        <v>805</v>
      </c>
      <c r="M1117" s="21" t="s">
        <v>1279</v>
      </c>
      <c r="N1117" s="21" t="s">
        <v>8326</v>
      </c>
      <c r="O1117" s="48" t="s">
        <v>8327</v>
      </c>
      <c r="P1117" s="21" t="s">
        <v>75</v>
      </c>
      <c r="Q1117" s="24" t="s">
        <v>65</v>
      </c>
      <c r="R1117" s="102" t="s">
        <v>8224</v>
      </c>
      <c r="S1117" s="21" t="s">
        <v>51</v>
      </c>
      <c r="T1117" s="21" t="s">
        <v>6676</v>
      </c>
      <c r="U1117" s="21" t="s">
        <v>7716</v>
      </c>
      <c r="V1117" s="21" t="s">
        <v>1279</v>
      </c>
      <c r="W1117" s="18">
        <v>46007.0</v>
      </c>
      <c r="X1117" s="49">
        <v>0.8375</v>
      </c>
      <c r="Y1117" s="18">
        <v>46007.0</v>
      </c>
      <c r="Z1117" s="49">
        <v>0.9715277777777778</v>
      </c>
      <c r="AA1117" s="49">
        <v>0.9756944444444444</v>
      </c>
      <c r="AB1117" s="29"/>
      <c r="AC1117" s="29"/>
      <c r="AD1117" s="25">
        <v>0.0625</v>
      </c>
      <c r="AE1117" s="18">
        <v>46008.0</v>
      </c>
      <c r="AF1117" s="21" t="s">
        <v>2839</v>
      </c>
      <c r="AG1117" s="21" t="s">
        <v>1368</v>
      </c>
      <c r="AH1117" s="21" t="s">
        <v>8321</v>
      </c>
      <c r="AI1117" s="62" t="str">
        <f>IFERROR(__xludf.DUMMYFUNCTION("IF(OR(W1117="""",X1117="""",AE1117="""",AD1117=""""),"""",
   TEXT(
     (
       (AE1117+AD1117 + IF(AE1117+AD1117 &lt; W1117+X1117,1,0)) - (W1117+X1117)
     )
     - IF(AND(AB1117&lt;&gt;"""",AC1117&lt;&gt;""""), 
          SUM(ARRAYFORMULA(SPLIT(AC1117,"","") - SPLI"&amp;"T(AB1117,"",""))), 
          0
       ),
     ""[hh]:mm""
   )
)
"),"05:24")</f>
        <v>05:24</v>
      </c>
      <c r="AJ1117" s="27">
        <f t="shared" si="16"/>
        <v>0</v>
      </c>
      <c r="AK1117" s="63" t="str">
        <f t="shared" si="17"/>
        <v>Pass</v>
      </c>
    </row>
    <row r="1118">
      <c r="A1118" s="45">
        <v>46007.0</v>
      </c>
      <c r="B1118" s="49">
        <v>0.8819444444444444</v>
      </c>
      <c r="C1118" s="45">
        <v>46007.0</v>
      </c>
      <c r="D1118" s="49">
        <v>0.9020833333333333</v>
      </c>
      <c r="E1118" s="21" t="s">
        <v>8328</v>
      </c>
      <c r="F1118" s="21" t="s">
        <v>4196</v>
      </c>
      <c r="G1118" s="21" t="s">
        <v>8329</v>
      </c>
      <c r="H1118" s="21" t="s">
        <v>566</v>
      </c>
      <c r="I1118" s="21" t="s">
        <v>1612</v>
      </c>
      <c r="J1118" s="21" t="s">
        <v>1612</v>
      </c>
      <c r="K1118" s="21" t="s">
        <v>143</v>
      </c>
      <c r="L1118" s="21" t="s">
        <v>1613</v>
      </c>
      <c r="M1118" s="21" t="s">
        <v>8330</v>
      </c>
      <c r="N1118" s="21" t="s">
        <v>8331</v>
      </c>
      <c r="O1118" s="48" t="s">
        <v>8332</v>
      </c>
      <c r="P1118" s="21" t="s">
        <v>48</v>
      </c>
      <c r="Q1118" s="24" t="s">
        <v>65</v>
      </c>
      <c r="R1118" s="21" t="s">
        <v>8333</v>
      </c>
      <c r="S1118" s="21" t="s">
        <v>51</v>
      </c>
      <c r="T1118" s="21" t="s">
        <v>52</v>
      </c>
      <c r="U1118" s="21" t="s">
        <v>52</v>
      </c>
      <c r="V1118" s="21" t="s">
        <v>52</v>
      </c>
      <c r="W1118" s="45">
        <v>46008.0</v>
      </c>
      <c r="X1118" s="49">
        <v>0.375</v>
      </c>
      <c r="Y1118" s="45">
        <v>46008.0</v>
      </c>
      <c r="Z1118" s="49">
        <v>0.46875</v>
      </c>
      <c r="AA1118" s="49">
        <v>0.4895833333333333</v>
      </c>
      <c r="AB1118" s="25">
        <v>0.5</v>
      </c>
      <c r="AC1118" s="25">
        <v>0.5277777777777778</v>
      </c>
      <c r="AD1118" s="25">
        <v>0.53125</v>
      </c>
      <c r="AE1118" s="45">
        <v>46008.0</v>
      </c>
      <c r="AF1118" s="21" t="s">
        <v>3358</v>
      </c>
      <c r="AG1118" s="21" t="s">
        <v>78</v>
      </c>
      <c r="AH1118" s="21" t="s">
        <v>8334</v>
      </c>
      <c r="AI1118" s="62" t="str">
        <f>IFERROR(__xludf.DUMMYFUNCTION("IF(OR(W1118="""",X1118="""",AE1118="""",AD1118=""""),"""",
   TEXT(
     (
       (AE1118+AD1118 + IF(AE1118+AD1118 &lt; W1118+X1118,1,0)) - (W1118+X1118)
     )
     - IF(AND(AB1118&lt;&gt;"""",AC1118&lt;&gt;""""), 
          SUM(ARRAYFORMULA(SPLIT(AC1118,"","") - SPLI"&amp;"T(AB1118,"",""))), 
          0
       ),
     ""[hh]:mm""
   )
)
"),"03:05")</f>
        <v>03:05</v>
      </c>
      <c r="AJ1118" s="27">
        <f t="shared" si="16"/>
        <v>0</v>
      </c>
      <c r="AK1118" s="63" t="str">
        <f t="shared" si="17"/>
        <v>Pass</v>
      </c>
    </row>
    <row r="1119">
      <c r="A1119" s="45">
        <v>46008.0</v>
      </c>
      <c r="B1119" s="49">
        <v>0.05416666666666667</v>
      </c>
      <c r="C1119" s="45">
        <v>46008.0</v>
      </c>
      <c r="D1119" s="49">
        <v>0.3090277777777778</v>
      </c>
      <c r="E1119" s="21" t="s">
        <v>8335</v>
      </c>
      <c r="F1119" s="21" t="s">
        <v>8336</v>
      </c>
      <c r="G1119" s="21" t="s">
        <v>8337</v>
      </c>
      <c r="H1119" s="21" t="s">
        <v>156</v>
      </c>
      <c r="I1119" s="21" t="s">
        <v>131</v>
      </c>
      <c r="J1119" s="21" t="s">
        <v>2253</v>
      </c>
      <c r="K1119" s="21" t="s">
        <v>43</v>
      </c>
      <c r="L1119" s="21" t="s">
        <v>805</v>
      </c>
      <c r="M1119" s="21" t="s">
        <v>8338</v>
      </c>
      <c r="N1119" s="21" t="s">
        <v>8339</v>
      </c>
      <c r="O1119" s="48" t="s">
        <v>8340</v>
      </c>
      <c r="P1119" s="21" t="s">
        <v>75</v>
      </c>
      <c r="Q1119" s="24" t="s">
        <v>65</v>
      </c>
      <c r="R1119" s="21" t="s">
        <v>8341</v>
      </c>
      <c r="S1119" s="21" t="s">
        <v>51</v>
      </c>
      <c r="T1119" s="21" t="s">
        <v>52</v>
      </c>
      <c r="U1119" s="21" t="s">
        <v>52</v>
      </c>
      <c r="V1119" s="21" t="s">
        <v>52</v>
      </c>
      <c r="W1119" s="45">
        <v>46008.0</v>
      </c>
      <c r="X1119" s="49">
        <v>0.3090277777777778</v>
      </c>
      <c r="Y1119" s="45">
        <v>46008.0</v>
      </c>
      <c r="Z1119" s="49">
        <v>0.4173611111111111</v>
      </c>
      <c r="AA1119" s="49">
        <v>0.41805555555555557</v>
      </c>
      <c r="AB1119" s="29"/>
      <c r="AC1119" s="29"/>
      <c r="AD1119" s="25">
        <v>0.4354166666666667</v>
      </c>
      <c r="AE1119" s="45">
        <v>46008.0</v>
      </c>
      <c r="AF1119" s="21" t="s">
        <v>2839</v>
      </c>
      <c r="AG1119" s="21" t="s">
        <v>8342</v>
      </c>
      <c r="AH1119" s="21" t="s">
        <v>8343</v>
      </c>
      <c r="AI1119" s="62" t="str">
        <f>IFERROR(__xludf.DUMMYFUNCTION("IF(OR(W1119="""",X1119="""",AE1119="""",AD1119=""""),"""",
   TEXT(
     (
       (AE1119+AD1119 + IF(AE1119+AD1119 &lt; W1119+X1119,1,0)) - (W1119+X1119)
     )
     - IF(AND(AB1119&lt;&gt;"""",AC1119&lt;&gt;""""), 
          SUM(ARRAYFORMULA(SPLIT(AC1119,"","") - SPLI"&amp;"T(AB1119,"",""))), 
          0
       ),
     ""[hh]:mm""
   )
)
"),"03:02")</f>
        <v>03:02</v>
      </c>
      <c r="AJ1119" s="27">
        <f t="shared" si="16"/>
        <v>0</v>
      </c>
      <c r="AK1119" s="63" t="str">
        <f t="shared" si="17"/>
        <v>Pass</v>
      </c>
    </row>
    <row r="1120">
      <c r="A1120" s="18">
        <v>46008.0</v>
      </c>
      <c r="B1120" s="20">
        <v>0.3076388888888889</v>
      </c>
      <c r="C1120" s="18">
        <v>46008.0</v>
      </c>
      <c r="D1120" s="20">
        <v>0.3111111111111111</v>
      </c>
      <c r="E1120" s="22" t="s">
        <v>8344</v>
      </c>
      <c r="F1120" s="22" t="s">
        <v>8345</v>
      </c>
      <c r="G1120" s="22" t="s">
        <v>8346</v>
      </c>
      <c r="H1120" s="22" t="s">
        <v>1610</v>
      </c>
      <c r="I1120" s="22" t="s">
        <v>1612</v>
      </c>
      <c r="J1120" s="22" t="s">
        <v>1612</v>
      </c>
      <c r="K1120" s="22" t="s">
        <v>143</v>
      </c>
      <c r="L1120" s="22" t="s">
        <v>1613</v>
      </c>
      <c r="M1120" s="22" t="s">
        <v>8347</v>
      </c>
      <c r="N1120" s="22" t="s">
        <v>8348</v>
      </c>
      <c r="O1120" s="23" t="s">
        <v>8349</v>
      </c>
      <c r="P1120" s="22" t="s">
        <v>187</v>
      </c>
      <c r="Q1120" s="50" t="s">
        <v>65</v>
      </c>
      <c r="R1120" s="22" t="s">
        <v>5822</v>
      </c>
      <c r="S1120" s="22" t="s">
        <v>51</v>
      </c>
      <c r="T1120" s="22" t="s">
        <v>52</v>
      </c>
      <c r="U1120" s="22" t="s">
        <v>52</v>
      </c>
      <c r="V1120" s="22" t="s">
        <v>52</v>
      </c>
      <c r="W1120" s="18">
        <v>46008.0</v>
      </c>
      <c r="X1120" s="20">
        <v>0.3111111111111111</v>
      </c>
      <c r="Y1120" s="18">
        <v>46008.0</v>
      </c>
      <c r="Z1120" s="20">
        <v>0.5993055555555555</v>
      </c>
      <c r="AA1120" s="20">
        <v>0.6</v>
      </c>
      <c r="AB1120" s="54"/>
      <c r="AC1120" s="54"/>
      <c r="AD1120" s="51">
        <v>0.7083333333333334</v>
      </c>
      <c r="AE1120" s="18">
        <v>46008.0</v>
      </c>
      <c r="AF1120" s="22" t="s">
        <v>2744</v>
      </c>
      <c r="AG1120" s="22" t="s">
        <v>5541</v>
      </c>
      <c r="AH1120" s="22" t="s">
        <v>8350</v>
      </c>
      <c r="AI1120" s="26" t="str">
        <f>IFERROR(__xludf.DUMMYFUNCTION("IF(OR(W1120="""",X1120="""",AE1120="""",AD1120=""""),"""",
   TEXT(
     (
       (AE1120+AD1120 + IF(AE1120+AD1120 &lt; W1120+X1120,1,0)) - (W1120+X1120)
     )
     - IF(AND(AB1120&lt;&gt;"""",AC1120&lt;&gt;""""), 
          SUM(ARRAYFORMULA(SPLIT(AC1120,"","") - SPLI"&amp;"T(AB1120,"",""))), 
          0
       ),
     ""[hh]:mm""
   )
)
"),"09:32")</f>
        <v>09:32</v>
      </c>
      <c r="AJ1120" s="55">
        <f t="shared" si="16"/>
        <v>0</v>
      </c>
      <c r="AK1120" s="28" t="str">
        <f t="shared" si="17"/>
        <v>Pass</v>
      </c>
    </row>
    <row r="1121">
      <c r="A1121" s="18">
        <v>46008.0</v>
      </c>
      <c r="B1121" s="20">
        <v>0.3402777777777778</v>
      </c>
      <c r="C1121" s="18">
        <v>46008.0</v>
      </c>
      <c r="D1121" s="20">
        <v>0.3416666666666667</v>
      </c>
      <c r="E1121" s="22" t="s">
        <v>8351</v>
      </c>
      <c r="F1121" s="22" t="s">
        <v>4616</v>
      </c>
      <c r="G1121" s="22" t="s">
        <v>4617</v>
      </c>
      <c r="H1121" s="22" t="s">
        <v>1610</v>
      </c>
      <c r="I1121" s="22" t="s">
        <v>1612</v>
      </c>
      <c r="J1121" s="22" t="s">
        <v>1612</v>
      </c>
      <c r="K1121" s="22" t="s">
        <v>143</v>
      </c>
      <c r="L1121" s="22" t="s">
        <v>1613</v>
      </c>
      <c r="M1121" s="22" t="s">
        <v>8352</v>
      </c>
      <c r="N1121" s="22" t="s">
        <v>5367</v>
      </c>
      <c r="O1121" s="23" t="s">
        <v>8353</v>
      </c>
      <c r="P1121" s="22" t="s">
        <v>187</v>
      </c>
      <c r="Q1121" s="50" t="s">
        <v>65</v>
      </c>
      <c r="R1121" s="22" t="s">
        <v>5822</v>
      </c>
      <c r="S1121" s="22" t="s">
        <v>51</v>
      </c>
      <c r="T1121" s="22" t="s">
        <v>52</v>
      </c>
      <c r="U1121" s="22" t="s">
        <v>52</v>
      </c>
      <c r="V1121" s="22" t="s">
        <v>52</v>
      </c>
      <c r="W1121" s="18">
        <v>46008.0</v>
      </c>
      <c r="X1121" s="20">
        <v>0.3416666666666667</v>
      </c>
      <c r="Y1121" s="18">
        <v>46008.0</v>
      </c>
      <c r="Z1121" s="20">
        <v>0.41944444444444445</v>
      </c>
      <c r="AA1121" s="20">
        <v>0.4236111111111111</v>
      </c>
      <c r="AB1121" s="51">
        <v>0.5416666666666666</v>
      </c>
      <c r="AC1121" s="51">
        <v>0.7118055555555556</v>
      </c>
      <c r="AD1121" s="51">
        <v>0.7152777777777778</v>
      </c>
      <c r="AE1121" s="18">
        <v>46008.0</v>
      </c>
      <c r="AF1121" s="22" t="s">
        <v>2828</v>
      </c>
      <c r="AG1121" s="107" t="s">
        <v>102</v>
      </c>
      <c r="AH1121" s="107" t="s">
        <v>8354</v>
      </c>
      <c r="AI1121" s="26" t="str">
        <f>IFERROR(__xludf.DUMMYFUNCTION("IF(OR(W1121="""",X1121="""",AE1121="""",AD1121=""""),"""",
   TEXT(
     (
       (AE1121+AD1121 + IF(AE1121+AD1121 &lt; W1121+X1121,1,0)) - (W1121+X1121)
     )
     - IF(AND(AB1121&lt;&gt;"""",AC1121&lt;&gt;""""), 
          SUM(ARRAYFORMULA(SPLIT(AC1121,"","") - SPLI"&amp;"T(AB1121,"",""))), 
          0
       ),
     ""[hh]:mm""
   )
)
"),"04:53")</f>
        <v>04:53</v>
      </c>
      <c r="AJ1121" s="55">
        <f t="shared" si="16"/>
        <v>0</v>
      </c>
      <c r="AK1121" s="28" t="str">
        <f t="shared" si="17"/>
        <v>Pass</v>
      </c>
    </row>
    <row r="1122">
      <c r="A1122" s="18">
        <v>46008.0</v>
      </c>
      <c r="B1122" s="20">
        <v>0.3402777777777778</v>
      </c>
      <c r="C1122" s="18">
        <v>46008.0</v>
      </c>
      <c r="D1122" s="20">
        <v>0.3416666666666667</v>
      </c>
      <c r="E1122" s="22" t="s">
        <v>8355</v>
      </c>
      <c r="F1122" s="22" t="s">
        <v>4616</v>
      </c>
      <c r="G1122" s="22" t="s">
        <v>4617</v>
      </c>
      <c r="H1122" s="22" t="s">
        <v>1610</v>
      </c>
      <c r="I1122" s="22" t="s">
        <v>1612</v>
      </c>
      <c r="J1122" s="22" t="s">
        <v>1612</v>
      </c>
      <c r="K1122" s="22" t="s">
        <v>143</v>
      </c>
      <c r="L1122" s="22" t="s">
        <v>1613</v>
      </c>
      <c r="M1122" s="22" t="s">
        <v>8356</v>
      </c>
      <c r="N1122" s="22" t="s">
        <v>5367</v>
      </c>
      <c r="O1122" s="23" t="s">
        <v>8353</v>
      </c>
      <c r="P1122" s="22" t="s">
        <v>187</v>
      </c>
      <c r="Q1122" s="50" t="s">
        <v>65</v>
      </c>
      <c r="R1122" s="22" t="s">
        <v>5822</v>
      </c>
      <c r="S1122" s="22" t="s">
        <v>51</v>
      </c>
      <c r="T1122" s="22" t="s">
        <v>52</v>
      </c>
      <c r="U1122" s="22" t="s">
        <v>52</v>
      </c>
      <c r="V1122" s="22" t="s">
        <v>52</v>
      </c>
      <c r="W1122" s="18">
        <v>46008.0</v>
      </c>
      <c r="X1122" s="20">
        <v>0.3416666666666667</v>
      </c>
      <c r="Y1122" s="18">
        <v>46008.0</v>
      </c>
      <c r="Z1122" s="20">
        <v>0.41944444444444445</v>
      </c>
      <c r="AA1122" s="20">
        <v>0.4236111111111111</v>
      </c>
      <c r="AB1122" s="51">
        <v>0.5416666666666666</v>
      </c>
      <c r="AC1122" s="51">
        <v>0.7118055555555556</v>
      </c>
      <c r="AD1122" s="51">
        <v>0.7152777777777778</v>
      </c>
      <c r="AE1122" s="18">
        <v>46008.0</v>
      </c>
      <c r="AF1122" s="22" t="s">
        <v>2828</v>
      </c>
      <c r="AG1122" s="22" t="s">
        <v>102</v>
      </c>
      <c r="AH1122" s="22" t="s">
        <v>8354</v>
      </c>
      <c r="AI1122" s="26" t="str">
        <f>IFERROR(__xludf.DUMMYFUNCTION("IF(OR(W1122="""",X1122="""",AE1122="""",AD1122=""""),"""",
   TEXT(
     (
       (AE1122+AD1122 + IF(AE1122+AD1122 &lt; W1122+X1122,1,0)) - (W1122+X1122)
     )
     - IF(AND(AB1122&lt;&gt;"""",AC1122&lt;&gt;""""), 
          SUM(ARRAYFORMULA(SPLIT(AC1122,"","") - SPLI"&amp;"T(AB1122,"",""))), 
          0
       ),
     ""[hh]:mm""
   )
)
"),"04:53")</f>
        <v>04:53</v>
      </c>
      <c r="AJ1122" s="55">
        <f t="shared" si="16"/>
        <v>0</v>
      </c>
      <c r="AK1122" s="28" t="str">
        <f t="shared" si="17"/>
        <v>Pass</v>
      </c>
    </row>
    <row r="1123">
      <c r="A1123" s="45">
        <v>46006.0</v>
      </c>
      <c r="B1123" s="49">
        <v>0.4361111111111111</v>
      </c>
      <c r="C1123" s="45">
        <v>46006.0</v>
      </c>
      <c r="D1123" s="49">
        <v>0.44375</v>
      </c>
      <c r="E1123" s="21" t="s">
        <v>8169</v>
      </c>
      <c r="F1123" s="21" t="s">
        <v>8170</v>
      </c>
      <c r="G1123" s="21" t="s">
        <v>8171</v>
      </c>
      <c r="H1123" s="21" t="s">
        <v>156</v>
      </c>
      <c r="I1123" s="21" t="s">
        <v>616</v>
      </c>
      <c r="J1123" s="21" t="s">
        <v>2253</v>
      </c>
      <c r="K1123" s="21" t="s">
        <v>43</v>
      </c>
      <c r="L1123" s="21" t="s">
        <v>617</v>
      </c>
      <c r="M1123" s="21" t="s">
        <v>8172</v>
      </c>
      <c r="N1123" s="21" t="s">
        <v>8357</v>
      </c>
      <c r="O1123" s="48" t="s">
        <v>8358</v>
      </c>
      <c r="P1123" s="21" t="s">
        <v>75</v>
      </c>
      <c r="Q1123" s="24" t="s">
        <v>65</v>
      </c>
      <c r="R1123" s="21" t="s">
        <v>8359</v>
      </c>
      <c r="S1123" s="21" t="s">
        <v>51</v>
      </c>
      <c r="T1123" s="21" t="s">
        <v>6676</v>
      </c>
      <c r="U1123" s="21" t="s">
        <v>8360</v>
      </c>
      <c r="V1123" s="21" t="s">
        <v>8172</v>
      </c>
      <c r="W1123" s="45">
        <v>46008.0</v>
      </c>
      <c r="X1123" s="49">
        <v>0.3333333333333333</v>
      </c>
      <c r="Y1123" s="45">
        <v>46008.0</v>
      </c>
      <c r="Z1123" s="49">
        <v>0.3416666666666667</v>
      </c>
      <c r="AA1123" s="49">
        <v>0.3472222222222222</v>
      </c>
      <c r="AB1123" s="29"/>
      <c r="AC1123" s="29"/>
      <c r="AD1123" s="25">
        <v>0.3854166666666667</v>
      </c>
      <c r="AE1123" s="45">
        <v>46008.0</v>
      </c>
      <c r="AF1123" s="21" t="s">
        <v>8361</v>
      </c>
      <c r="AG1123" s="21" t="s">
        <v>583</v>
      </c>
      <c r="AH1123" s="21" t="s">
        <v>8362</v>
      </c>
      <c r="AI1123" s="62" t="str">
        <f>IFERROR(__xludf.DUMMYFUNCTION("IF(OR(W1123="""",X1123="""",AE1123="""",AD1123=""""),"""",
   TEXT(
     (
       (AE1123+AD1123 + IF(AE1123+AD1123 &lt; W1123+X1123,1,0)) - (W1123+X1123)
     )
     - IF(AND(AB1123&lt;&gt;"""",AC1123&lt;&gt;""""), 
          SUM(ARRAYFORMULA(SPLIT(AC1123,"","") - SPLI"&amp;"T(AB1123,"",""))), 
          0
       ),
     ""[hh]:mm""
   )
)
"),"01:15")</f>
        <v>01:15</v>
      </c>
      <c r="AJ1123" s="27">
        <f t="shared" si="16"/>
        <v>0</v>
      </c>
      <c r="AK1123" s="63" t="str">
        <f t="shared" si="17"/>
        <v>Pass</v>
      </c>
    </row>
    <row r="1124">
      <c r="A1124" s="18">
        <v>46008.0</v>
      </c>
      <c r="B1124" s="20">
        <v>0.41805555555555557</v>
      </c>
      <c r="C1124" s="18">
        <v>46008.0</v>
      </c>
      <c r="D1124" s="20">
        <v>0.4284722222222222</v>
      </c>
      <c r="E1124" s="22" t="s">
        <v>8363</v>
      </c>
      <c r="F1124" s="22" t="s">
        <v>8364</v>
      </c>
      <c r="G1124" s="22" t="s">
        <v>8365</v>
      </c>
      <c r="H1124" s="22" t="s">
        <v>1610</v>
      </c>
      <c r="I1124" s="22" t="s">
        <v>1612</v>
      </c>
      <c r="J1124" s="22" t="s">
        <v>1612</v>
      </c>
      <c r="K1124" s="22" t="s">
        <v>143</v>
      </c>
      <c r="L1124" s="22" t="s">
        <v>1613</v>
      </c>
      <c r="M1124" s="22" t="s">
        <v>8366</v>
      </c>
      <c r="N1124" s="22" t="s">
        <v>8367</v>
      </c>
      <c r="O1124" s="23" t="s">
        <v>8368</v>
      </c>
      <c r="P1124" s="22" t="s">
        <v>187</v>
      </c>
      <c r="Q1124" s="50" t="s">
        <v>65</v>
      </c>
      <c r="R1124" s="22" t="s">
        <v>5822</v>
      </c>
      <c r="S1124" s="22" t="s">
        <v>51</v>
      </c>
      <c r="T1124" s="22" t="s">
        <v>52</v>
      </c>
      <c r="U1124" s="22" t="s">
        <v>52</v>
      </c>
      <c r="V1124" s="22" t="s">
        <v>52</v>
      </c>
      <c r="W1124" s="18">
        <v>46008.0</v>
      </c>
      <c r="X1124" s="20">
        <v>0.4284722222222222</v>
      </c>
      <c r="Y1124" s="18">
        <v>46008.0</v>
      </c>
      <c r="Z1124" s="20">
        <v>0.6111111111111112</v>
      </c>
      <c r="AA1124" s="20">
        <v>0.6118055555555556</v>
      </c>
      <c r="AB1124" s="54"/>
      <c r="AC1124" s="54"/>
      <c r="AD1124" s="51">
        <v>0.7916666666666666</v>
      </c>
      <c r="AE1124" s="18">
        <v>46008.0</v>
      </c>
      <c r="AF1124" s="22" t="s">
        <v>2744</v>
      </c>
      <c r="AG1124" s="22" t="s">
        <v>1475</v>
      </c>
      <c r="AH1124" s="22" t="s">
        <v>8369</v>
      </c>
      <c r="AI1124" s="26" t="str">
        <f>IFERROR(__xludf.DUMMYFUNCTION("IF(OR(W1124="""",X1124="""",AE1124="""",AD1124=""""),"""",
   TEXT(
     (
       (AE1124+AD1124 + IF(AE1124+AD1124 &lt; W1124+X1124,1,0)) - (W1124+X1124)
     )
     - IF(AND(AB1124&lt;&gt;"""",AC1124&lt;&gt;""""), 
          SUM(ARRAYFORMULA(SPLIT(AC1124,"","") - SPLI"&amp;"T(AB1124,"",""))), 
          0
       ),
     ""[hh]:mm""
   )
)
"),"08:43")</f>
        <v>08:43</v>
      </c>
      <c r="AJ1124" s="55">
        <f t="shared" si="16"/>
        <v>0</v>
      </c>
      <c r="AK1124" s="28" t="str">
        <f t="shared" si="17"/>
        <v>Pass</v>
      </c>
    </row>
    <row r="1125">
      <c r="A1125" s="18">
        <v>46008.0</v>
      </c>
      <c r="B1125" s="20">
        <v>0.4201388888888889</v>
      </c>
      <c r="C1125" s="18">
        <v>46008.0</v>
      </c>
      <c r="D1125" s="20">
        <v>0.4340277777777778</v>
      </c>
      <c r="E1125" s="22" t="s">
        <v>8370</v>
      </c>
      <c r="F1125" s="22" t="s">
        <v>8364</v>
      </c>
      <c r="G1125" s="22" t="s">
        <v>8365</v>
      </c>
      <c r="H1125" s="22" t="s">
        <v>6041</v>
      </c>
      <c r="I1125" s="22" t="s">
        <v>131</v>
      </c>
      <c r="J1125" s="22" t="s">
        <v>2253</v>
      </c>
      <c r="K1125" s="22" t="s">
        <v>43</v>
      </c>
      <c r="L1125" s="22" t="s">
        <v>617</v>
      </c>
      <c r="M1125" s="22" t="s">
        <v>8371</v>
      </c>
      <c r="N1125" s="22" t="s">
        <v>8372</v>
      </c>
      <c r="O1125" s="23" t="s">
        <v>8373</v>
      </c>
      <c r="P1125" s="22" t="s">
        <v>75</v>
      </c>
      <c r="Q1125" s="50" t="s">
        <v>65</v>
      </c>
      <c r="R1125" s="102" t="s">
        <v>8224</v>
      </c>
      <c r="S1125" s="22" t="s">
        <v>51</v>
      </c>
      <c r="T1125" s="22" t="s">
        <v>6676</v>
      </c>
      <c r="U1125" s="22" t="s">
        <v>8374</v>
      </c>
      <c r="V1125" s="22" t="s">
        <v>8371</v>
      </c>
      <c r="W1125" s="18">
        <v>46008.0</v>
      </c>
      <c r="X1125" s="20">
        <v>0.4340277777777778</v>
      </c>
      <c r="Y1125" s="18">
        <v>46008.0</v>
      </c>
      <c r="Z1125" s="20">
        <v>0.6111111111111112</v>
      </c>
      <c r="AA1125" s="20">
        <v>0.6118055555555556</v>
      </c>
      <c r="AB1125" s="54"/>
      <c r="AC1125" s="54"/>
      <c r="AD1125" s="51">
        <v>0.7916666666666666</v>
      </c>
      <c r="AE1125" s="18">
        <v>46008.0</v>
      </c>
      <c r="AF1125" s="22" t="s">
        <v>2744</v>
      </c>
      <c r="AG1125" s="22" t="s">
        <v>1475</v>
      </c>
      <c r="AH1125" s="22" t="s">
        <v>8369</v>
      </c>
      <c r="AI1125" s="26" t="str">
        <f>IFERROR(__xludf.DUMMYFUNCTION("IF(OR(W1125="""",X1125="""",AE1125="""",AD1125=""""),"""",
   TEXT(
     (
       (AE1125+AD1125 + IF(AE1125+AD1125 &lt; W1125+X1125,1,0)) - (W1125+X1125)
     )
     - IF(AND(AB1125&lt;&gt;"""",AC1125&lt;&gt;""""), 
          SUM(ARRAYFORMULA(SPLIT(AC1125,"","") - SPLI"&amp;"T(AB1125,"",""))), 
          0
       ),
     ""[hh]:mm""
   )
)
"),"08:35")</f>
        <v>08:35</v>
      </c>
      <c r="AJ1125" s="55">
        <f t="shared" si="16"/>
        <v>0</v>
      </c>
      <c r="AK1125" s="28" t="str">
        <f t="shared" si="17"/>
        <v>Pass</v>
      </c>
    </row>
    <row r="1126">
      <c r="A1126" s="18">
        <v>46008.0</v>
      </c>
      <c r="B1126" s="20">
        <v>0.5354166666666667</v>
      </c>
      <c r="C1126" s="18">
        <v>46008.0</v>
      </c>
      <c r="D1126" s="20">
        <v>0.5506944444444445</v>
      </c>
      <c r="E1126" s="22" t="s">
        <v>8375</v>
      </c>
      <c r="F1126" s="22" t="s">
        <v>7955</v>
      </c>
      <c r="G1126" s="22" t="s">
        <v>7956</v>
      </c>
      <c r="H1126" s="22" t="s">
        <v>253</v>
      </c>
      <c r="I1126" s="22" t="s">
        <v>951</v>
      </c>
      <c r="J1126" s="22" t="s">
        <v>951</v>
      </c>
      <c r="K1126" s="22" t="s">
        <v>52</v>
      </c>
      <c r="L1126" s="22" t="s">
        <v>52</v>
      </c>
      <c r="M1126" s="22" t="s">
        <v>52</v>
      </c>
      <c r="N1126" s="22" t="s">
        <v>8376</v>
      </c>
      <c r="O1126" s="23" t="s">
        <v>8377</v>
      </c>
      <c r="P1126" s="22" t="s">
        <v>187</v>
      </c>
      <c r="Q1126" s="50" t="s">
        <v>65</v>
      </c>
      <c r="R1126" s="22" t="s">
        <v>8378</v>
      </c>
      <c r="S1126" s="22" t="s">
        <v>51</v>
      </c>
      <c r="T1126" s="22" t="s">
        <v>52</v>
      </c>
      <c r="U1126" s="22" t="s">
        <v>52</v>
      </c>
      <c r="V1126" s="22" t="s">
        <v>52</v>
      </c>
      <c r="W1126" s="18">
        <v>46008.0</v>
      </c>
      <c r="X1126" s="20">
        <v>0.6041666666666666</v>
      </c>
      <c r="Y1126" s="18">
        <v>46008.0</v>
      </c>
      <c r="Z1126" s="20">
        <v>0.6006944444444444</v>
      </c>
      <c r="AA1126" s="20">
        <v>0.6041666666666666</v>
      </c>
      <c r="AB1126" s="54"/>
      <c r="AC1126" s="54"/>
      <c r="AD1126" s="51">
        <v>0.625</v>
      </c>
      <c r="AE1126" s="18">
        <v>46008.0</v>
      </c>
      <c r="AF1126" s="22" t="s">
        <v>2744</v>
      </c>
      <c r="AG1126" s="22" t="s">
        <v>2086</v>
      </c>
      <c r="AH1126" s="22" t="s">
        <v>8379</v>
      </c>
      <c r="AI1126" s="26" t="str">
        <f>IFERROR(__xludf.DUMMYFUNCTION("IF(OR(W1126="""",X1126="""",AE1126="""",AD1126=""""),"""",
   TEXT(
     (
       (AE1126+AD1126 + IF(AE1126+AD1126 &lt; W1126+X1126,1,0)) - (W1126+X1126)
     )
     - IF(AND(AB1126&lt;&gt;"""",AC1126&lt;&gt;""""), 
          SUM(ARRAYFORMULA(SPLIT(AC1126,"","") - SPLI"&amp;"T(AB1126,"",""))), 
          0
       ),
     ""[hh]:mm""
   )
)
"),"00:30")</f>
        <v>00:30</v>
      </c>
      <c r="AJ1126" s="55">
        <f t="shared" si="16"/>
        <v>0</v>
      </c>
      <c r="AK1126" s="28" t="str">
        <f t="shared" si="17"/>
        <v>Pass</v>
      </c>
    </row>
    <row r="1127">
      <c r="A1127" s="45">
        <v>46008.0</v>
      </c>
      <c r="B1127" s="49">
        <v>0.43819444444444444</v>
      </c>
      <c r="C1127" s="45">
        <v>46008.0</v>
      </c>
      <c r="D1127" s="49">
        <v>0.43819444444444444</v>
      </c>
      <c r="E1127" s="21" t="s">
        <v>8380</v>
      </c>
      <c r="F1127" s="21" t="s">
        <v>7512</v>
      </c>
      <c r="G1127" s="21" t="s">
        <v>8309</v>
      </c>
      <c r="H1127" s="21" t="s">
        <v>1610</v>
      </c>
      <c r="I1127" s="21" t="s">
        <v>1612</v>
      </c>
      <c r="J1127" s="21" t="s">
        <v>1612</v>
      </c>
      <c r="K1127" s="21" t="s">
        <v>143</v>
      </c>
      <c r="L1127" s="21" t="s">
        <v>1613</v>
      </c>
      <c r="M1127" s="21" t="s">
        <v>8381</v>
      </c>
      <c r="N1127" s="21" t="s">
        <v>8382</v>
      </c>
      <c r="O1127" s="48" t="s">
        <v>8383</v>
      </c>
      <c r="P1127" s="21" t="s">
        <v>187</v>
      </c>
      <c r="Q1127" s="24" t="s">
        <v>65</v>
      </c>
      <c r="R1127" s="21" t="s">
        <v>8313</v>
      </c>
      <c r="S1127" s="21" t="s">
        <v>51</v>
      </c>
      <c r="T1127" s="21" t="s">
        <v>52</v>
      </c>
      <c r="U1127" s="21" t="s">
        <v>52</v>
      </c>
      <c r="V1127" s="21" t="s">
        <v>52</v>
      </c>
      <c r="W1127" s="45">
        <v>46008.0</v>
      </c>
      <c r="X1127" s="49">
        <v>0.43125</v>
      </c>
      <c r="Y1127" s="45">
        <v>46008.0</v>
      </c>
      <c r="Z1127" s="49">
        <v>0.43125</v>
      </c>
      <c r="AA1127" s="49">
        <v>0.43472222222222223</v>
      </c>
      <c r="AB1127" s="29"/>
      <c r="AC1127" s="29"/>
      <c r="AD1127" s="25">
        <v>0.4791666666666667</v>
      </c>
      <c r="AE1127" s="45">
        <v>46008.0</v>
      </c>
      <c r="AF1127" s="21" t="s">
        <v>8384</v>
      </c>
      <c r="AG1127" s="21" t="s">
        <v>313</v>
      </c>
      <c r="AH1127" s="21" t="s">
        <v>8314</v>
      </c>
      <c r="AI1127" s="62" t="str">
        <f>IFERROR(__xludf.DUMMYFUNCTION("IF(OR(W1127="""",X1127="""",AE1127="""",AD1127=""""),"""",
   TEXT(
     (
       (AE1127+AD1127 + IF(AE1127+AD1127 &lt; W1127+X1127,1,0)) - (W1127+X1127)
     )
     - IF(AND(AB1127&lt;&gt;"""",AC1127&lt;&gt;""""), 
          SUM(ARRAYFORMULA(SPLIT(AC1127,"","") - SPLI"&amp;"T(AB1127,"",""))), 
          0
       ),
     ""[hh]:mm""
   )
)
"),"01:09")</f>
        <v>01:09</v>
      </c>
      <c r="AJ1127" s="27">
        <f t="shared" si="16"/>
        <v>0</v>
      </c>
      <c r="AK1127" s="63" t="str">
        <f t="shared" si="17"/>
        <v>Pass</v>
      </c>
    </row>
    <row r="1128">
      <c r="A1128" s="18">
        <v>46008.0</v>
      </c>
      <c r="B1128" s="20">
        <v>0.5763888888888888</v>
      </c>
      <c r="C1128" s="18">
        <v>46008.0</v>
      </c>
      <c r="D1128" s="20">
        <v>0.5805555555555556</v>
      </c>
      <c r="E1128" s="22" t="s">
        <v>8385</v>
      </c>
      <c r="F1128" s="22" t="s">
        <v>8386</v>
      </c>
      <c r="G1128" s="22" t="s">
        <v>8387</v>
      </c>
      <c r="H1128" s="22" t="s">
        <v>156</v>
      </c>
      <c r="I1128" s="22" t="s">
        <v>131</v>
      </c>
      <c r="J1128" s="22" t="s">
        <v>2253</v>
      </c>
      <c r="K1128" s="22" t="s">
        <v>43</v>
      </c>
      <c r="L1128" s="22" t="s">
        <v>2663</v>
      </c>
      <c r="M1128" s="22" t="s">
        <v>8388</v>
      </c>
      <c r="N1128" s="22" t="s">
        <v>8389</v>
      </c>
      <c r="O1128" s="23" t="s">
        <v>8390</v>
      </c>
      <c r="P1128" s="22" t="s">
        <v>75</v>
      </c>
      <c r="Q1128" s="50" t="s">
        <v>65</v>
      </c>
      <c r="R1128" s="102" t="s">
        <v>8391</v>
      </c>
      <c r="S1128" s="22" t="s">
        <v>51</v>
      </c>
      <c r="T1128" s="22" t="s">
        <v>6676</v>
      </c>
      <c r="U1128" s="22" t="s">
        <v>8392</v>
      </c>
      <c r="V1128" s="22" t="s">
        <v>8388</v>
      </c>
      <c r="W1128" s="18">
        <v>46008.0</v>
      </c>
      <c r="X1128" s="20">
        <v>0.5805555555555556</v>
      </c>
      <c r="Y1128" s="18">
        <v>46008.0</v>
      </c>
      <c r="Z1128" s="20">
        <v>0.6875</v>
      </c>
      <c r="AA1128" s="20">
        <v>0.6979166666666666</v>
      </c>
      <c r="AB1128" s="51">
        <v>0.7083333333333334</v>
      </c>
      <c r="AC1128" s="51">
        <v>0.875</v>
      </c>
      <c r="AD1128" s="51">
        <v>0.90625</v>
      </c>
      <c r="AE1128" s="18">
        <v>46008.0</v>
      </c>
      <c r="AF1128" s="22" t="s">
        <v>2828</v>
      </c>
      <c r="AG1128" s="22" t="s">
        <v>78</v>
      </c>
      <c r="AH1128" s="22" t="s">
        <v>8393</v>
      </c>
      <c r="AI1128" s="26" t="str">
        <f>IFERROR(__xludf.DUMMYFUNCTION("IF(OR(W1128="""",X1128="""",AE1128="""",AD1128=""""),"""",
   TEXT(
     (
       (AE1128+AD1128 + IF(AE1128+AD1128 &lt; W1128+X1128,1,0)) - (W1128+X1128)
     )
     - IF(AND(AB1128&lt;&gt;"""",AC1128&lt;&gt;""""), 
          SUM(ARRAYFORMULA(SPLIT(AC1128,"","") - SPLI"&amp;"T(AB1128,"",""))), 
          0
       ),
     ""[hh]:mm""
   )
)
"),"03:49")</f>
        <v>03:49</v>
      </c>
      <c r="AJ1128" s="55">
        <f t="shared" si="16"/>
        <v>0</v>
      </c>
      <c r="AK1128" s="28" t="str">
        <f t="shared" si="17"/>
        <v>Pass</v>
      </c>
    </row>
    <row r="1129">
      <c r="A1129" s="18">
        <v>46008.0</v>
      </c>
      <c r="B1129" s="20">
        <v>0.725</v>
      </c>
      <c r="C1129" s="18">
        <v>46008.0</v>
      </c>
      <c r="D1129" s="20">
        <v>0.725</v>
      </c>
      <c r="E1129" s="22" t="s">
        <v>8394</v>
      </c>
      <c r="F1129" s="22" t="s">
        <v>2167</v>
      </c>
      <c r="G1129" s="22" t="s">
        <v>2168</v>
      </c>
      <c r="H1129" s="22" t="s">
        <v>3093</v>
      </c>
      <c r="I1129" s="22" t="s">
        <v>616</v>
      </c>
      <c r="J1129" s="22" t="s">
        <v>2253</v>
      </c>
      <c r="K1129" s="22" t="s">
        <v>43</v>
      </c>
      <c r="L1129" s="22" t="s">
        <v>2663</v>
      </c>
      <c r="M1129" s="22" t="s">
        <v>8395</v>
      </c>
      <c r="N1129" s="22" t="s">
        <v>8396</v>
      </c>
      <c r="O1129" s="23" t="s">
        <v>8397</v>
      </c>
      <c r="P1129" s="22" t="s">
        <v>75</v>
      </c>
      <c r="Q1129" s="50" t="s">
        <v>198</v>
      </c>
      <c r="R1129" s="22" t="s">
        <v>8398</v>
      </c>
      <c r="S1129" s="22" t="s">
        <v>51</v>
      </c>
      <c r="T1129" s="22" t="s">
        <v>52</v>
      </c>
      <c r="U1129" s="22" t="s">
        <v>52</v>
      </c>
      <c r="V1129" s="22" t="s">
        <v>52</v>
      </c>
      <c r="W1129" s="18">
        <v>46008.0</v>
      </c>
      <c r="X1129" s="20">
        <v>0.725</v>
      </c>
      <c r="Y1129" s="18">
        <v>46008.0</v>
      </c>
      <c r="Z1129" s="20">
        <v>0.725</v>
      </c>
      <c r="AA1129" s="75">
        <v>0.7361111111111112</v>
      </c>
      <c r="AB1129" s="54"/>
      <c r="AC1129" s="54"/>
      <c r="AD1129" s="51">
        <v>0.7708333333333334</v>
      </c>
      <c r="AE1129" s="18">
        <v>46008.0</v>
      </c>
      <c r="AF1129" s="22" t="s">
        <v>5851</v>
      </c>
      <c r="AG1129" s="22" t="s">
        <v>583</v>
      </c>
      <c r="AH1129" s="22" t="s">
        <v>8399</v>
      </c>
      <c r="AI1129" s="26" t="str">
        <f>IFERROR(__xludf.DUMMYFUNCTION("IF(OR(W1129="""",X1129="""",AE1129="""",AD1129=""""),"""",
   TEXT(
     (
       (AE1129+AD1129 + IF(AE1129+AD1129 &lt; W1129+X1129,1,0)) - (W1129+X1129)
     )
     - IF(AND(AB1129&lt;&gt;"""",AC1129&lt;&gt;""""), 
          SUM(ARRAYFORMULA(SPLIT(AC1129,"","") - SPLI"&amp;"T(AB1129,"",""))), 
          0
       ),
     ""[hh]:mm""
   )
)
"),"01:06")</f>
        <v>01:06</v>
      </c>
      <c r="AJ1129" s="55">
        <f t="shared" si="16"/>
        <v>0</v>
      </c>
      <c r="AK1129" s="28" t="str">
        <f t="shared" si="17"/>
        <v>Pass</v>
      </c>
    </row>
    <row r="1130">
      <c r="A1130" s="18">
        <v>46008.0</v>
      </c>
      <c r="B1130" s="20">
        <v>0.6513888888888889</v>
      </c>
      <c r="C1130" s="18">
        <v>46008.0</v>
      </c>
      <c r="D1130" s="20">
        <v>0.6513888888888889</v>
      </c>
      <c r="E1130" s="22" t="s">
        <v>8400</v>
      </c>
      <c r="F1130" s="107" t="s">
        <v>7920</v>
      </c>
      <c r="G1130" s="107" t="s">
        <v>7921</v>
      </c>
      <c r="H1130" s="22" t="s">
        <v>3093</v>
      </c>
      <c r="I1130" s="22" t="s">
        <v>616</v>
      </c>
      <c r="J1130" s="22" t="s">
        <v>2253</v>
      </c>
      <c r="K1130" s="22" t="s">
        <v>43</v>
      </c>
      <c r="L1130" s="22" t="s">
        <v>2663</v>
      </c>
      <c r="M1130" s="22" t="s">
        <v>7926</v>
      </c>
      <c r="N1130" s="22" t="s">
        <v>8396</v>
      </c>
      <c r="O1130" s="23" t="s">
        <v>8401</v>
      </c>
      <c r="P1130" s="22" t="s">
        <v>75</v>
      </c>
      <c r="Q1130" s="50" t="s">
        <v>198</v>
      </c>
      <c r="R1130" s="22" t="s">
        <v>8398</v>
      </c>
      <c r="S1130" s="22" t="s">
        <v>51</v>
      </c>
      <c r="T1130" s="22" t="s">
        <v>52</v>
      </c>
      <c r="U1130" s="22" t="s">
        <v>52</v>
      </c>
      <c r="V1130" s="22" t="s">
        <v>52</v>
      </c>
      <c r="W1130" s="18">
        <v>46008.0</v>
      </c>
      <c r="X1130" s="20">
        <v>0.6513888888888889</v>
      </c>
      <c r="Y1130" s="18">
        <v>46008.0</v>
      </c>
      <c r="Z1130" s="20">
        <v>0.6513888888888889</v>
      </c>
      <c r="AA1130" s="20">
        <v>0.6631944444444444</v>
      </c>
      <c r="AB1130" s="54"/>
      <c r="AC1130" s="54"/>
      <c r="AD1130" s="51">
        <v>0.6805555555555556</v>
      </c>
      <c r="AE1130" s="45">
        <v>46008.0</v>
      </c>
      <c r="AF1130" s="22" t="s">
        <v>5851</v>
      </c>
      <c r="AG1130" s="22" t="s">
        <v>583</v>
      </c>
      <c r="AH1130" s="22" t="s">
        <v>8402</v>
      </c>
      <c r="AI1130" s="26" t="str">
        <f>IFERROR(__xludf.DUMMYFUNCTION("IF(OR(W1130="""",X1130="""",AE1130="""",AD1130=""""),"""",
   TEXT(
     (
       (AE1130+AD1130 + IF(AE1130+AD1130 &lt; W1130+X1130,1,0)) - (W1130+X1130)
     )
     - IF(AND(AB1130&lt;&gt;"""",AC1130&lt;&gt;""""), 
          SUM(ARRAYFORMULA(SPLIT(AC1130,"","") - SPLI"&amp;"T(AB1130,"",""))), 
          0
       ),
     ""[hh]:mm""
   )
)
"),"00:42")</f>
        <v>00:42</v>
      </c>
      <c r="AJ1130" s="55">
        <f t="shared" si="16"/>
        <v>0</v>
      </c>
      <c r="AK1130" s="28" t="str">
        <f t="shared" si="17"/>
        <v>Pass</v>
      </c>
    </row>
    <row r="1131">
      <c r="A1131" s="18">
        <v>46008.0</v>
      </c>
      <c r="B1131" s="20">
        <v>0.6006944444444444</v>
      </c>
      <c r="C1131" s="18">
        <v>46008.0</v>
      </c>
      <c r="D1131" s="20">
        <v>0.6006944444444444</v>
      </c>
      <c r="E1131" s="22" t="s">
        <v>8403</v>
      </c>
      <c r="F1131" s="107" t="s">
        <v>7955</v>
      </c>
      <c r="G1131" s="107" t="s">
        <v>7956</v>
      </c>
      <c r="H1131" s="22" t="s">
        <v>3093</v>
      </c>
      <c r="I1131" s="22" t="s">
        <v>131</v>
      </c>
      <c r="J1131" s="22" t="s">
        <v>2253</v>
      </c>
      <c r="K1131" s="22" t="s">
        <v>43</v>
      </c>
      <c r="L1131" s="22" t="s">
        <v>2663</v>
      </c>
      <c r="M1131" s="22" t="s">
        <v>8392</v>
      </c>
      <c r="N1131" s="22" t="s">
        <v>8396</v>
      </c>
      <c r="O1131" s="23" t="s">
        <v>8404</v>
      </c>
      <c r="P1131" s="22" t="s">
        <v>75</v>
      </c>
      <c r="Q1131" s="50" t="s">
        <v>198</v>
      </c>
      <c r="R1131" s="22" t="s">
        <v>8398</v>
      </c>
      <c r="S1131" s="22" t="s">
        <v>51</v>
      </c>
      <c r="T1131" s="22" t="s">
        <v>52</v>
      </c>
      <c r="U1131" s="22" t="s">
        <v>52</v>
      </c>
      <c r="V1131" s="22" t="s">
        <v>52</v>
      </c>
      <c r="W1131" s="18">
        <v>46008.0</v>
      </c>
      <c r="X1131" s="20">
        <v>0.6006944444444444</v>
      </c>
      <c r="Y1131" s="18">
        <v>46008.0</v>
      </c>
      <c r="Z1131" s="20">
        <v>0.6006944444444444</v>
      </c>
      <c r="AA1131" s="20">
        <v>0.6041666666666666</v>
      </c>
      <c r="AB1131" s="54"/>
      <c r="AC1131" s="54"/>
      <c r="AD1131" s="51">
        <v>0.6458333333333334</v>
      </c>
      <c r="AE1131" s="18">
        <v>46008.0</v>
      </c>
      <c r="AF1131" s="22" t="s">
        <v>5851</v>
      </c>
      <c r="AG1131" s="22" t="s">
        <v>2086</v>
      </c>
      <c r="AH1131" s="22" t="s">
        <v>8379</v>
      </c>
      <c r="AI1131" s="26" t="str">
        <f>IFERROR(__xludf.DUMMYFUNCTION("IF(OR(W1131="""",X1131="""",AE1131="""",AD1131=""""),"""",
   TEXT(
     (
       (AE1131+AD1131 + IF(AE1131+AD1131 &lt; W1131+X1131,1,0)) - (W1131+X1131)
     )
     - IF(AND(AB1131&lt;&gt;"""",AC1131&lt;&gt;""""), 
          SUM(ARRAYFORMULA(SPLIT(AC1131,"","") - SPLI"&amp;"T(AB1131,"",""))), 
          0
       ),
     ""[hh]:mm""
   )
)
"),"01:05")</f>
        <v>01:05</v>
      </c>
      <c r="AJ1131" s="55">
        <f t="shared" si="16"/>
        <v>0</v>
      </c>
      <c r="AK1131" s="28" t="str">
        <f t="shared" si="17"/>
        <v>Pass</v>
      </c>
    </row>
    <row r="1132">
      <c r="A1132" s="18">
        <v>46008.0</v>
      </c>
      <c r="B1132" s="20">
        <v>0.8020833333333334</v>
      </c>
      <c r="C1132" s="18">
        <v>46008.0</v>
      </c>
      <c r="D1132" s="20">
        <v>0.8020833333333334</v>
      </c>
      <c r="E1132" s="22" t="s">
        <v>8405</v>
      </c>
      <c r="F1132" s="107" t="s">
        <v>7097</v>
      </c>
      <c r="G1132" s="107" t="s">
        <v>7098</v>
      </c>
      <c r="H1132" s="22" t="s">
        <v>3093</v>
      </c>
      <c r="I1132" s="22" t="s">
        <v>2026</v>
      </c>
      <c r="J1132" s="22" t="s">
        <v>2253</v>
      </c>
      <c r="K1132" s="22" t="s">
        <v>3249</v>
      </c>
      <c r="L1132" s="22" t="s">
        <v>5331</v>
      </c>
      <c r="M1132" s="22" t="s">
        <v>7299</v>
      </c>
      <c r="N1132" s="22" t="s">
        <v>8396</v>
      </c>
      <c r="O1132" s="23" t="s">
        <v>8406</v>
      </c>
      <c r="P1132" s="22" t="s">
        <v>75</v>
      </c>
      <c r="Q1132" s="50" t="s">
        <v>198</v>
      </c>
      <c r="R1132" s="22" t="s">
        <v>8398</v>
      </c>
      <c r="S1132" s="22" t="s">
        <v>51</v>
      </c>
      <c r="T1132" s="22" t="s">
        <v>52</v>
      </c>
      <c r="U1132" s="22" t="s">
        <v>52</v>
      </c>
      <c r="V1132" s="22" t="s">
        <v>52</v>
      </c>
      <c r="W1132" s="18">
        <v>46008.0</v>
      </c>
      <c r="X1132" s="20">
        <v>0.8020833333333334</v>
      </c>
      <c r="Y1132" s="18">
        <v>46008.0</v>
      </c>
      <c r="Z1132" s="20">
        <v>0.8020833333333334</v>
      </c>
      <c r="AA1132" s="20">
        <v>0.8055555555555556</v>
      </c>
      <c r="AB1132" s="54"/>
      <c r="AC1132" s="54"/>
      <c r="AD1132" s="51">
        <v>0.8402777777777778</v>
      </c>
      <c r="AE1132" s="18">
        <v>46008.0</v>
      </c>
      <c r="AF1132" s="22" t="s">
        <v>5851</v>
      </c>
      <c r="AG1132" s="22" t="s">
        <v>583</v>
      </c>
      <c r="AH1132" s="22" t="s">
        <v>7648</v>
      </c>
      <c r="AI1132" s="26" t="str">
        <f>IFERROR(__xludf.DUMMYFUNCTION("IF(OR(W1132="""",X1132="""",AE1132="""",AD1132=""""),"""",
   TEXT(
     (
       (AE1132+AD1132 + IF(AE1132+AD1132 &lt; W1132+X1132,1,0)) - (W1132+X1132)
     )
     - IF(AND(AB1132&lt;&gt;"""",AC1132&lt;&gt;""""), 
          SUM(ARRAYFORMULA(SPLIT(AC1132,"","") - SPLI"&amp;"T(AB1132,"",""))), 
          0
       ),
     ""[hh]:mm""
   )
)
"),"00:55")</f>
        <v>00:55</v>
      </c>
      <c r="AJ1132" s="55">
        <f t="shared" si="16"/>
        <v>0</v>
      </c>
      <c r="AK1132" s="28" t="str">
        <f t="shared" si="17"/>
        <v>Pass</v>
      </c>
    </row>
    <row r="1133">
      <c r="A1133" s="45">
        <v>46008.0</v>
      </c>
      <c r="B1133" s="49">
        <v>0.65</v>
      </c>
      <c r="C1133" s="45">
        <v>46008.0</v>
      </c>
      <c r="D1133" s="49">
        <v>0.6770833333333334</v>
      </c>
      <c r="E1133" s="21" t="s">
        <v>8407</v>
      </c>
      <c r="F1133" s="106" t="s">
        <v>5372</v>
      </c>
      <c r="G1133" s="106" t="s">
        <v>5373</v>
      </c>
      <c r="H1133" s="21" t="s">
        <v>1610</v>
      </c>
      <c r="I1133" s="21" t="s">
        <v>1612</v>
      </c>
      <c r="J1133" s="21" t="s">
        <v>1612</v>
      </c>
      <c r="K1133" s="21" t="s">
        <v>143</v>
      </c>
      <c r="L1133" s="21" t="s">
        <v>1613</v>
      </c>
      <c r="M1133" s="21" t="s">
        <v>8408</v>
      </c>
      <c r="N1133" s="21" t="s">
        <v>4090</v>
      </c>
      <c r="O1133" s="48" t="s">
        <v>8409</v>
      </c>
      <c r="P1133" s="21" t="s">
        <v>187</v>
      </c>
      <c r="Q1133" s="24" t="s">
        <v>65</v>
      </c>
      <c r="R1133" s="21" t="s">
        <v>5017</v>
      </c>
      <c r="S1133" s="21" t="s">
        <v>51</v>
      </c>
      <c r="T1133" s="21" t="s">
        <v>52</v>
      </c>
      <c r="U1133" s="21" t="s">
        <v>52</v>
      </c>
      <c r="V1133" s="21" t="s">
        <v>52</v>
      </c>
      <c r="W1133" s="45">
        <v>46009.0</v>
      </c>
      <c r="X1133" s="49">
        <v>0.375</v>
      </c>
      <c r="Y1133" s="45">
        <v>46009.0</v>
      </c>
      <c r="Z1133" s="49">
        <v>0.4583333333333333</v>
      </c>
      <c r="AA1133" s="49">
        <v>0.4652777777777778</v>
      </c>
      <c r="AB1133" s="29"/>
      <c r="AC1133" s="29"/>
      <c r="AD1133" s="25">
        <v>0.5604166666666667</v>
      </c>
      <c r="AE1133" s="45">
        <v>46009.0</v>
      </c>
      <c r="AF1133" s="21" t="s">
        <v>2828</v>
      </c>
      <c r="AG1133" s="21" t="s">
        <v>293</v>
      </c>
      <c r="AH1133" s="21" t="s">
        <v>5377</v>
      </c>
      <c r="AI1133" s="62" t="str">
        <f>IFERROR(__xludf.DUMMYFUNCTION("IF(OR(W1133="""",X1133="""",AE1133="""",AD1133=""""),"""",
   TEXT(
     (
       (AE1133+AD1133 + IF(AE1133+AD1133 &lt; W1133+X1133,1,0)) - (W1133+X1133)
     )
     - IF(AND(AB1133&lt;&gt;"""",AC1133&lt;&gt;""""), 
          SUM(ARRAYFORMULA(SPLIT(AC1133,"","") - SPLI"&amp;"T(AB1133,"",""))), 
          0
       ),
     ""[hh]:mm""
   )
)
"),"04:27")</f>
        <v>04:27</v>
      </c>
      <c r="AJ1133" s="27">
        <f t="shared" si="16"/>
        <v>0</v>
      </c>
      <c r="AK1133" s="63" t="str">
        <f t="shared" si="17"/>
        <v>Pass</v>
      </c>
    </row>
    <row r="1134">
      <c r="A1134" s="45">
        <v>46008.0</v>
      </c>
      <c r="B1134" s="49">
        <v>0.6631944444444444</v>
      </c>
      <c r="C1134" s="45">
        <v>46008.0</v>
      </c>
      <c r="D1134" s="49">
        <v>0.6798611111111111</v>
      </c>
      <c r="E1134" s="21" t="s">
        <v>7590</v>
      </c>
      <c r="F1134" s="21" t="s">
        <v>5853</v>
      </c>
      <c r="G1134" s="21" t="s">
        <v>5854</v>
      </c>
      <c r="H1134" s="21" t="s">
        <v>1610</v>
      </c>
      <c r="I1134" s="21" t="s">
        <v>1612</v>
      </c>
      <c r="J1134" s="21" t="s">
        <v>1612</v>
      </c>
      <c r="K1134" s="21" t="s">
        <v>143</v>
      </c>
      <c r="L1134" s="21" t="s">
        <v>1613</v>
      </c>
      <c r="M1134" s="47"/>
      <c r="N1134" s="21" t="s">
        <v>8410</v>
      </c>
      <c r="O1134" s="48" t="s">
        <v>8411</v>
      </c>
      <c r="P1134" s="21" t="s">
        <v>187</v>
      </c>
      <c r="Q1134" s="24" t="s">
        <v>65</v>
      </c>
      <c r="R1134" s="21" t="s">
        <v>8412</v>
      </c>
      <c r="S1134" s="21" t="s">
        <v>51</v>
      </c>
      <c r="T1134" s="21" t="s">
        <v>52</v>
      </c>
      <c r="U1134" s="21" t="s">
        <v>52</v>
      </c>
      <c r="V1134" s="21" t="s">
        <v>52</v>
      </c>
      <c r="W1134" s="45">
        <v>46009.0</v>
      </c>
      <c r="X1134" s="49">
        <v>0.375</v>
      </c>
      <c r="Y1134" s="45">
        <v>46009.0</v>
      </c>
      <c r="Z1134" s="49">
        <v>0.6145833333333334</v>
      </c>
      <c r="AA1134" s="49">
        <v>0.6180555555555556</v>
      </c>
      <c r="AB1134" s="29"/>
      <c r="AC1134" s="29"/>
      <c r="AD1134" s="25">
        <v>0.7104166666666667</v>
      </c>
      <c r="AE1134" s="45">
        <v>46009.0</v>
      </c>
      <c r="AF1134" s="21" t="s">
        <v>2918</v>
      </c>
      <c r="AG1134" s="21" t="s">
        <v>5751</v>
      </c>
      <c r="AH1134" s="21" t="s">
        <v>8413</v>
      </c>
      <c r="AI1134" s="62" t="str">
        <f>IFERROR(__xludf.DUMMYFUNCTION("IF(OR(W1134="""",X1134="""",AE1134="""",AD1134=""""),"""",
   TEXT(
     (
       (AE1134+AD1134 + IF(AE1134+AD1134 &lt; W1134+X1134,1,0)) - (W1134+X1134)
     )
     - IF(AND(AB1134&lt;&gt;"""",AC1134&lt;&gt;""""), 
          SUM(ARRAYFORMULA(SPLIT(AC1134,"","") - SPLI"&amp;"T(AB1134,"",""))), 
          0
       ),
     ""[hh]:mm""
   )
)
"),"08:03")</f>
        <v>08:03</v>
      </c>
      <c r="AJ1134" s="27">
        <f t="shared" si="16"/>
        <v>0</v>
      </c>
      <c r="AK1134" s="63" t="str">
        <f t="shared" si="17"/>
        <v>Pass</v>
      </c>
    </row>
    <row r="1135">
      <c r="A1135" s="18">
        <v>46008.0</v>
      </c>
      <c r="B1135" s="20">
        <v>0.7138888888888889</v>
      </c>
      <c r="C1135" s="18">
        <v>46008.0</v>
      </c>
      <c r="D1135" s="20">
        <v>0.7173611111111111</v>
      </c>
      <c r="E1135" s="22" t="s">
        <v>8414</v>
      </c>
      <c r="F1135" s="22" t="s">
        <v>3982</v>
      </c>
      <c r="G1135" s="22" t="s">
        <v>3983</v>
      </c>
      <c r="H1135" s="22" t="s">
        <v>156</v>
      </c>
      <c r="I1135" s="22" t="s">
        <v>616</v>
      </c>
      <c r="J1135" s="22" t="s">
        <v>2253</v>
      </c>
      <c r="K1135" s="22" t="s">
        <v>43</v>
      </c>
      <c r="L1135" s="22" t="s">
        <v>805</v>
      </c>
      <c r="M1135" s="22" t="s">
        <v>8415</v>
      </c>
      <c r="N1135" s="22" t="s">
        <v>8416</v>
      </c>
      <c r="O1135" s="23" t="s">
        <v>8417</v>
      </c>
      <c r="P1135" s="22" t="s">
        <v>75</v>
      </c>
      <c r="Q1135" s="50" t="s">
        <v>65</v>
      </c>
      <c r="R1135" s="102" t="s">
        <v>8224</v>
      </c>
      <c r="S1135" s="22" t="s">
        <v>51</v>
      </c>
      <c r="T1135" s="22" t="s">
        <v>6676</v>
      </c>
      <c r="U1135" s="22" t="s">
        <v>8418</v>
      </c>
      <c r="V1135" s="22" t="s">
        <v>8415</v>
      </c>
      <c r="W1135" s="18">
        <v>46008.0</v>
      </c>
      <c r="X1135" s="20">
        <v>0.7173611111111111</v>
      </c>
      <c r="Y1135" s="18">
        <v>46008.0</v>
      </c>
      <c r="Z1135" s="20">
        <v>0.8381944444444445</v>
      </c>
      <c r="AA1135" s="20">
        <v>0.8388888888888889</v>
      </c>
      <c r="AB1135" s="54"/>
      <c r="AC1135" s="54"/>
      <c r="AD1135" s="51">
        <v>0.8541666666666666</v>
      </c>
      <c r="AE1135" s="18">
        <v>46008.0</v>
      </c>
      <c r="AF1135" s="22" t="s">
        <v>8419</v>
      </c>
      <c r="AG1135" s="22" t="s">
        <v>1475</v>
      </c>
      <c r="AH1135" s="22" t="s">
        <v>8420</v>
      </c>
      <c r="AI1135" s="26" t="str">
        <f>IFERROR(__xludf.DUMMYFUNCTION("IF(OR(W1135="""",X1135="""",AE1135="""",AD1135=""""),"""",
   TEXT(
     (
       (AE1135+AD1135 + IF(AE1135+AD1135 &lt; W1135+X1135,1,0)) - (W1135+X1135)
     )
     - IF(AND(AB1135&lt;&gt;"""",AC1135&lt;&gt;""""), 
          SUM(ARRAYFORMULA(SPLIT(AC1135,"","") - SPLI"&amp;"T(AB1135,"",""))), 
          0
       ),
     ""[hh]:mm""
   )
)
"),"03:17")</f>
        <v>03:17</v>
      </c>
      <c r="AJ1135" s="55">
        <f t="shared" si="16"/>
        <v>0</v>
      </c>
      <c r="AK1135" s="28" t="str">
        <f t="shared" si="17"/>
        <v>Pass</v>
      </c>
    </row>
    <row r="1136">
      <c r="A1136" s="45">
        <v>46008.0</v>
      </c>
      <c r="B1136" s="49">
        <v>0.7298611111111111</v>
      </c>
      <c r="C1136" s="45">
        <v>46008.0</v>
      </c>
      <c r="D1136" s="49">
        <v>0.7361111111111112</v>
      </c>
      <c r="E1136" s="21" t="s">
        <v>8421</v>
      </c>
      <c r="F1136" s="21" t="s">
        <v>4581</v>
      </c>
      <c r="G1136" s="21" t="s">
        <v>4582</v>
      </c>
      <c r="H1136" s="21" t="s">
        <v>1610</v>
      </c>
      <c r="I1136" s="21" t="s">
        <v>1612</v>
      </c>
      <c r="J1136" s="21" t="s">
        <v>1612</v>
      </c>
      <c r="K1136" s="21" t="s">
        <v>143</v>
      </c>
      <c r="L1136" s="21" t="s">
        <v>1613</v>
      </c>
      <c r="M1136" s="21" t="s">
        <v>8422</v>
      </c>
      <c r="N1136" s="21" t="s">
        <v>8423</v>
      </c>
      <c r="O1136" s="48" t="s">
        <v>8424</v>
      </c>
      <c r="P1136" s="21" t="s">
        <v>187</v>
      </c>
      <c r="Q1136" s="24" t="s">
        <v>65</v>
      </c>
      <c r="R1136" s="21" t="s">
        <v>8425</v>
      </c>
      <c r="S1136" s="21" t="s">
        <v>51</v>
      </c>
      <c r="T1136" s="21" t="s">
        <v>52</v>
      </c>
      <c r="U1136" s="21" t="s">
        <v>52</v>
      </c>
      <c r="V1136" s="21" t="s">
        <v>52</v>
      </c>
      <c r="W1136" s="45">
        <v>46009.0</v>
      </c>
      <c r="X1136" s="49">
        <v>0.375</v>
      </c>
      <c r="Y1136" s="45">
        <v>46009.0</v>
      </c>
      <c r="Z1136" s="49">
        <v>0.625</v>
      </c>
      <c r="AA1136" s="49">
        <v>0.6319444444444444</v>
      </c>
      <c r="AB1136" s="29"/>
      <c r="AC1136" s="29"/>
      <c r="AD1136" s="25">
        <v>0.7083333333333334</v>
      </c>
      <c r="AE1136" s="45">
        <v>46009.0</v>
      </c>
      <c r="AF1136" s="21" t="s">
        <v>2711</v>
      </c>
      <c r="AG1136" s="21" t="s">
        <v>8426</v>
      </c>
      <c r="AH1136" s="21" t="s">
        <v>8427</v>
      </c>
      <c r="AI1136" s="62" t="str">
        <f>IFERROR(__xludf.DUMMYFUNCTION("IF(OR(W1136="""",X1136="""",AE1136="""",AD1136=""""),"""",
   TEXT(
     (
       (AE1136+AD1136 + IF(AE1136+AD1136 &lt; W1136+X1136,1,0)) - (W1136+X1136)
     )
     - IF(AND(AB1136&lt;&gt;"""",AC1136&lt;&gt;""""), 
          SUM(ARRAYFORMULA(SPLIT(AC1136,"","") - SPLI"&amp;"T(AB1136,"",""))), 
          0
       ),
     ""[hh]:mm""
   )
)
"),"08:00")</f>
        <v>08:00</v>
      </c>
      <c r="AJ1136" s="27">
        <f t="shared" si="16"/>
        <v>0</v>
      </c>
      <c r="AK1136" s="63" t="str">
        <f t="shared" si="17"/>
        <v>Pass</v>
      </c>
    </row>
    <row r="1137">
      <c r="A1137" s="18">
        <v>46008.0</v>
      </c>
      <c r="B1137" s="20">
        <v>0.76875</v>
      </c>
      <c r="C1137" s="18">
        <v>46008.0</v>
      </c>
      <c r="D1137" s="20">
        <v>0.8006944444444445</v>
      </c>
      <c r="E1137" s="22" t="s">
        <v>8428</v>
      </c>
      <c r="F1137" s="22" t="s">
        <v>3780</v>
      </c>
      <c r="G1137" s="22" t="s">
        <v>3781</v>
      </c>
      <c r="H1137" s="22" t="s">
        <v>142</v>
      </c>
      <c r="I1137" s="22" t="s">
        <v>644</v>
      </c>
      <c r="J1137" s="22" t="s">
        <v>644</v>
      </c>
      <c r="K1137" s="22" t="s">
        <v>143</v>
      </c>
      <c r="L1137" s="22" t="s">
        <v>1441</v>
      </c>
      <c r="M1137" s="22" t="s">
        <v>8429</v>
      </c>
      <c r="N1137" s="22" t="s">
        <v>8430</v>
      </c>
      <c r="O1137" s="23" t="s">
        <v>8431</v>
      </c>
      <c r="P1137" s="22" t="s">
        <v>48</v>
      </c>
      <c r="Q1137" s="50" t="s">
        <v>65</v>
      </c>
      <c r="R1137" s="22" t="s">
        <v>8432</v>
      </c>
      <c r="S1137" s="22" t="s">
        <v>51</v>
      </c>
      <c r="T1137" s="22" t="s">
        <v>52</v>
      </c>
      <c r="U1137" s="22" t="s">
        <v>52</v>
      </c>
      <c r="V1137" s="22" t="s">
        <v>52</v>
      </c>
      <c r="W1137" s="18">
        <v>46008.0</v>
      </c>
      <c r="X1137" s="20">
        <v>0.8006944444444445</v>
      </c>
      <c r="Y1137" s="18">
        <v>46008.0</v>
      </c>
      <c r="Z1137" s="20">
        <v>0.9034722222222222</v>
      </c>
      <c r="AA1137" s="20">
        <v>0.9048611111111111</v>
      </c>
      <c r="AB1137" s="54"/>
      <c r="AC1137" s="54"/>
      <c r="AD1137" s="51">
        <v>0.9472222222222222</v>
      </c>
      <c r="AE1137" s="18">
        <v>46008.0</v>
      </c>
      <c r="AF1137" s="22" t="s">
        <v>2711</v>
      </c>
      <c r="AG1137" s="22" t="s">
        <v>162</v>
      </c>
      <c r="AH1137" s="22" t="s">
        <v>8433</v>
      </c>
      <c r="AI1137" s="26" t="str">
        <f>IFERROR(__xludf.DUMMYFUNCTION("IF(OR(W1137="""",X1137="""",AE1137="""",AD1137=""""),"""",
   TEXT(
     (
       (AE1137+AD1137 + IF(AE1137+AD1137 &lt; W1137+X1137,1,0)) - (W1137+X1137)
     )
     - IF(AND(AB1137&lt;&gt;"""",AC1137&lt;&gt;""""), 
          SUM(ARRAYFORMULA(SPLIT(AC1137,"","") - SPLI"&amp;"T(AB1137,"",""))), 
          0
       ),
     ""[hh]:mm""
   )
)
"),"03:31")</f>
        <v>03:31</v>
      </c>
      <c r="AJ1137" s="55">
        <f t="shared" si="16"/>
        <v>0</v>
      </c>
      <c r="AK1137" s="28" t="str">
        <f t="shared" si="17"/>
        <v>Pass</v>
      </c>
    </row>
    <row r="1138">
      <c r="A1138" s="45">
        <v>46008.0</v>
      </c>
      <c r="B1138" s="49">
        <v>0.7972222222222223</v>
      </c>
      <c r="C1138" s="45">
        <v>46008.0</v>
      </c>
      <c r="D1138" s="49">
        <v>0.8013888888888889</v>
      </c>
      <c r="E1138" s="21" t="s">
        <v>8434</v>
      </c>
      <c r="F1138" s="21" t="s">
        <v>5846</v>
      </c>
      <c r="G1138" s="21" t="s">
        <v>5847</v>
      </c>
      <c r="H1138" s="21" t="s">
        <v>1610</v>
      </c>
      <c r="I1138" s="21" t="s">
        <v>1612</v>
      </c>
      <c r="J1138" s="21" t="s">
        <v>1612</v>
      </c>
      <c r="K1138" s="21" t="s">
        <v>143</v>
      </c>
      <c r="L1138" s="21" t="s">
        <v>1613</v>
      </c>
      <c r="M1138" s="21" t="s">
        <v>8435</v>
      </c>
      <c r="N1138" s="21" t="s">
        <v>8436</v>
      </c>
      <c r="O1138" s="48" t="s">
        <v>8437</v>
      </c>
      <c r="P1138" s="21" t="s">
        <v>187</v>
      </c>
      <c r="Q1138" s="24" t="s">
        <v>65</v>
      </c>
      <c r="R1138" s="21" t="s">
        <v>8438</v>
      </c>
      <c r="S1138" s="21" t="s">
        <v>51</v>
      </c>
      <c r="T1138" s="21" t="s">
        <v>52</v>
      </c>
      <c r="U1138" s="21" t="s">
        <v>52</v>
      </c>
      <c r="V1138" s="21" t="s">
        <v>52</v>
      </c>
      <c r="W1138" s="45">
        <v>46009.0</v>
      </c>
      <c r="X1138" s="49">
        <v>0.375</v>
      </c>
      <c r="Y1138" s="45">
        <v>46010.0</v>
      </c>
      <c r="Z1138" s="49">
        <v>0.5104166666666666</v>
      </c>
      <c r="AA1138" s="49">
        <v>0.5243055555555556</v>
      </c>
      <c r="AB1138" s="25">
        <v>0.5416666666666666</v>
      </c>
      <c r="AC1138" s="25">
        <v>0.5625</v>
      </c>
      <c r="AD1138" s="25">
        <v>0.5729166666666666</v>
      </c>
      <c r="AE1138" s="45">
        <v>46010.0</v>
      </c>
      <c r="AF1138" s="21" t="s">
        <v>2711</v>
      </c>
      <c r="AG1138" s="21" t="s">
        <v>78</v>
      </c>
      <c r="AH1138" s="21" t="s">
        <v>8439</v>
      </c>
      <c r="AI1138" s="62" t="str">
        <f>IFERROR(__xludf.DUMMYFUNCTION("IF(OR(W1138="""",X1138="""",AE1138="""",AD1138=""""),"""",
   TEXT(
     (
       (AE1138+AD1138 + IF(AE1138+AD1138 &lt; W1138+X1138,1,0)) - (W1138+X1138)
     )
     - IF(AND(AB1138&lt;&gt;"""",AC1138&lt;&gt;""""), 
          SUM(ARRAYFORMULA(SPLIT(AC1138,"","") - SPLI"&amp;"T(AB1138,"",""))), 
          0
       ),
     ""[hh]:mm""
   )
)
"),"28:15")</f>
        <v>28:15</v>
      </c>
      <c r="AJ1138" s="27">
        <f t="shared" si="16"/>
        <v>0.6770833333</v>
      </c>
      <c r="AK1138" s="63" t="str">
        <f t="shared" si="17"/>
        <v>Fail</v>
      </c>
    </row>
    <row r="1139">
      <c r="A1139" s="45">
        <v>46008.0</v>
      </c>
      <c r="B1139" s="49">
        <v>0.8777777777777778</v>
      </c>
      <c r="C1139" s="45">
        <v>46008.0</v>
      </c>
      <c r="D1139" s="49">
        <v>0.8840277777777777</v>
      </c>
      <c r="E1139" s="21" t="s">
        <v>8440</v>
      </c>
      <c r="F1139" s="21" t="s">
        <v>2558</v>
      </c>
      <c r="G1139" s="21" t="s">
        <v>2559</v>
      </c>
      <c r="H1139" s="21" t="s">
        <v>1610</v>
      </c>
      <c r="I1139" s="21" t="s">
        <v>1612</v>
      </c>
      <c r="J1139" s="21" t="s">
        <v>1612</v>
      </c>
      <c r="K1139" s="21" t="s">
        <v>143</v>
      </c>
      <c r="L1139" s="21" t="s">
        <v>1613</v>
      </c>
      <c r="M1139" s="21" t="s">
        <v>8441</v>
      </c>
      <c r="N1139" s="21" t="s">
        <v>8442</v>
      </c>
      <c r="O1139" s="48" t="s">
        <v>8443</v>
      </c>
      <c r="P1139" s="21" t="s">
        <v>187</v>
      </c>
      <c r="Q1139" s="24" t="s">
        <v>65</v>
      </c>
      <c r="R1139" s="21" t="s">
        <v>8444</v>
      </c>
      <c r="S1139" s="21" t="s">
        <v>51</v>
      </c>
      <c r="T1139" s="21" t="s">
        <v>52</v>
      </c>
      <c r="U1139" s="21" t="s">
        <v>52</v>
      </c>
      <c r="V1139" s="21" t="s">
        <v>52</v>
      </c>
      <c r="W1139" s="45">
        <v>46009.0</v>
      </c>
      <c r="X1139" s="49">
        <v>0.375</v>
      </c>
      <c r="Y1139" s="45">
        <v>46009.0</v>
      </c>
      <c r="Z1139" s="49">
        <v>0.6305555555555555</v>
      </c>
      <c r="AA1139" s="49">
        <v>0.6319444444444444</v>
      </c>
      <c r="AB1139" s="29"/>
      <c r="AC1139" s="29"/>
      <c r="AD1139" s="25">
        <v>0.6875</v>
      </c>
      <c r="AE1139" s="45">
        <v>46009.0</v>
      </c>
      <c r="AF1139" s="21" t="s">
        <v>2711</v>
      </c>
      <c r="AG1139" s="21" t="s">
        <v>6787</v>
      </c>
      <c r="AH1139" s="21" t="s">
        <v>8445</v>
      </c>
      <c r="AI1139" s="62" t="str">
        <f>IFERROR(__xludf.DUMMYFUNCTION("IF(OR(W1139="""",X1139="""",AE1139="""",AD1139=""""),"""",
   TEXT(
     (
       (AE1139+AD1139 + IF(AE1139+AD1139 &lt; W1139+X1139,1,0)) - (W1139+X1139)
     )
     - IF(AND(AB1139&lt;&gt;"""",AC1139&lt;&gt;""""), 
          SUM(ARRAYFORMULA(SPLIT(AC1139,"","") - SPLI"&amp;"T(AB1139,"",""))), 
          0
       ),
     ""[hh]:mm""
   )
)
"),"07:30")</f>
        <v>07:30</v>
      </c>
      <c r="AJ1139" s="27">
        <f t="shared" si="16"/>
        <v>0</v>
      </c>
      <c r="AK1139" s="63" t="str">
        <f t="shared" si="17"/>
        <v>Pass</v>
      </c>
    </row>
    <row r="1140">
      <c r="A1140" s="45">
        <v>46008.0</v>
      </c>
      <c r="B1140" s="49">
        <v>0.8979166666666667</v>
      </c>
      <c r="C1140" s="45">
        <v>46008.0</v>
      </c>
      <c r="D1140" s="49">
        <v>0.9152777777777777</v>
      </c>
      <c r="E1140" s="21" t="s">
        <v>8446</v>
      </c>
      <c r="F1140" s="21" t="s">
        <v>1064</v>
      </c>
      <c r="G1140" s="21" t="s">
        <v>1065</v>
      </c>
      <c r="H1140" s="21" t="s">
        <v>156</v>
      </c>
      <c r="I1140" s="21" t="s">
        <v>131</v>
      </c>
      <c r="J1140" s="21" t="s">
        <v>3806</v>
      </c>
      <c r="K1140" s="21" t="s">
        <v>43</v>
      </c>
      <c r="L1140" s="21" t="s">
        <v>2663</v>
      </c>
      <c r="M1140" s="21" t="s">
        <v>3332</v>
      </c>
      <c r="N1140" s="21" t="s">
        <v>8447</v>
      </c>
      <c r="O1140" s="48" t="s">
        <v>8448</v>
      </c>
      <c r="P1140" s="21" t="s">
        <v>75</v>
      </c>
      <c r="Q1140" s="24" t="s">
        <v>65</v>
      </c>
      <c r="R1140" s="102" t="s">
        <v>8449</v>
      </c>
      <c r="S1140" s="21" t="s">
        <v>51</v>
      </c>
      <c r="T1140" s="21" t="s">
        <v>52</v>
      </c>
      <c r="U1140" s="21" t="s">
        <v>52</v>
      </c>
      <c r="V1140" s="21" t="s">
        <v>52</v>
      </c>
      <c r="W1140" s="45">
        <v>46009.0</v>
      </c>
      <c r="X1140" s="49">
        <v>0.375</v>
      </c>
      <c r="Y1140" s="45">
        <v>46009.0</v>
      </c>
      <c r="Z1140" s="49">
        <v>0.5284722222222222</v>
      </c>
      <c r="AA1140" s="49">
        <v>0.53125</v>
      </c>
      <c r="AB1140" s="25">
        <v>0.5736111111111111</v>
      </c>
      <c r="AC1140" s="25">
        <v>0.6055555555555555</v>
      </c>
      <c r="AD1140" s="25">
        <v>0.625</v>
      </c>
      <c r="AE1140" s="45">
        <v>46009.0</v>
      </c>
      <c r="AF1140" s="21" t="s">
        <v>2711</v>
      </c>
      <c r="AG1140" s="21" t="s">
        <v>1475</v>
      </c>
      <c r="AH1140" s="21" t="s">
        <v>8450</v>
      </c>
      <c r="AI1140" s="26" t="str">
        <f>IFERROR(__xludf.DUMMYFUNCTION("IF(OR(W1140="""",X1140="""",AE1140="""",AD1140=""""),"""",
   TEXT(
     (
       (AE1140+AD1140 + IF(AE1140+AD1140 &lt; W1140+X1140,1,0)) - (W1140+X1140)
     )
     - IF(AND(AB1140&lt;&gt;"""",AC1140&lt;&gt;""""), 
          SUM(ARRAYFORMULA(SPLIT(AC1140,"","") - SPLI"&amp;"T(AB1140,"",""))), 
          0
       ),
     ""[hh]:mm""
   )
)
"),"05:14")</f>
        <v>05:14</v>
      </c>
      <c r="AJ1140" s="55">
        <f t="shared" si="16"/>
        <v>0</v>
      </c>
      <c r="AK1140" s="28" t="str">
        <f t="shared" si="17"/>
        <v>Pass</v>
      </c>
    </row>
    <row r="1141">
      <c r="A1141" s="45">
        <v>46008.0</v>
      </c>
      <c r="B1141" s="49">
        <v>0.9368055555555556</v>
      </c>
      <c r="C1141" s="45">
        <v>46009.0</v>
      </c>
      <c r="D1141" s="49">
        <v>0.30069444444444443</v>
      </c>
      <c r="E1141" s="21" t="s">
        <v>8451</v>
      </c>
      <c r="F1141" s="21" t="s">
        <v>7939</v>
      </c>
      <c r="G1141" s="21" t="s">
        <v>7940</v>
      </c>
      <c r="H1141" s="21" t="s">
        <v>156</v>
      </c>
      <c r="I1141" s="21" t="s">
        <v>616</v>
      </c>
      <c r="J1141" s="21" t="s">
        <v>2253</v>
      </c>
      <c r="K1141" s="21" t="s">
        <v>43</v>
      </c>
      <c r="L1141" s="21" t="s">
        <v>1251</v>
      </c>
      <c r="M1141" s="21" t="s">
        <v>8452</v>
      </c>
      <c r="N1141" s="21" t="s">
        <v>8453</v>
      </c>
      <c r="O1141" s="48" t="s">
        <v>8454</v>
      </c>
      <c r="P1141" s="21" t="s">
        <v>75</v>
      </c>
      <c r="Q1141" s="24" t="s">
        <v>65</v>
      </c>
      <c r="R1141" s="102" t="s">
        <v>8455</v>
      </c>
      <c r="S1141" s="21" t="s">
        <v>51</v>
      </c>
      <c r="T1141" s="21" t="s">
        <v>52</v>
      </c>
      <c r="U1141" s="21" t="s">
        <v>52</v>
      </c>
      <c r="V1141" s="21" t="s">
        <v>52</v>
      </c>
      <c r="W1141" s="45">
        <v>46009.0</v>
      </c>
      <c r="X1141" s="49">
        <v>0.30069444444444443</v>
      </c>
      <c r="Y1141" s="45">
        <v>46009.0</v>
      </c>
      <c r="Z1141" s="49">
        <v>0.5222222222222223</v>
      </c>
      <c r="AA1141" s="49">
        <v>0.5277777777777778</v>
      </c>
      <c r="AB1141" s="25">
        <v>0.5458333333333333</v>
      </c>
      <c r="AC1141" s="25">
        <v>0.7506944444444444</v>
      </c>
      <c r="AD1141" s="25">
        <v>0.7631944444444444</v>
      </c>
      <c r="AE1141" s="45">
        <v>46009.0</v>
      </c>
      <c r="AF1141" s="21" t="s">
        <v>2711</v>
      </c>
      <c r="AG1141" s="21" t="s">
        <v>162</v>
      </c>
      <c r="AH1141" s="21" t="s">
        <v>7944</v>
      </c>
      <c r="AI1141" s="62" t="str">
        <f>IFERROR(__xludf.DUMMYFUNCTION("IF(OR(W1141="""",X1141="""",AE1141="""",AD1141=""""),"""",
   TEXT(
     (
       (AE1141+AD1141 + IF(AE1141+AD1141 &lt; W1141+X1141,1,0)) - (W1141+X1141)
     )
     - IF(AND(AB1141&lt;&gt;"""",AC1141&lt;&gt;""""), 
          SUM(ARRAYFORMULA(SPLIT(AC1141,"","") - SPLI"&amp;"T(AB1141,"",""))), 
          0
       ),
     ""[hh]:mm""
   )
)
"),"06:11")</f>
        <v>06:11</v>
      </c>
      <c r="AJ1141" s="27">
        <f t="shared" si="16"/>
        <v>0</v>
      </c>
      <c r="AK1141" s="63" t="str">
        <f t="shared" si="17"/>
        <v>Pass</v>
      </c>
    </row>
    <row r="1142">
      <c r="A1142" s="45">
        <v>46009.0</v>
      </c>
      <c r="B1142" s="49">
        <v>0.32916666666666666</v>
      </c>
      <c r="C1142" s="45">
        <v>46009.0</v>
      </c>
      <c r="D1142" s="49">
        <v>0.33055555555555555</v>
      </c>
      <c r="E1142" s="21" t="s">
        <v>8456</v>
      </c>
      <c r="F1142" s="21" t="s">
        <v>202</v>
      </c>
      <c r="G1142" s="21" t="s">
        <v>8457</v>
      </c>
      <c r="H1142" s="21" t="s">
        <v>1468</v>
      </c>
      <c r="I1142" s="21" t="s">
        <v>856</v>
      </c>
      <c r="J1142" s="21" t="s">
        <v>1084</v>
      </c>
      <c r="K1142" s="21" t="s">
        <v>2912</v>
      </c>
      <c r="L1142" s="21" t="s">
        <v>8458</v>
      </c>
      <c r="M1142" s="21">
        <v>9.9921212E9</v>
      </c>
      <c r="N1142" s="21" t="s">
        <v>8459</v>
      </c>
      <c r="O1142" s="48" t="s">
        <v>8460</v>
      </c>
      <c r="P1142" s="21" t="s">
        <v>48</v>
      </c>
      <c r="Q1142" s="24" t="s">
        <v>65</v>
      </c>
      <c r="R1142" s="21" t="s">
        <v>8461</v>
      </c>
      <c r="S1142" s="21" t="s">
        <v>51</v>
      </c>
      <c r="T1142" s="21" t="s">
        <v>52</v>
      </c>
      <c r="U1142" s="21" t="s">
        <v>52</v>
      </c>
      <c r="V1142" s="21" t="s">
        <v>52</v>
      </c>
      <c r="W1142" s="45">
        <v>46009.0</v>
      </c>
      <c r="X1142" s="49">
        <v>0.33055555555555555</v>
      </c>
      <c r="Y1142" s="45">
        <v>46009.0</v>
      </c>
      <c r="Z1142" s="49">
        <v>0.5770833333333333</v>
      </c>
      <c r="AA1142" s="49">
        <v>0.6458333333333334</v>
      </c>
      <c r="AB1142" s="29"/>
      <c r="AC1142" s="29"/>
      <c r="AD1142" s="25">
        <v>0.7083333333333334</v>
      </c>
      <c r="AE1142" s="45">
        <v>46009.0</v>
      </c>
      <c r="AF1142" s="21" t="s">
        <v>5851</v>
      </c>
      <c r="AG1142" s="21" t="s">
        <v>3617</v>
      </c>
      <c r="AH1142" s="21" t="s">
        <v>8462</v>
      </c>
      <c r="AI1142" s="62" t="str">
        <f>IFERROR(__xludf.DUMMYFUNCTION("IF(OR(W1142="""",X1142="""",AE1142="""",AD1142=""""),"""",
   TEXT(
     (
       (AE1142+AD1142 + IF(AE1142+AD1142 &lt; W1142+X1142,1,0)) - (W1142+X1142)
     )
     - IF(AND(AB1142&lt;&gt;"""",AC1142&lt;&gt;""""), 
          SUM(ARRAYFORMULA(SPLIT(AC1142,"","") - SPLI"&amp;"T(AB1142,"",""))), 
          0
       ),
     ""[hh]:mm""
   )
)
"),"09:04")</f>
        <v>09:04</v>
      </c>
      <c r="AJ1142" s="27">
        <f t="shared" si="16"/>
        <v>0</v>
      </c>
      <c r="AK1142" s="63" t="str">
        <f t="shared" si="17"/>
        <v>Pass</v>
      </c>
    </row>
    <row r="1143">
      <c r="A1143" s="45">
        <v>46009.0</v>
      </c>
      <c r="B1143" s="49">
        <v>0.3541666666666667</v>
      </c>
      <c r="C1143" s="45">
        <v>46009.0</v>
      </c>
      <c r="D1143" s="49">
        <v>0.35555555555555557</v>
      </c>
      <c r="E1143" s="21" t="s">
        <v>8463</v>
      </c>
      <c r="F1143" s="106" t="s">
        <v>7605</v>
      </c>
      <c r="G1143" s="106" t="s">
        <v>7606</v>
      </c>
      <c r="H1143" s="21" t="s">
        <v>3093</v>
      </c>
      <c r="I1143" s="21" t="s">
        <v>616</v>
      </c>
      <c r="J1143" s="21" t="s">
        <v>2253</v>
      </c>
      <c r="K1143" s="21" t="s">
        <v>43</v>
      </c>
      <c r="L1143" s="21" t="s">
        <v>2663</v>
      </c>
      <c r="M1143" s="21" t="s">
        <v>7611</v>
      </c>
      <c r="N1143" s="21" t="s">
        <v>8464</v>
      </c>
      <c r="O1143" s="48" t="s">
        <v>8465</v>
      </c>
      <c r="P1143" s="21" t="s">
        <v>75</v>
      </c>
      <c r="Q1143" s="24" t="s">
        <v>198</v>
      </c>
      <c r="R1143" s="21" t="s">
        <v>7610</v>
      </c>
      <c r="S1143" s="21" t="s">
        <v>51</v>
      </c>
      <c r="T1143" s="21" t="s">
        <v>52</v>
      </c>
      <c r="U1143" s="21" t="s">
        <v>52</v>
      </c>
      <c r="V1143" s="21" t="s">
        <v>52</v>
      </c>
      <c r="W1143" s="45">
        <v>46009.0</v>
      </c>
      <c r="X1143" s="49">
        <v>0.35555555555555557</v>
      </c>
      <c r="Y1143" s="45">
        <v>46009.0</v>
      </c>
      <c r="Z1143" s="49">
        <v>0.5097222222222222</v>
      </c>
      <c r="AA1143" s="49">
        <v>0.5416666666666666</v>
      </c>
      <c r="AB1143" s="25">
        <v>0.5111111111111111</v>
      </c>
      <c r="AC1143" s="25">
        <v>0.5416666666666666</v>
      </c>
      <c r="AD1143" s="25">
        <v>0.5625</v>
      </c>
      <c r="AE1143" s="45">
        <v>46009.0</v>
      </c>
      <c r="AF1143" s="21" t="s">
        <v>5851</v>
      </c>
      <c r="AG1143" s="21" t="s">
        <v>5541</v>
      </c>
      <c r="AH1143" s="21" t="s">
        <v>8466</v>
      </c>
      <c r="AI1143" s="62" t="str">
        <f>IFERROR(__xludf.DUMMYFUNCTION("IF(OR(W1143="""",X1143="""",AE1143="""",AD1143=""""),"""",
   TEXT(
     (
       (AE1143+AD1143 + IF(AE1143+AD1143 &lt; W1143+X1143,1,0)) - (W1143+X1143)
     )
     - IF(AND(AB1143&lt;&gt;"""",AC1143&lt;&gt;""""), 
          SUM(ARRAYFORMULA(SPLIT(AC1143,"","") - SPLI"&amp;"T(AB1143,"",""))), 
          0
       ),
     ""[hh]:mm""
   )
)
"),"04:14")</f>
        <v>04:14</v>
      </c>
      <c r="AJ1143" s="27">
        <f t="shared" si="16"/>
        <v>0</v>
      </c>
      <c r="AK1143" s="63" t="str">
        <f t="shared" si="17"/>
        <v>Pass</v>
      </c>
    </row>
    <row r="1144">
      <c r="A1144" s="45">
        <v>46009.0</v>
      </c>
      <c r="B1144" s="49">
        <v>0.35625</v>
      </c>
      <c r="C1144" s="45">
        <v>46009.0</v>
      </c>
      <c r="D1144" s="49">
        <v>0.3576388888888889</v>
      </c>
      <c r="E1144" s="21" t="s">
        <v>8467</v>
      </c>
      <c r="F1144" s="106" t="s">
        <v>7929</v>
      </c>
      <c r="G1144" s="106" t="s">
        <v>7930</v>
      </c>
      <c r="H1144" s="21" t="s">
        <v>3093</v>
      </c>
      <c r="I1144" s="21" t="s">
        <v>2026</v>
      </c>
      <c r="J1144" s="21" t="s">
        <v>2253</v>
      </c>
      <c r="K1144" s="21" t="s">
        <v>43</v>
      </c>
      <c r="L1144" s="21" t="s">
        <v>2663</v>
      </c>
      <c r="M1144" s="21" t="s">
        <v>7935</v>
      </c>
      <c r="N1144" s="21" t="s">
        <v>8464</v>
      </c>
      <c r="O1144" s="48" t="s">
        <v>8468</v>
      </c>
      <c r="P1144" s="21" t="s">
        <v>75</v>
      </c>
      <c r="Q1144" s="24" t="s">
        <v>198</v>
      </c>
      <c r="R1144" s="21" t="s">
        <v>8469</v>
      </c>
      <c r="S1144" s="21" t="s">
        <v>51</v>
      </c>
      <c r="T1144" s="21" t="s">
        <v>52</v>
      </c>
      <c r="U1144" s="21" t="s">
        <v>52</v>
      </c>
      <c r="V1144" s="21" t="s">
        <v>52</v>
      </c>
      <c r="W1144" s="45">
        <v>46009.0</v>
      </c>
      <c r="X1144" s="49">
        <v>0.3576388888888889</v>
      </c>
      <c r="Y1144" s="45">
        <v>46009.0</v>
      </c>
      <c r="Z1144" s="49">
        <v>0.5694444444444444</v>
      </c>
      <c r="AA1144" s="49">
        <v>0.5763888888888888</v>
      </c>
      <c r="AB1144" s="29"/>
      <c r="AC1144" s="29"/>
      <c r="AD1144" s="25">
        <v>0.6041666666666666</v>
      </c>
      <c r="AE1144" s="45">
        <v>46009.0</v>
      </c>
      <c r="AF1144" s="21" t="s">
        <v>5851</v>
      </c>
      <c r="AG1144" s="21" t="s">
        <v>583</v>
      </c>
      <c r="AH1144" s="21" t="s">
        <v>8470</v>
      </c>
      <c r="AI1144" s="62" t="str">
        <f>IFERROR(__xludf.DUMMYFUNCTION("IF(OR(W1144="""",X1144="""",AE1144="""",AD1144=""""),"""",
   TEXT(
     (
       (AE1144+AD1144 + IF(AE1144+AD1144 &lt; W1144+X1144,1,0)) - (W1144+X1144)
     )
     - IF(AND(AB1144&lt;&gt;"""",AC1144&lt;&gt;""""), 
          SUM(ARRAYFORMULA(SPLIT(AC1144,"","") - SPLI"&amp;"T(AB1144,"",""))), 
          0
       ),
     ""[hh]:mm""
   )
)
"),"05:55")</f>
        <v>05:55</v>
      </c>
      <c r="AJ1144" s="27">
        <f t="shared" si="16"/>
        <v>0</v>
      </c>
      <c r="AK1144" s="63" t="str">
        <f t="shared" si="17"/>
        <v>Pass</v>
      </c>
    </row>
    <row r="1145">
      <c r="A1145" s="45">
        <v>46009.0</v>
      </c>
      <c r="B1145" s="49">
        <v>0.35694444444444445</v>
      </c>
      <c r="C1145" s="45">
        <v>46009.0</v>
      </c>
      <c r="D1145" s="49">
        <v>0.3597222222222222</v>
      </c>
      <c r="E1145" s="21" t="s">
        <v>8471</v>
      </c>
      <c r="F1145" s="106" t="s">
        <v>2011</v>
      </c>
      <c r="G1145" s="106" t="s">
        <v>2012</v>
      </c>
      <c r="H1145" s="21" t="s">
        <v>3093</v>
      </c>
      <c r="I1145" s="21" t="s">
        <v>616</v>
      </c>
      <c r="J1145" s="21" t="s">
        <v>2253</v>
      </c>
      <c r="K1145" s="21" t="s">
        <v>43</v>
      </c>
      <c r="L1145" s="21" t="s">
        <v>2663</v>
      </c>
      <c r="M1145" s="21" t="s">
        <v>7909</v>
      </c>
      <c r="N1145" s="21" t="s">
        <v>8464</v>
      </c>
      <c r="O1145" s="48" t="s">
        <v>8472</v>
      </c>
      <c r="P1145" s="21" t="s">
        <v>75</v>
      </c>
      <c r="Q1145" s="24" t="s">
        <v>198</v>
      </c>
      <c r="R1145" s="21" t="s">
        <v>8473</v>
      </c>
      <c r="S1145" s="21" t="s">
        <v>51</v>
      </c>
      <c r="T1145" s="21" t="s">
        <v>52</v>
      </c>
      <c r="U1145" s="21" t="s">
        <v>52</v>
      </c>
      <c r="V1145" s="21" t="s">
        <v>52</v>
      </c>
      <c r="W1145" s="45">
        <v>46009.0</v>
      </c>
      <c r="X1145" s="49">
        <v>0.3597222222222222</v>
      </c>
      <c r="Y1145" s="45">
        <v>46009.0</v>
      </c>
      <c r="Z1145" s="49">
        <v>0.6743055555555556</v>
      </c>
      <c r="AA1145" s="49">
        <v>0.6770833333333334</v>
      </c>
      <c r="AB1145" s="29"/>
      <c r="AC1145" s="29"/>
      <c r="AD1145" s="25">
        <v>0.6944444444444444</v>
      </c>
      <c r="AE1145" s="45">
        <v>46009.0</v>
      </c>
      <c r="AF1145" s="21" t="s">
        <v>5851</v>
      </c>
      <c r="AG1145" s="21" t="s">
        <v>5541</v>
      </c>
      <c r="AH1145" s="21" t="s">
        <v>8474</v>
      </c>
      <c r="AI1145" s="62" t="str">
        <f>IFERROR(__xludf.DUMMYFUNCTION("IF(OR(W1145="""",X1145="""",AE1145="""",AD1145=""""),"""",
   TEXT(
     (
       (AE1145+AD1145 + IF(AE1145+AD1145 &lt; W1145+X1145,1,0)) - (W1145+X1145)
     )
     - IF(AND(AB1145&lt;&gt;"""",AC1145&lt;&gt;""""), 
          SUM(ARRAYFORMULA(SPLIT(AC1145,"","") - SPLI"&amp;"T(AB1145,"",""))), 
          0
       ),
     ""[hh]:mm""
   )
)
"),"08:02")</f>
        <v>08:02</v>
      </c>
      <c r="AJ1145" s="27">
        <f t="shared" si="16"/>
        <v>0</v>
      </c>
      <c r="AK1145" s="63" t="str">
        <f t="shared" si="17"/>
        <v>Pass</v>
      </c>
    </row>
    <row r="1146">
      <c r="A1146" s="45">
        <v>46009.0</v>
      </c>
      <c r="B1146" s="49">
        <v>0.3576388888888889</v>
      </c>
      <c r="C1146" s="45">
        <v>46009.0</v>
      </c>
      <c r="D1146" s="49">
        <v>0.36041666666666666</v>
      </c>
      <c r="E1146" s="21" t="s">
        <v>8475</v>
      </c>
      <c r="F1146" s="106" t="s">
        <v>4300</v>
      </c>
      <c r="G1146" s="106" t="s">
        <v>4301</v>
      </c>
      <c r="H1146" s="21" t="s">
        <v>3093</v>
      </c>
      <c r="I1146" s="21" t="s">
        <v>616</v>
      </c>
      <c r="J1146" s="21" t="s">
        <v>2253</v>
      </c>
      <c r="K1146" s="21" t="s">
        <v>43</v>
      </c>
      <c r="L1146" s="21" t="s">
        <v>2663</v>
      </c>
      <c r="M1146" s="21" t="s">
        <v>8476</v>
      </c>
      <c r="N1146" s="21" t="s">
        <v>8464</v>
      </c>
      <c r="O1146" s="48" t="s">
        <v>8477</v>
      </c>
      <c r="P1146" s="21" t="s">
        <v>75</v>
      </c>
      <c r="Q1146" s="24" t="s">
        <v>198</v>
      </c>
      <c r="R1146" s="21" t="s">
        <v>8469</v>
      </c>
      <c r="S1146" s="21" t="s">
        <v>51</v>
      </c>
      <c r="T1146" s="21" t="s">
        <v>52</v>
      </c>
      <c r="U1146" s="21" t="s">
        <v>52</v>
      </c>
      <c r="V1146" s="21" t="s">
        <v>52</v>
      </c>
      <c r="W1146" s="45">
        <v>46009.0</v>
      </c>
      <c r="X1146" s="49">
        <v>0.36041666666666666</v>
      </c>
      <c r="Y1146" s="45">
        <v>46009.0</v>
      </c>
      <c r="Z1146" s="49">
        <v>0.5069444444444444</v>
      </c>
      <c r="AA1146" s="49">
        <v>0.5138888888888888</v>
      </c>
      <c r="AB1146" s="29"/>
      <c r="AC1146" s="29"/>
      <c r="AD1146" s="25">
        <v>0.5416666666666666</v>
      </c>
      <c r="AE1146" s="45">
        <v>46009.0</v>
      </c>
      <c r="AF1146" s="21" t="s">
        <v>5851</v>
      </c>
      <c r="AG1146" s="21" t="s">
        <v>5054</v>
      </c>
      <c r="AH1146" s="21" t="s">
        <v>8478</v>
      </c>
      <c r="AI1146" s="62" t="str">
        <f>IFERROR(__xludf.DUMMYFUNCTION("IF(OR(W1146="""",X1146="""",AE1146="""",AD1146=""""),"""",
   TEXT(
     (
       (AE1146+AD1146 + IF(AE1146+AD1146 &lt; W1146+X1146,1,0)) - (W1146+X1146)
     )
     - IF(AND(AB1146&lt;&gt;"""",AC1146&lt;&gt;""""), 
          SUM(ARRAYFORMULA(SPLIT(AC1146,"","") - SPLI"&amp;"T(AB1146,"",""))), 
          0
       ),
     ""[hh]:mm""
   )
)
"),"04:21")</f>
        <v>04:21</v>
      </c>
      <c r="AJ1146" s="27">
        <f t="shared" si="16"/>
        <v>0</v>
      </c>
      <c r="AK1146" s="63" t="str">
        <f t="shared" si="17"/>
        <v>Pass</v>
      </c>
    </row>
    <row r="1147">
      <c r="A1147" s="45">
        <v>46009.0</v>
      </c>
      <c r="B1147" s="49">
        <v>0.34652777777777777</v>
      </c>
      <c r="C1147" s="45">
        <v>46009.0</v>
      </c>
      <c r="D1147" s="49">
        <v>0.40069444444444446</v>
      </c>
      <c r="E1147" s="21" t="s">
        <v>8479</v>
      </c>
      <c r="F1147" s="21" t="s">
        <v>8480</v>
      </c>
      <c r="G1147" s="21" t="s">
        <v>8481</v>
      </c>
      <c r="H1147" s="21" t="s">
        <v>130</v>
      </c>
      <c r="I1147" s="21" t="s">
        <v>234</v>
      </c>
      <c r="J1147" s="21" t="s">
        <v>3813</v>
      </c>
      <c r="K1147" s="21" t="s">
        <v>61</v>
      </c>
      <c r="L1147" s="21" t="s">
        <v>183</v>
      </c>
      <c r="M1147" s="21" t="s">
        <v>8482</v>
      </c>
      <c r="N1147" s="21" t="s">
        <v>8483</v>
      </c>
      <c r="O1147" s="48" t="s">
        <v>8484</v>
      </c>
      <c r="P1147" s="21" t="s">
        <v>75</v>
      </c>
      <c r="Q1147" s="24" t="s">
        <v>65</v>
      </c>
      <c r="R1147" s="21" t="s">
        <v>8485</v>
      </c>
      <c r="S1147" s="21" t="s">
        <v>51</v>
      </c>
      <c r="T1147" s="21" t="s">
        <v>6566</v>
      </c>
      <c r="U1147" s="21">
        <v>7429990.0</v>
      </c>
      <c r="V1147" s="21">
        <v>7429900.0</v>
      </c>
      <c r="W1147" s="45">
        <v>46009.0</v>
      </c>
      <c r="X1147" s="49">
        <v>0.40069444444444446</v>
      </c>
      <c r="Y1147" s="45">
        <v>46009.0</v>
      </c>
      <c r="Z1147" s="49">
        <v>0.4791666666666667</v>
      </c>
      <c r="AA1147" s="49">
        <v>0.4930555555555556</v>
      </c>
      <c r="AB1147" s="25">
        <v>0.5208333333333334</v>
      </c>
      <c r="AC1147" s="25">
        <v>0.5659722222222222</v>
      </c>
      <c r="AD1147" s="25">
        <v>0.625</v>
      </c>
      <c r="AE1147" s="45">
        <v>46009.0</v>
      </c>
      <c r="AF1147" s="21" t="s">
        <v>5717</v>
      </c>
      <c r="AG1147" s="21" t="s">
        <v>78</v>
      </c>
      <c r="AH1147" s="21" t="s">
        <v>8486</v>
      </c>
      <c r="AI1147" s="62" t="str">
        <f>IFERROR(__xludf.DUMMYFUNCTION("IF(OR(W1147="""",X1147="""",AE1147="""",AD1147=""""),"""",
   TEXT(
     (
       (AE1147+AD1147 + IF(AE1147+AD1147 &lt; W1147+X1147,1,0)) - (W1147+X1147)
     )
     - IF(AND(AB1147&lt;&gt;"""",AC1147&lt;&gt;""""), 
          SUM(ARRAYFORMULA(SPLIT(AC1147,"","") - SPLI"&amp;"T(AB1147,"",""))), 
          0
       ),
     ""[hh]:mm""
   )
)
"),"04:18")</f>
        <v>04:18</v>
      </c>
      <c r="AJ1147" s="27">
        <f t="shared" si="16"/>
        <v>0</v>
      </c>
      <c r="AK1147" s="63" t="str">
        <f t="shared" si="17"/>
        <v>Pass</v>
      </c>
    </row>
    <row r="1148">
      <c r="A1148" s="45">
        <v>46006.0</v>
      </c>
      <c r="B1148" s="49">
        <v>0.5138888888888888</v>
      </c>
      <c r="C1148" s="45">
        <v>46006.0</v>
      </c>
      <c r="D1148" s="49">
        <v>0.5180555555555556</v>
      </c>
      <c r="E1148" s="21" t="s">
        <v>8487</v>
      </c>
      <c r="F1148" s="21" t="s">
        <v>3265</v>
      </c>
      <c r="G1148" s="21" t="s">
        <v>3266</v>
      </c>
      <c r="H1148" s="21" t="s">
        <v>1610</v>
      </c>
      <c r="I1148" s="21" t="s">
        <v>1612</v>
      </c>
      <c r="J1148" s="21" t="s">
        <v>1612</v>
      </c>
      <c r="K1148" s="21" t="s">
        <v>143</v>
      </c>
      <c r="L1148" s="21" t="s">
        <v>1613</v>
      </c>
      <c r="M1148" s="21" t="s">
        <v>8488</v>
      </c>
      <c r="N1148" s="21" t="s">
        <v>8489</v>
      </c>
      <c r="O1148" s="48" t="s">
        <v>8490</v>
      </c>
      <c r="P1148" s="21" t="s">
        <v>187</v>
      </c>
      <c r="Q1148" s="24" t="s">
        <v>65</v>
      </c>
      <c r="R1148" s="21" t="s">
        <v>8491</v>
      </c>
      <c r="S1148" s="21" t="s">
        <v>51</v>
      </c>
      <c r="T1148" s="21" t="s">
        <v>52</v>
      </c>
      <c r="U1148" s="21" t="s">
        <v>52</v>
      </c>
      <c r="V1148" s="21" t="s">
        <v>52</v>
      </c>
      <c r="W1148" s="45">
        <v>46009.0</v>
      </c>
      <c r="X1148" s="49">
        <v>0.3951388888888889</v>
      </c>
      <c r="Y1148" s="45">
        <v>46009.0</v>
      </c>
      <c r="Z1148" s="49">
        <v>0.65625</v>
      </c>
      <c r="AA1148" s="49">
        <v>0.6597222222222222</v>
      </c>
      <c r="AB1148" s="29"/>
      <c r="AC1148" s="29"/>
      <c r="AD1148" s="25">
        <v>0.7361111111111112</v>
      </c>
      <c r="AE1148" s="45">
        <v>46009.0</v>
      </c>
      <c r="AF1148" s="21" t="s">
        <v>7241</v>
      </c>
      <c r="AG1148" s="21" t="s">
        <v>1475</v>
      </c>
      <c r="AH1148" s="21" t="s">
        <v>8492</v>
      </c>
      <c r="AI1148" s="62" t="str">
        <f>IFERROR(__xludf.DUMMYFUNCTION("IF(OR(W1148="""",X1148="""",AE1148="""",AD1148=""""),"""",
   TEXT(
     (
       (AE1148+AD1148 + IF(AE1148+AD1148 &lt; W1148+X1148,1,0)) - (W1148+X1148)
     )
     - IF(AND(AB1148&lt;&gt;"""",AC1148&lt;&gt;""""), 
          SUM(ARRAYFORMULA(SPLIT(AC1148,"","") - SPLI"&amp;"T(AB1148,"",""))), 
          0
       ),
     ""[hh]:mm""
   )
)
"),"08:11")</f>
        <v>08:11</v>
      </c>
      <c r="AJ1148" s="27">
        <f t="shared" si="16"/>
        <v>0</v>
      </c>
      <c r="AK1148" s="63" t="str">
        <f t="shared" si="17"/>
        <v>Pass</v>
      </c>
    </row>
    <row r="1149">
      <c r="A1149" s="45">
        <v>46009.0</v>
      </c>
      <c r="B1149" s="49">
        <v>0.3819444444444444</v>
      </c>
      <c r="C1149" s="45">
        <v>46009.0</v>
      </c>
      <c r="D1149" s="49">
        <v>0.3951388888888889</v>
      </c>
      <c r="E1149" s="21" t="s">
        <v>8493</v>
      </c>
      <c r="F1149" s="21" t="s">
        <v>3265</v>
      </c>
      <c r="G1149" s="21" t="s">
        <v>3266</v>
      </c>
      <c r="H1149" s="21" t="s">
        <v>1610</v>
      </c>
      <c r="I1149" s="21" t="s">
        <v>1612</v>
      </c>
      <c r="J1149" s="21" t="s">
        <v>1612</v>
      </c>
      <c r="K1149" s="21" t="s">
        <v>143</v>
      </c>
      <c r="L1149" s="21" t="s">
        <v>1613</v>
      </c>
      <c r="M1149" s="21" t="s">
        <v>8494</v>
      </c>
      <c r="N1149" s="21" t="s">
        <v>8495</v>
      </c>
      <c r="O1149" s="48" t="s">
        <v>8490</v>
      </c>
      <c r="P1149" s="21" t="s">
        <v>187</v>
      </c>
      <c r="Q1149" s="24" t="s">
        <v>65</v>
      </c>
      <c r="R1149" s="21" t="s">
        <v>8491</v>
      </c>
      <c r="S1149" s="21" t="s">
        <v>51</v>
      </c>
      <c r="T1149" s="21" t="s">
        <v>52</v>
      </c>
      <c r="U1149" s="21" t="s">
        <v>52</v>
      </c>
      <c r="V1149" s="21" t="s">
        <v>52</v>
      </c>
      <c r="W1149" s="45">
        <v>46009.0</v>
      </c>
      <c r="X1149" s="49">
        <v>0.3951388888888889</v>
      </c>
      <c r="Y1149" s="45">
        <v>46009.0</v>
      </c>
      <c r="Z1149" s="49">
        <v>0.65625</v>
      </c>
      <c r="AA1149" s="49">
        <v>0.6597222222222222</v>
      </c>
      <c r="AB1149" s="29"/>
      <c r="AC1149" s="29"/>
      <c r="AD1149" s="25">
        <v>0.7361111111111112</v>
      </c>
      <c r="AE1149" s="45">
        <v>46009.0</v>
      </c>
      <c r="AF1149" s="21" t="s">
        <v>7241</v>
      </c>
      <c r="AG1149" s="21" t="s">
        <v>1475</v>
      </c>
      <c r="AH1149" s="21" t="s">
        <v>8492</v>
      </c>
      <c r="AI1149" s="62" t="str">
        <f>IFERROR(__xludf.DUMMYFUNCTION("IF(OR(W1149="""",X1149="""",AE1149="""",AD1149=""""),"""",
   TEXT(
     (
       (AE1149+AD1149 + IF(AE1149+AD1149 &lt; W1149+X1149,1,0)) - (W1149+X1149)
     )
     - IF(AND(AB1149&lt;&gt;"""",AC1149&lt;&gt;""""), 
          SUM(ARRAYFORMULA(SPLIT(AC1149,"","") - SPLI"&amp;"T(AB1149,"",""))), 
          0
       ),
     ""[hh]:mm""
   )
)
"),"08:11")</f>
        <v>08:11</v>
      </c>
      <c r="AJ1149" s="27">
        <f t="shared" si="16"/>
        <v>0</v>
      </c>
      <c r="AK1149" s="63" t="str">
        <f t="shared" si="17"/>
        <v>Pass</v>
      </c>
    </row>
    <row r="1150">
      <c r="A1150" s="45">
        <v>46009.0</v>
      </c>
      <c r="B1150" s="49">
        <v>0.4305555555555556</v>
      </c>
      <c r="C1150" s="45">
        <v>46009.0</v>
      </c>
      <c r="D1150" s="49">
        <v>0.43194444444444446</v>
      </c>
      <c r="E1150" s="21" t="s">
        <v>8496</v>
      </c>
      <c r="F1150" s="21" t="s">
        <v>1064</v>
      </c>
      <c r="G1150" s="21" t="s">
        <v>1065</v>
      </c>
      <c r="H1150" s="21" t="s">
        <v>130</v>
      </c>
      <c r="I1150" s="21" t="s">
        <v>60</v>
      </c>
      <c r="J1150" s="21" t="s">
        <v>3813</v>
      </c>
      <c r="K1150" s="21" t="s">
        <v>61</v>
      </c>
      <c r="L1150" s="21" t="s">
        <v>183</v>
      </c>
      <c r="M1150" s="21" t="s">
        <v>8497</v>
      </c>
      <c r="N1150" s="21" t="s">
        <v>8498</v>
      </c>
      <c r="O1150" s="48" t="s">
        <v>8499</v>
      </c>
      <c r="P1150" s="21" t="s">
        <v>75</v>
      </c>
      <c r="Q1150" s="24" t="s">
        <v>65</v>
      </c>
      <c r="R1150" s="21" t="s">
        <v>8500</v>
      </c>
      <c r="S1150" s="21" t="s">
        <v>51</v>
      </c>
      <c r="T1150" s="21" t="s">
        <v>52</v>
      </c>
      <c r="U1150" s="21" t="s">
        <v>52</v>
      </c>
      <c r="V1150" s="21" t="s">
        <v>52</v>
      </c>
      <c r="W1150" s="45">
        <v>46009.0</v>
      </c>
      <c r="X1150" s="49">
        <v>0.43194444444444446</v>
      </c>
      <c r="Y1150" s="45">
        <v>46009.0</v>
      </c>
      <c r="Z1150" s="49">
        <v>0.5284722222222222</v>
      </c>
      <c r="AA1150" s="49">
        <v>0.53125</v>
      </c>
      <c r="AB1150" s="29"/>
      <c r="AC1150" s="29"/>
      <c r="AD1150" s="25">
        <v>0.5625</v>
      </c>
      <c r="AE1150" s="45">
        <v>46009.0</v>
      </c>
      <c r="AF1150" s="21" t="s">
        <v>2931</v>
      </c>
      <c r="AG1150" s="21" t="s">
        <v>1475</v>
      </c>
      <c r="AH1150" s="21" t="s">
        <v>8450</v>
      </c>
      <c r="AI1150" s="62" t="str">
        <f>IFERROR(__xludf.DUMMYFUNCTION("IF(OR(W1150="""",X1150="""",AE1150="""",AD1150=""""),"""",
   TEXT(
     (
       (AE1150+AD1150 + IF(AE1150+AD1150 &lt; W1150+X1150,1,0)) - (W1150+X1150)
     )
     - IF(AND(AB1150&lt;&gt;"""",AC1150&lt;&gt;""""), 
          SUM(ARRAYFORMULA(SPLIT(AC1150,"","") - SPLI"&amp;"T(AB1150,"",""))), 
          0
       ),
     ""[hh]:mm""
   )
)
"),"03:08")</f>
        <v>03:08</v>
      </c>
      <c r="AJ1150" s="27">
        <f t="shared" si="16"/>
        <v>0</v>
      </c>
      <c r="AK1150" s="63" t="str">
        <f t="shared" si="17"/>
        <v>Pass</v>
      </c>
    </row>
    <row r="1151">
      <c r="A1151" s="45">
        <v>46009.0</v>
      </c>
      <c r="B1151" s="49">
        <v>0.41944444444444445</v>
      </c>
      <c r="C1151" s="45">
        <v>46009.0</v>
      </c>
      <c r="D1151" s="49">
        <v>0.42291666666666666</v>
      </c>
      <c r="E1151" s="21" t="s">
        <v>8501</v>
      </c>
      <c r="F1151" s="21" t="s">
        <v>7979</v>
      </c>
      <c r="G1151" s="21" t="s">
        <v>7980</v>
      </c>
      <c r="H1151" s="21" t="s">
        <v>566</v>
      </c>
      <c r="I1151" s="21" t="s">
        <v>95</v>
      </c>
      <c r="J1151" s="21" t="s">
        <v>95</v>
      </c>
      <c r="K1151" s="21" t="s">
        <v>143</v>
      </c>
      <c r="L1151" s="21" t="s">
        <v>3716</v>
      </c>
      <c r="M1151" s="21" t="s">
        <v>8502</v>
      </c>
      <c r="N1151" s="21" t="s">
        <v>8503</v>
      </c>
      <c r="O1151" s="48" t="s">
        <v>8504</v>
      </c>
      <c r="P1151" s="21" t="s">
        <v>48</v>
      </c>
      <c r="Q1151" s="24" t="s">
        <v>65</v>
      </c>
      <c r="R1151" s="21" t="s">
        <v>8505</v>
      </c>
      <c r="S1151" s="21" t="s">
        <v>51</v>
      </c>
      <c r="T1151" s="21" t="s">
        <v>52</v>
      </c>
      <c r="U1151" s="21" t="s">
        <v>52</v>
      </c>
      <c r="V1151" s="21" t="s">
        <v>52</v>
      </c>
      <c r="W1151" s="45">
        <v>46009.0</v>
      </c>
      <c r="X1151" s="49">
        <v>0.42291666666666666</v>
      </c>
      <c r="Y1151" s="45">
        <v>46009.0</v>
      </c>
      <c r="Z1151" s="49">
        <v>0.5715277777777777</v>
      </c>
      <c r="AA1151" s="49">
        <v>0.5729166666666666</v>
      </c>
      <c r="AB1151" s="29"/>
      <c r="AC1151" s="29"/>
      <c r="AD1151" s="25">
        <v>0.6180555555555556</v>
      </c>
      <c r="AE1151" s="45">
        <v>46009.0</v>
      </c>
      <c r="AF1151" s="21" t="s">
        <v>5851</v>
      </c>
      <c r="AG1151" s="21" t="s">
        <v>102</v>
      </c>
      <c r="AH1151" s="21" t="s">
        <v>8506</v>
      </c>
      <c r="AI1151" s="62" t="str">
        <f>IFERROR(__xludf.DUMMYFUNCTION("IF(OR(W1151="""",X1151="""",AE1151="""",AD1151=""""),"""",
   TEXT(
     (
       (AE1151+AD1151 + IF(AE1151+AD1151 &lt; W1151+X1151,1,0)) - (W1151+X1151)
     )
     - IF(AND(AB1151&lt;&gt;"""",AC1151&lt;&gt;""""), 
          SUM(ARRAYFORMULA(SPLIT(AC1151,"","") - SPLI"&amp;"T(AB1151,"",""))), 
          0
       ),
     ""[hh]:mm""
   )
)
"),"04:41")</f>
        <v>04:41</v>
      </c>
      <c r="AJ1151" s="27">
        <f t="shared" si="16"/>
        <v>0</v>
      </c>
      <c r="AK1151" s="63" t="str">
        <f t="shared" si="17"/>
        <v>Pass</v>
      </c>
    </row>
    <row r="1152">
      <c r="A1152" s="45">
        <v>46009.0</v>
      </c>
      <c r="B1152" s="49">
        <v>0.5715277777777777</v>
      </c>
      <c r="C1152" s="45">
        <v>46009.0</v>
      </c>
      <c r="D1152" s="49">
        <v>0.5715277777777777</v>
      </c>
      <c r="E1152" s="21" t="s">
        <v>8507</v>
      </c>
      <c r="F1152" s="21" t="s">
        <v>7979</v>
      </c>
      <c r="G1152" s="21" t="s">
        <v>7980</v>
      </c>
      <c r="H1152" s="21" t="s">
        <v>156</v>
      </c>
      <c r="I1152" s="21" t="s">
        <v>616</v>
      </c>
      <c r="J1152" s="21" t="s">
        <v>3806</v>
      </c>
      <c r="K1152" s="21" t="s">
        <v>43</v>
      </c>
      <c r="L1152" s="21" t="s">
        <v>805</v>
      </c>
      <c r="M1152" s="21" t="s">
        <v>7981</v>
      </c>
      <c r="N1152" s="21" t="s">
        <v>8508</v>
      </c>
      <c r="O1152" s="48" t="s">
        <v>8509</v>
      </c>
      <c r="P1152" s="21" t="s">
        <v>75</v>
      </c>
      <c r="Q1152" s="24" t="s">
        <v>65</v>
      </c>
      <c r="R1152" s="102" t="s">
        <v>8510</v>
      </c>
      <c r="S1152" s="21" t="s">
        <v>51</v>
      </c>
      <c r="T1152" s="21" t="s">
        <v>52</v>
      </c>
      <c r="U1152" s="21" t="s">
        <v>52</v>
      </c>
      <c r="V1152" s="21" t="s">
        <v>52</v>
      </c>
      <c r="W1152" s="45">
        <v>46009.0</v>
      </c>
      <c r="X1152" s="88">
        <v>0.5715277777777777</v>
      </c>
      <c r="Y1152" s="45">
        <v>46009.0</v>
      </c>
      <c r="Z1152" s="49">
        <v>0.5715277777777777</v>
      </c>
      <c r="AA1152" s="49">
        <v>0.5729166666666666</v>
      </c>
      <c r="AB1152" s="29"/>
      <c r="AC1152" s="29"/>
      <c r="AD1152" s="25">
        <v>0.6180555555555556</v>
      </c>
      <c r="AE1152" s="45">
        <v>46009.0</v>
      </c>
      <c r="AF1152" s="21" t="s">
        <v>33</v>
      </c>
      <c r="AG1152" s="21" t="s">
        <v>102</v>
      </c>
      <c r="AH1152" s="21" t="s">
        <v>8506</v>
      </c>
      <c r="AI1152" s="62" t="str">
        <f>IFERROR(__xludf.DUMMYFUNCTION("IF(OR(W1152="""",X1152="""",AE1152="""",AD1152=""""),"""",
   TEXT(
     (
       (AE1152+AD1152 + IF(AE1152+AD1152 &lt; W1152+X1152,1,0)) - (W1152+X1152)
     )
     - IF(AND(AB1152&lt;&gt;"""",AC1152&lt;&gt;""""), 
          SUM(ARRAYFORMULA(SPLIT(AC1152,"","") - SPLI"&amp;"T(AB1152,"",""))), 
          0
       ),
     ""[hh]:mm""
   )
)
"),"01:07")</f>
        <v>01:07</v>
      </c>
      <c r="AJ1152" s="27">
        <f t="shared" si="16"/>
        <v>0</v>
      </c>
      <c r="AK1152" s="63" t="str">
        <f t="shared" si="17"/>
        <v>Pass</v>
      </c>
    </row>
    <row r="1153">
      <c r="A1153" s="45">
        <v>46003.0</v>
      </c>
      <c r="B1153" s="49">
        <v>0.7027777777777777</v>
      </c>
      <c r="C1153" s="45">
        <v>46003.0</v>
      </c>
      <c r="D1153" s="49">
        <v>0.7083333333333334</v>
      </c>
      <c r="E1153" s="21" t="s">
        <v>8511</v>
      </c>
      <c r="F1153" s="21" t="s">
        <v>2910</v>
      </c>
      <c r="G1153" s="21" t="s">
        <v>2911</v>
      </c>
      <c r="H1153" s="21" t="s">
        <v>566</v>
      </c>
      <c r="I1153" s="21" t="s">
        <v>815</v>
      </c>
      <c r="J1153" s="21" t="s">
        <v>1084</v>
      </c>
      <c r="K1153" s="21" t="s">
        <v>5507</v>
      </c>
      <c r="L1153" s="21" t="s">
        <v>8512</v>
      </c>
      <c r="M1153" s="21" t="s">
        <v>8513</v>
      </c>
      <c r="N1153" s="21" t="s">
        <v>8514</v>
      </c>
      <c r="O1153" s="48" t="s">
        <v>8515</v>
      </c>
      <c r="P1153" s="21" t="s">
        <v>48</v>
      </c>
      <c r="Q1153" s="24" t="s">
        <v>198</v>
      </c>
      <c r="R1153" s="21" t="s">
        <v>8516</v>
      </c>
      <c r="S1153" s="21" t="s">
        <v>51</v>
      </c>
      <c r="T1153" s="21" t="s">
        <v>7517</v>
      </c>
      <c r="U1153" s="21" t="s">
        <v>8513</v>
      </c>
      <c r="V1153" s="21">
        <v>8.6158504369719E14</v>
      </c>
      <c r="W1153" s="45">
        <v>46009.0</v>
      </c>
      <c r="X1153" s="49">
        <v>0.9583333333333334</v>
      </c>
      <c r="Y1153" s="45">
        <v>46009.0</v>
      </c>
      <c r="Z1153" s="49">
        <v>0.9145833333333333</v>
      </c>
      <c r="AA1153" s="49">
        <v>0.9791666666666666</v>
      </c>
      <c r="AB1153" s="25">
        <v>0.9159722222222222</v>
      </c>
      <c r="AC1153" s="49">
        <v>0.9791666666666666</v>
      </c>
      <c r="AD1153" s="25">
        <v>0.08333333333333333</v>
      </c>
      <c r="AE1153" s="45">
        <v>46009.0</v>
      </c>
      <c r="AF1153" s="21" t="s">
        <v>2918</v>
      </c>
      <c r="AG1153" s="21" t="s">
        <v>151</v>
      </c>
      <c r="AH1153" s="21" t="s">
        <v>8517</v>
      </c>
      <c r="AI1153" s="62" t="str">
        <f>IFERROR(__xludf.DUMMYFUNCTION("IF(OR(W1153="""",X1153="""",AE1153="""",AD1153=""""),"""",
   TEXT(
     (
       (AE1153+AD1153 + IF(AE1153+AD1153 &lt; W1153+X1153,1,0)) - (W1153+X1153)
     )
     - IF(AND(AB1153&lt;&gt;"""",AC1153&lt;&gt;""""), 
          SUM(ARRAYFORMULA(SPLIT(AC1153,"","") - SPLI"&amp;"T(AB1153,"",""))), 
          0
       ),
     ""[hh]:mm""
   )
)
"),"01:29")</f>
        <v>01:29</v>
      </c>
      <c r="AJ1153" s="27">
        <f t="shared" si="16"/>
        <v>0</v>
      </c>
      <c r="AK1153" s="63" t="str">
        <f t="shared" si="17"/>
        <v>Pass</v>
      </c>
    </row>
    <row r="1154">
      <c r="A1154" s="45">
        <v>46009.0</v>
      </c>
      <c r="B1154" s="49">
        <v>0.4361111111111111</v>
      </c>
      <c r="C1154" s="45">
        <v>46009.0</v>
      </c>
      <c r="D1154" s="49">
        <v>0.4409722222222222</v>
      </c>
      <c r="E1154" s="21" t="s">
        <v>8518</v>
      </c>
      <c r="F1154" s="21" t="s">
        <v>5252</v>
      </c>
      <c r="G1154" s="21" t="s">
        <v>5253</v>
      </c>
      <c r="H1154" s="21" t="s">
        <v>182</v>
      </c>
      <c r="I1154" s="21" t="s">
        <v>60</v>
      </c>
      <c r="J1154" s="21" t="s">
        <v>3813</v>
      </c>
      <c r="K1154" s="21" t="s">
        <v>61</v>
      </c>
      <c r="L1154" s="21" t="s">
        <v>183</v>
      </c>
      <c r="M1154" s="21" t="s">
        <v>8519</v>
      </c>
      <c r="N1154" s="21" t="s">
        <v>8520</v>
      </c>
      <c r="O1154" s="48" t="s">
        <v>8521</v>
      </c>
      <c r="P1154" s="21" t="s">
        <v>75</v>
      </c>
      <c r="Q1154" s="24" t="s">
        <v>49</v>
      </c>
      <c r="R1154" s="21" t="s">
        <v>8522</v>
      </c>
      <c r="S1154" s="21" t="s">
        <v>51</v>
      </c>
      <c r="T1154" s="21" t="s">
        <v>52</v>
      </c>
      <c r="U1154" s="21" t="s">
        <v>52</v>
      </c>
      <c r="V1154" s="21" t="s">
        <v>52</v>
      </c>
      <c r="W1154" s="45">
        <v>46009.0</v>
      </c>
      <c r="X1154" s="49">
        <v>0.4409722222222222</v>
      </c>
      <c r="Y1154" s="45">
        <v>46009.0</v>
      </c>
      <c r="Z1154" s="49">
        <v>0.4791666666666667</v>
      </c>
      <c r="AA1154" s="49">
        <v>0.48194444444444445</v>
      </c>
      <c r="AB1154" s="24" t="s">
        <v>8523</v>
      </c>
      <c r="AC1154" s="24" t="s">
        <v>8524</v>
      </c>
      <c r="AD1154" s="25">
        <v>0.6041666666666666</v>
      </c>
      <c r="AE1154" s="45">
        <v>46009.0</v>
      </c>
      <c r="AF1154" s="21" t="s">
        <v>2931</v>
      </c>
      <c r="AG1154" s="21" t="s">
        <v>313</v>
      </c>
      <c r="AH1154" s="21" t="s">
        <v>8525</v>
      </c>
      <c r="AI1154" s="62" t="str">
        <f>IFERROR(__xludf.DUMMYFUNCTION("IF(OR(W1154="""",X1154="""",AE1154="""",AD1154=""""),"""",
   TEXT(
     (
       (AE1154+AD1154 + IF(AE1154+AD1154 &lt; W1154+X1154,1,0)) - (W1154+X1154)
     )
     - IF(AND(AB1154&lt;&gt;"""",AC1154&lt;&gt;""""), 
          SUM(ARRAYFORMULA(SPLIT(AC1154,"","") - SPLI"&amp;"T(AB1154,"",""))), 
          0
       ),
     ""[hh]:mm""
   )
)
"),"02:07")</f>
        <v>02:07</v>
      </c>
      <c r="AJ1154" s="27">
        <f t="shared" si="16"/>
        <v>0</v>
      </c>
      <c r="AK1154" s="63" t="str">
        <f t="shared" si="17"/>
        <v>Pass</v>
      </c>
    </row>
    <row r="1155">
      <c r="A1155" s="45">
        <v>46009.0</v>
      </c>
      <c r="B1155" s="49">
        <v>0.44930555555555557</v>
      </c>
      <c r="C1155" s="45">
        <v>46009.0</v>
      </c>
      <c r="D1155" s="49">
        <v>0.4513888888888889</v>
      </c>
      <c r="E1155" s="21" t="s">
        <v>8526</v>
      </c>
      <c r="F1155" s="21" t="s">
        <v>5252</v>
      </c>
      <c r="G1155" s="21" t="s">
        <v>5253</v>
      </c>
      <c r="H1155" s="21" t="s">
        <v>182</v>
      </c>
      <c r="I1155" s="21" t="s">
        <v>234</v>
      </c>
      <c r="J1155" s="21" t="s">
        <v>3813</v>
      </c>
      <c r="K1155" s="21" t="s">
        <v>61</v>
      </c>
      <c r="L1155" s="21" t="s">
        <v>183</v>
      </c>
      <c r="M1155" s="21" t="s">
        <v>8527</v>
      </c>
      <c r="N1155" s="21" t="s">
        <v>8520</v>
      </c>
      <c r="O1155" s="48" t="s">
        <v>8528</v>
      </c>
      <c r="P1155" s="21" t="s">
        <v>75</v>
      </c>
      <c r="Q1155" s="24" t="s">
        <v>49</v>
      </c>
      <c r="R1155" s="21" t="s">
        <v>8522</v>
      </c>
      <c r="S1155" s="21" t="s">
        <v>51</v>
      </c>
      <c r="T1155" s="21" t="s">
        <v>52</v>
      </c>
      <c r="U1155" s="21" t="s">
        <v>52</v>
      </c>
      <c r="V1155" s="21" t="s">
        <v>52</v>
      </c>
      <c r="W1155" s="45">
        <v>46009.0</v>
      </c>
      <c r="X1155" s="49">
        <v>0.4513888888888889</v>
      </c>
      <c r="Y1155" s="45">
        <v>46009.0</v>
      </c>
      <c r="Z1155" s="49">
        <v>0.4791666666666667</v>
      </c>
      <c r="AA1155" s="49">
        <v>0.6576388888888889</v>
      </c>
      <c r="AB1155" s="24" t="s">
        <v>8529</v>
      </c>
      <c r="AC1155" s="24" t="s">
        <v>8530</v>
      </c>
      <c r="AD1155" s="25">
        <v>0.7486111111111111</v>
      </c>
      <c r="AE1155" s="45">
        <v>46009.0</v>
      </c>
      <c r="AF1155" s="21" t="s">
        <v>2931</v>
      </c>
      <c r="AG1155" s="21" t="s">
        <v>313</v>
      </c>
      <c r="AH1155" s="21" t="s">
        <v>8525</v>
      </c>
      <c r="AI1155" s="62" t="str">
        <f>IFERROR(__xludf.DUMMYFUNCTION("IF(OR(W1155="""",X1155="""",AE1155="""",AD1155=""""),"""",
   TEXT(
     (
       (AE1155+AD1155 + IF(AE1155+AD1155 &lt; W1155+X1155,1,0)) - (W1155+X1155)
     )
     - IF(AND(AB1155&lt;&gt;"""",AC1155&lt;&gt;""""), 
          SUM(ARRAYFORMULA(SPLIT(AC1155,"","") - SPLI"&amp;"T(AB1155,"",""))), 
          0
       ),
     ""[hh]:mm""
   )
)
"),"02:16")</f>
        <v>02:16</v>
      </c>
      <c r="AJ1155" s="27">
        <f t="shared" si="16"/>
        <v>0</v>
      </c>
      <c r="AK1155" s="63" t="str">
        <f t="shared" si="17"/>
        <v>Pass</v>
      </c>
    </row>
    <row r="1156">
      <c r="A1156" s="45">
        <v>46009.0</v>
      </c>
      <c r="B1156" s="49">
        <v>0.5243055555555556</v>
      </c>
      <c r="C1156" s="45">
        <v>46009.0</v>
      </c>
      <c r="D1156" s="49">
        <v>0.5291666666666667</v>
      </c>
      <c r="E1156" s="21" t="s">
        <v>8531</v>
      </c>
      <c r="F1156" s="21" t="s">
        <v>202</v>
      </c>
      <c r="G1156" s="21" t="s">
        <v>8457</v>
      </c>
      <c r="H1156" s="21" t="s">
        <v>1610</v>
      </c>
      <c r="I1156" s="21" t="s">
        <v>1612</v>
      </c>
      <c r="J1156" s="21" t="s">
        <v>1612</v>
      </c>
      <c r="K1156" s="21" t="s">
        <v>143</v>
      </c>
      <c r="L1156" s="21" t="s">
        <v>1613</v>
      </c>
      <c r="M1156" s="21" t="s">
        <v>8532</v>
      </c>
      <c r="N1156" s="21" t="s">
        <v>8533</v>
      </c>
      <c r="O1156" s="48" t="s">
        <v>8534</v>
      </c>
      <c r="P1156" s="21" t="s">
        <v>187</v>
      </c>
      <c r="Q1156" s="24" t="s">
        <v>65</v>
      </c>
      <c r="R1156" s="21" t="s">
        <v>8535</v>
      </c>
      <c r="S1156" s="21" t="s">
        <v>51</v>
      </c>
      <c r="T1156" s="106" t="s">
        <v>52</v>
      </c>
      <c r="U1156" s="106" t="s">
        <v>52</v>
      </c>
      <c r="V1156" s="106" t="s">
        <v>52</v>
      </c>
      <c r="W1156" s="45">
        <v>46009.0</v>
      </c>
      <c r="X1156" s="88">
        <v>0.5291666666666667</v>
      </c>
      <c r="Y1156" s="105">
        <v>46009.0</v>
      </c>
      <c r="Z1156" s="49">
        <v>0.5770833333333333</v>
      </c>
      <c r="AA1156" s="49">
        <v>0.6006944444444444</v>
      </c>
      <c r="AB1156" s="29"/>
      <c r="AC1156" s="29"/>
      <c r="AD1156" s="25">
        <v>0.6458333333333334</v>
      </c>
      <c r="AE1156" s="105">
        <v>46009.0</v>
      </c>
      <c r="AF1156" s="21" t="s">
        <v>7241</v>
      </c>
      <c r="AG1156" s="21" t="s">
        <v>3617</v>
      </c>
      <c r="AH1156" s="21" t="s">
        <v>8462</v>
      </c>
      <c r="AI1156" s="62" t="str">
        <f>IFERROR(__xludf.DUMMYFUNCTION("IF(OR(W1156="""",X1156="""",AE1156="""",AD1156=""""),"""",
   TEXT(
     (
       (AE1156+AD1156 + IF(AE1156+AD1156 &lt; W1156+X1156,1,0)) - (W1156+X1156)
     )
     - IF(AND(AB1156&lt;&gt;"""",AC1156&lt;&gt;""""), 
          SUM(ARRAYFORMULA(SPLIT(AC1156,"","") - SPLI"&amp;"T(AB1156,"",""))), 
          0
       ),
     ""[hh]:mm""
   )
)
"),"02:48")</f>
        <v>02:48</v>
      </c>
      <c r="AJ1156" s="27">
        <f t="shared" si="16"/>
        <v>0</v>
      </c>
      <c r="AK1156" s="63" t="str">
        <f t="shared" si="17"/>
        <v>Pass</v>
      </c>
    </row>
    <row r="1157">
      <c r="A1157" s="45">
        <v>46009.0</v>
      </c>
      <c r="B1157" s="49">
        <v>0.5368055555555555</v>
      </c>
      <c r="C1157" s="45">
        <v>46009.0</v>
      </c>
      <c r="D1157" s="49">
        <v>0.5395833333333333</v>
      </c>
      <c r="E1157" s="21" t="s">
        <v>8536</v>
      </c>
      <c r="F1157" s="21" t="s">
        <v>1008</v>
      </c>
      <c r="G1157" s="21" t="s">
        <v>8537</v>
      </c>
      <c r="H1157" s="21" t="s">
        <v>6041</v>
      </c>
      <c r="I1157" s="21" t="s">
        <v>616</v>
      </c>
      <c r="J1157" s="21" t="s">
        <v>2253</v>
      </c>
      <c r="K1157" s="21" t="s">
        <v>43</v>
      </c>
      <c r="L1157" s="21" t="s">
        <v>8538</v>
      </c>
      <c r="M1157" s="21" t="s">
        <v>8539</v>
      </c>
      <c r="N1157" s="21" t="s">
        <v>8540</v>
      </c>
      <c r="O1157" s="48" t="s">
        <v>8541</v>
      </c>
      <c r="P1157" s="21" t="s">
        <v>75</v>
      </c>
      <c r="Q1157" s="24" t="s">
        <v>65</v>
      </c>
      <c r="R1157" s="21" t="s">
        <v>8542</v>
      </c>
      <c r="S1157" s="21" t="s">
        <v>51</v>
      </c>
      <c r="T1157" s="106" t="s">
        <v>52</v>
      </c>
      <c r="U1157" s="106" t="s">
        <v>52</v>
      </c>
      <c r="V1157" s="106" t="s">
        <v>52</v>
      </c>
      <c r="W1157" s="45">
        <v>46009.0</v>
      </c>
      <c r="X1157" s="88">
        <v>0.5395833333333333</v>
      </c>
      <c r="Y1157" s="105">
        <v>46009.0</v>
      </c>
      <c r="Z1157" s="49">
        <v>0.7805555555555556</v>
      </c>
      <c r="AA1157" s="49">
        <v>0.7819444444444444</v>
      </c>
      <c r="AB1157" s="25">
        <v>0.7819444444444444</v>
      </c>
      <c r="AC1157" s="25">
        <v>0.79375</v>
      </c>
      <c r="AD1157" s="25">
        <v>0.8263888888888888</v>
      </c>
      <c r="AE1157" s="105">
        <v>46009.0</v>
      </c>
      <c r="AF1157" s="21" t="s">
        <v>7273</v>
      </c>
      <c r="AG1157" s="21" t="s">
        <v>239</v>
      </c>
      <c r="AH1157" s="21" t="s">
        <v>4542</v>
      </c>
      <c r="AI1157" s="108" t="str">
        <f>IFERROR(__xludf.DUMMYFUNCTION("IF(OR(W1157="""",X1157="""",AE1157="""",AD1157=""""),"""",
   TEXT(
     (
       (AE1157+AD1157 + IF(AE1157+AD1157 &lt; W1157+X1157,1,0)) - (W1157+X1157)
     )
     - IF(AND(AB1157&lt;&gt;"""",AC1157&lt;&gt;""""), 
          SUM(ARRAYFORMULA(SPLIT(AC1157,"","") - SPLI"&amp;"T(AB1157,"",""))), 
          0
       ),
     ""[hh]:mm""
   )
)
"),"06:36")</f>
        <v>06:36</v>
      </c>
      <c r="AJ1157" s="109">
        <f t="shared" si="16"/>
        <v>0</v>
      </c>
      <c r="AK1157" s="110" t="str">
        <f t="shared" si="17"/>
        <v>Pass</v>
      </c>
    </row>
    <row r="1158">
      <c r="A1158" s="45">
        <v>46009.0</v>
      </c>
      <c r="B1158" s="49">
        <v>0.68125</v>
      </c>
      <c r="C1158" s="45">
        <v>46009.0</v>
      </c>
      <c r="D1158" s="49">
        <v>0.6861111111111111</v>
      </c>
      <c r="E1158" s="21" t="s">
        <v>8543</v>
      </c>
      <c r="F1158" s="21" t="s">
        <v>8544</v>
      </c>
      <c r="G1158" s="21" t="s">
        <v>8545</v>
      </c>
      <c r="H1158" s="21" t="s">
        <v>1610</v>
      </c>
      <c r="I1158" s="21" t="s">
        <v>1612</v>
      </c>
      <c r="J1158" s="21" t="s">
        <v>1612</v>
      </c>
      <c r="K1158" s="21" t="s">
        <v>143</v>
      </c>
      <c r="L1158" s="21" t="s">
        <v>1613</v>
      </c>
      <c r="M1158" s="21" t="s">
        <v>8546</v>
      </c>
      <c r="N1158" s="21" t="s">
        <v>8547</v>
      </c>
      <c r="O1158" s="48" t="s">
        <v>8548</v>
      </c>
      <c r="P1158" s="21" t="s">
        <v>75</v>
      </c>
      <c r="Q1158" s="24" t="s">
        <v>65</v>
      </c>
      <c r="R1158" s="21" t="s">
        <v>8549</v>
      </c>
      <c r="S1158" s="21" t="s">
        <v>51</v>
      </c>
      <c r="T1158" s="106" t="s">
        <v>52</v>
      </c>
      <c r="U1158" s="106" t="s">
        <v>52</v>
      </c>
      <c r="V1158" s="106" t="s">
        <v>52</v>
      </c>
      <c r="W1158" s="45">
        <v>46010.0</v>
      </c>
      <c r="X1158" s="49">
        <v>0.3333333333333333</v>
      </c>
      <c r="Y1158" s="45">
        <v>46010.0</v>
      </c>
      <c r="Z1158" s="49">
        <v>0.4652777777777778</v>
      </c>
      <c r="AA1158" s="49">
        <v>0.46875</v>
      </c>
      <c r="AB1158" s="29"/>
      <c r="AC1158" s="29"/>
      <c r="AD1158" s="25">
        <v>0.6152777777777778</v>
      </c>
      <c r="AE1158" s="105">
        <v>46010.0</v>
      </c>
      <c r="AF1158" s="21" t="s">
        <v>4243</v>
      </c>
      <c r="AG1158" s="21" t="s">
        <v>8426</v>
      </c>
      <c r="AH1158" s="21" t="s">
        <v>8550</v>
      </c>
      <c r="AI1158" s="108" t="str">
        <f>IFERROR(__xludf.DUMMYFUNCTION("IF(OR(W1158="""",X1158="""",AE1158="""",AD1158=""""),"""",
   TEXT(
     (
       (AE1158+AD1158 + IF(AE1158+AD1158 &lt; W1158+X1158,1,0)) - (W1158+X1158)
     )
     - IF(AND(AB1158&lt;&gt;"""",AC1158&lt;&gt;""""), 
          SUM(ARRAYFORMULA(SPLIT(AC1158,"","") - SPLI"&amp;"T(AB1158,"",""))), 
          0
       ),
     ""[hh]:mm""
   )
)
"),"06:46")</f>
        <v>06:46</v>
      </c>
      <c r="AJ1158" s="109">
        <f t="shared" si="16"/>
        <v>0</v>
      </c>
      <c r="AK1158" s="110" t="str">
        <f t="shared" si="17"/>
        <v>Pass</v>
      </c>
    </row>
    <row r="1159">
      <c r="A1159" s="45">
        <v>46009.0</v>
      </c>
      <c r="B1159" s="49">
        <v>0.6993055555555555</v>
      </c>
      <c r="C1159" s="45">
        <v>46009.0</v>
      </c>
      <c r="D1159" s="49">
        <v>0.7034722222222223</v>
      </c>
      <c r="E1159" s="21" t="s">
        <v>8551</v>
      </c>
      <c r="F1159" s="21" t="s">
        <v>8552</v>
      </c>
      <c r="G1159" s="21" t="s">
        <v>6611</v>
      </c>
      <c r="H1159" s="21" t="s">
        <v>1610</v>
      </c>
      <c r="I1159" s="21" t="s">
        <v>1612</v>
      </c>
      <c r="J1159" s="21" t="s">
        <v>1612</v>
      </c>
      <c r="K1159" s="21" t="s">
        <v>143</v>
      </c>
      <c r="L1159" s="21" t="s">
        <v>8553</v>
      </c>
      <c r="M1159" s="21" t="s">
        <v>8554</v>
      </c>
      <c r="N1159" s="21" t="s">
        <v>8555</v>
      </c>
      <c r="O1159" s="48" t="s">
        <v>8556</v>
      </c>
      <c r="P1159" s="21" t="s">
        <v>75</v>
      </c>
      <c r="Q1159" s="24" t="s">
        <v>65</v>
      </c>
      <c r="R1159" s="21" t="s">
        <v>8557</v>
      </c>
      <c r="S1159" s="21" t="s">
        <v>51</v>
      </c>
      <c r="T1159" s="106" t="s">
        <v>52</v>
      </c>
      <c r="U1159" s="106" t="s">
        <v>52</v>
      </c>
      <c r="V1159" s="106" t="s">
        <v>52</v>
      </c>
      <c r="W1159" s="45">
        <v>46010.0</v>
      </c>
      <c r="X1159" s="49">
        <v>0.3333333333333333</v>
      </c>
      <c r="Y1159" s="45">
        <v>46010.0</v>
      </c>
      <c r="Z1159" s="49">
        <v>0.5263888888888889</v>
      </c>
      <c r="AA1159" s="49">
        <v>0.5277777777777778</v>
      </c>
      <c r="AB1159" s="29"/>
      <c r="AC1159" s="29"/>
      <c r="AD1159" s="25">
        <v>0.6076388888888888</v>
      </c>
      <c r="AE1159" s="105">
        <v>46010.0</v>
      </c>
      <c r="AF1159" s="21" t="s">
        <v>2788</v>
      </c>
      <c r="AG1159" s="21" t="s">
        <v>102</v>
      </c>
      <c r="AH1159" s="21" t="s">
        <v>8558</v>
      </c>
      <c r="AI1159" s="108" t="str">
        <f>IFERROR(__xludf.DUMMYFUNCTION("IF(OR(W1159="""",X1159="""",AE1159="""",AD1159=""""),"""",
   TEXT(
     (
       (AE1159+AD1159 + IF(AE1159+AD1159 &lt; W1159+X1159,1,0)) - (W1159+X1159)
     )
     - IF(AND(AB1159&lt;&gt;"""",AC1159&lt;&gt;""""), 
          SUM(ARRAYFORMULA(SPLIT(AC1159,"","") - SPLI"&amp;"T(AB1159,"",""))), 
          0
       ),
     ""[hh]:mm""
   )
)
"),"06:35")</f>
        <v>06:35</v>
      </c>
      <c r="AJ1159" s="109">
        <f t="shared" si="16"/>
        <v>0</v>
      </c>
      <c r="AK1159" s="110" t="str">
        <f t="shared" si="17"/>
        <v>Pass</v>
      </c>
    </row>
    <row r="1160">
      <c r="A1160" s="45">
        <v>46009.0</v>
      </c>
      <c r="B1160" s="49">
        <v>0.825</v>
      </c>
      <c r="C1160" s="45">
        <v>46009.0</v>
      </c>
      <c r="D1160" s="49">
        <v>0.8423611111111111</v>
      </c>
      <c r="E1160" s="21" t="s">
        <v>8559</v>
      </c>
      <c r="F1160" s="21" t="s">
        <v>5728</v>
      </c>
      <c r="G1160" s="21" t="s">
        <v>8560</v>
      </c>
      <c r="H1160" s="21" t="s">
        <v>1610</v>
      </c>
      <c r="I1160" s="21" t="s">
        <v>1612</v>
      </c>
      <c r="J1160" s="21" t="s">
        <v>1612</v>
      </c>
      <c r="K1160" s="21" t="s">
        <v>143</v>
      </c>
      <c r="L1160" s="21" t="s">
        <v>1613</v>
      </c>
      <c r="M1160" s="21" t="s">
        <v>8561</v>
      </c>
      <c r="N1160" s="21" t="s">
        <v>8562</v>
      </c>
      <c r="O1160" s="48" t="s">
        <v>8563</v>
      </c>
      <c r="P1160" s="21" t="s">
        <v>75</v>
      </c>
      <c r="Q1160" s="24" t="s">
        <v>65</v>
      </c>
      <c r="R1160" s="21" t="s">
        <v>8564</v>
      </c>
      <c r="S1160" s="21" t="s">
        <v>51</v>
      </c>
      <c r="T1160" s="106" t="s">
        <v>52</v>
      </c>
      <c r="U1160" s="106" t="s">
        <v>52</v>
      </c>
      <c r="V1160" s="106" t="s">
        <v>52</v>
      </c>
      <c r="W1160" s="45">
        <v>46010.0</v>
      </c>
      <c r="X1160" s="49">
        <v>0.3333333333333333</v>
      </c>
      <c r="Y1160" s="45">
        <v>46010.0</v>
      </c>
      <c r="Z1160" s="49">
        <v>0.3423611111111111</v>
      </c>
      <c r="AA1160" s="49">
        <v>0.3472222222222222</v>
      </c>
      <c r="AB1160" s="25">
        <v>0.4930555555555556</v>
      </c>
      <c r="AC1160" s="25">
        <v>0.6770833333333334</v>
      </c>
      <c r="AD1160" s="25">
        <v>0.8680555555555556</v>
      </c>
      <c r="AE1160" s="105">
        <v>46010.0</v>
      </c>
      <c r="AF1160" s="21" t="s">
        <v>4243</v>
      </c>
      <c r="AG1160" s="21" t="s">
        <v>583</v>
      </c>
      <c r="AH1160" s="21" t="s">
        <v>8565</v>
      </c>
      <c r="AI1160" s="108" t="str">
        <f>IFERROR(__xludf.DUMMYFUNCTION("IF(OR(W1160="""",X1160="""",AE1160="""",AD1160=""""),"""",
   TEXT(
     (
       (AE1160+AD1160 + IF(AE1160+AD1160 &lt; W1160+X1160,1,0)) - (W1160+X1160)
     )
     - IF(AND(AB1160&lt;&gt;"""",AC1160&lt;&gt;""""), 
          SUM(ARRAYFORMULA(SPLIT(AC1160,"","") - SPLI"&amp;"T(AB1160,"",""))), 
          0
       ),
     ""[hh]:mm""
   )
)
"),"08:25")</f>
        <v>08:25</v>
      </c>
      <c r="AJ1160" s="109">
        <f t="shared" si="16"/>
        <v>0</v>
      </c>
      <c r="AK1160" s="110" t="str">
        <f t="shared" si="17"/>
        <v>Pass</v>
      </c>
    </row>
    <row r="1161">
      <c r="A1161" s="45">
        <v>46009.0</v>
      </c>
      <c r="B1161" s="49">
        <v>0.8930555555555556</v>
      </c>
      <c r="C1161" s="45">
        <v>46009.0</v>
      </c>
      <c r="D1161" s="49">
        <v>0.8972222222222223</v>
      </c>
      <c r="E1161" s="21" t="s">
        <v>8566</v>
      </c>
      <c r="F1161" s="21" t="s">
        <v>3351</v>
      </c>
      <c r="G1161" s="21" t="s">
        <v>3352</v>
      </c>
      <c r="H1161" s="21" t="s">
        <v>566</v>
      </c>
      <c r="I1161" s="21" t="s">
        <v>95</v>
      </c>
      <c r="J1161" s="21" t="s">
        <v>95</v>
      </c>
      <c r="K1161" s="21" t="s">
        <v>43</v>
      </c>
      <c r="L1161" s="21" t="s">
        <v>8567</v>
      </c>
      <c r="M1161" s="21" t="s">
        <v>8568</v>
      </c>
      <c r="N1161" s="21" t="s">
        <v>8569</v>
      </c>
      <c r="O1161" s="48" t="s">
        <v>8570</v>
      </c>
      <c r="P1161" s="21" t="s">
        <v>48</v>
      </c>
      <c r="Q1161" s="24" t="s">
        <v>49</v>
      </c>
      <c r="R1161" s="21" t="s">
        <v>8571</v>
      </c>
      <c r="S1161" s="21" t="s">
        <v>51</v>
      </c>
      <c r="T1161" s="106" t="s">
        <v>52</v>
      </c>
      <c r="U1161" s="106" t="s">
        <v>52</v>
      </c>
      <c r="V1161" s="106" t="s">
        <v>52</v>
      </c>
      <c r="W1161" s="45">
        <v>46010.0</v>
      </c>
      <c r="X1161" s="49">
        <v>0.3333333333333333</v>
      </c>
      <c r="Y1161" s="45">
        <v>46010.0</v>
      </c>
      <c r="Z1161" s="49">
        <v>0.37916666666666665</v>
      </c>
      <c r="AA1161" s="49">
        <v>0.38125</v>
      </c>
      <c r="AB1161" s="25">
        <v>0.4097222222222222</v>
      </c>
      <c r="AC1161" s="25">
        <v>0.4340277777777778</v>
      </c>
      <c r="AD1161" s="25">
        <v>0.4340277777777778</v>
      </c>
      <c r="AE1161" s="105">
        <v>46010.0</v>
      </c>
      <c r="AF1161" s="21" t="s">
        <v>8572</v>
      </c>
      <c r="AG1161" s="21" t="s">
        <v>8573</v>
      </c>
      <c r="AH1161" s="21" t="s">
        <v>5752</v>
      </c>
      <c r="AI1161" s="108" t="str">
        <f>IFERROR(__xludf.DUMMYFUNCTION("IF(OR(W1161="""",X1161="""",AE1161="""",AD1161=""""),"""",
   TEXT(
     (
       (AE1161+AD1161 + IF(AE1161+AD1161 &lt; W1161+X1161,1,0)) - (W1161+X1161)
     )
     - IF(AND(AB1161&lt;&gt;"""",AC1161&lt;&gt;""""), 
          SUM(ARRAYFORMULA(SPLIT(AC1161,"","") - SPLI"&amp;"T(AB1161,"",""))), 
          0
       ),
     ""[hh]:mm""
   )
)
"),"01:50")</f>
        <v>01:50</v>
      </c>
      <c r="AJ1161" s="109">
        <f t="shared" si="16"/>
        <v>0</v>
      </c>
      <c r="AK1161" s="110" t="str">
        <f t="shared" si="17"/>
        <v>Pass</v>
      </c>
    </row>
    <row r="1162">
      <c r="A1162" s="45">
        <v>46009.0</v>
      </c>
      <c r="B1162" s="49">
        <v>0.37916666666666665</v>
      </c>
      <c r="C1162" s="45">
        <v>46009.0</v>
      </c>
      <c r="D1162" s="49">
        <v>0.37916666666666665</v>
      </c>
      <c r="E1162" s="21" t="s">
        <v>8574</v>
      </c>
      <c r="F1162" s="21" t="s">
        <v>3351</v>
      </c>
      <c r="G1162" s="21" t="s">
        <v>3352</v>
      </c>
      <c r="H1162" s="21" t="s">
        <v>566</v>
      </c>
      <c r="I1162" s="21" t="s">
        <v>95</v>
      </c>
      <c r="J1162" s="21" t="s">
        <v>95</v>
      </c>
      <c r="K1162" s="21" t="s">
        <v>43</v>
      </c>
      <c r="L1162" s="21" t="s">
        <v>8575</v>
      </c>
      <c r="M1162" s="21" t="s">
        <v>8024</v>
      </c>
      <c r="N1162" s="21" t="s">
        <v>8576</v>
      </c>
      <c r="O1162" s="48" t="s">
        <v>8570</v>
      </c>
      <c r="P1162" s="21" t="s">
        <v>48</v>
      </c>
      <c r="Q1162" s="24" t="s">
        <v>49</v>
      </c>
      <c r="R1162" s="21" t="s">
        <v>8571</v>
      </c>
      <c r="S1162" s="21" t="s">
        <v>51</v>
      </c>
      <c r="T1162" s="106" t="s">
        <v>52</v>
      </c>
      <c r="U1162" s="106" t="s">
        <v>52</v>
      </c>
      <c r="V1162" s="106" t="s">
        <v>52</v>
      </c>
      <c r="W1162" s="45">
        <v>46010.0</v>
      </c>
      <c r="X1162" s="49">
        <v>0.3333333333333333</v>
      </c>
      <c r="Y1162" s="45">
        <v>46010.0</v>
      </c>
      <c r="Z1162" s="49">
        <v>0.37916666666666665</v>
      </c>
      <c r="AA1162" s="49">
        <v>0.38125</v>
      </c>
      <c r="AB1162" s="25">
        <v>0.4097222222222222</v>
      </c>
      <c r="AC1162" s="25">
        <v>0.4340277777777778</v>
      </c>
      <c r="AD1162" s="25">
        <v>0.4340277777777778</v>
      </c>
      <c r="AE1162" s="105">
        <v>46010.0</v>
      </c>
      <c r="AF1162" s="21" t="s">
        <v>8572</v>
      </c>
      <c r="AG1162" s="21" t="s">
        <v>8573</v>
      </c>
      <c r="AH1162" s="21" t="s">
        <v>5752</v>
      </c>
      <c r="AI1162" s="108" t="str">
        <f>IFERROR(__xludf.DUMMYFUNCTION("IF(OR(W1162="""",X1162="""",AE1162="""",AD1162=""""),"""",
   TEXT(
     (
       (AE1162+AD1162 + IF(AE1162+AD1162 &lt; W1162+X1162,1,0)) - (W1162+X1162)
     )
     - IF(AND(AB1162&lt;&gt;"""",AC1162&lt;&gt;""""), 
          SUM(ARRAYFORMULA(SPLIT(AC1162,"","") - SPLI"&amp;"T(AB1162,"",""))), 
          0
       ),
     ""[hh]:mm""
   )
)
"),"01:50")</f>
        <v>01:50</v>
      </c>
      <c r="AJ1162" s="109">
        <f t="shared" si="16"/>
        <v>0</v>
      </c>
      <c r="AK1162" s="110" t="str">
        <f t="shared" si="17"/>
        <v>Pass</v>
      </c>
    </row>
    <row r="1163">
      <c r="A1163" s="45">
        <v>46010.0</v>
      </c>
      <c r="B1163" s="49">
        <v>0.24375</v>
      </c>
      <c r="C1163" s="45">
        <v>46010.0</v>
      </c>
      <c r="D1163" s="49">
        <v>0.3326388888888889</v>
      </c>
      <c r="E1163" s="21" t="s">
        <v>8577</v>
      </c>
      <c r="F1163" s="21" t="s">
        <v>7409</v>
      </c>
      <c r="G1163" s="21" t="s">
        <v>8578</v>
      </c>
      <c r="H1163" s="21" t="s">
        <v>377</v>
      </c>
      <c r="I1163" s="21" t="s">
        <v>60</v>
      </c>
      <c r="J1163" s="21" t="s">
        <v>3813</v>
      </c>
      <c r="K1163" s="21" t="s">
        <v>61</v>
      </c>
      <c r="L1163" s="21" t="s">
        <v>183</v>
      </c>
      <c r="M1163" s="21" t="s">
        <v>8579</v>
      </c>
      <c r="N1163" s="21" t="s">
        <v>8580</v>
      </c>
      <c r="O1163" s="48" t="s">
        <v>8581</v>
      </c>
      <c r="P1163" s="21" t="s">
        <v>75</v>
      </c>
      <c r="Q1163" s="24" t="s">
        <v>65</v>
      </c>
      <c r="R1163" s="21" t="s">
        <v>8582</v>
      </c>
      <c r="S1163" s="21" t="s">
        <v>51</v>
      </c>
      <c r="T1163" s="106" t="s">
        <v>52</v>
      </c>
      <c r="U1163" s="106" t="s">
        <v>52</v>
      </c>
      <c r="V1163" s="106" t="s">
        <v>52</v>
      </c>
      <c r="W1163" s="45">
        <v>46010.0</v>
      </c>
      <c r="X1163" s="49">
        <v>0.3333333333333333</v>
      </c>
      <c r="Y1163" s="45">
        <v>46010.0</v>
      </c>
      <c r="Z1163" s="49">
        <v>0.625</v>
      </c>
      <c r="AA1163" s="49">
        <v>0.625</v>
      </c>
      <c r="AB1163" s="25">
        <v>0.6666666666666666</v>
      </c>
      <c r="AC1163" s="25">
        <v>0.6979166666666666</v>
      </c>
      <c r="AD1163" s="25">
        <v>0.7083333333333334</v>
      </c>
      <c r="AE1163" s="105">
        <v>46010.0</v>
      </c>
      <c r="AF1163" s="21" t="s">
        <v>5952</v>
      </c>
      <c r="AG1163" s="21" t="s">
        <v>78</v>
      </c>
      <c r="AH1163" s="21" t="s">
        <v>7564</v>
      </c>
      <c r="AI1163" s="108" t="str">
        <f>IFERROR(__xludf.DUMMYFUNCTION("IF(OR(W1163="""",X1163="""",AE1163="""",AD1163=""""),"""",
   TEXT(
     (
       (AE1163+AD1163 + IF(AE1163+AD1163 &lt; W1163+X1163,1,0)) - (W1163+X1163)
     )
     - IF(AND(AB1163&lt;&gt;"""",AC1163&lt;&gt;""""), 
          SUM(ARRAYFORMULA(SPLIT(AC1163,"","") - SPLI"&amp;"T(AB1163,"",""))), 
          0
       ),
     ""[hh]:mm""
   )
)
"),"08:15")</f>
        <v>08:15</v>
      </c>
      <c r="AJ1163" s="109">
        <f t="shared" si="16"/>
        <v>0</v>
      </c>
      <c r="AK1163" s="110" t="str">
        <f t="shared" si="17"/>
        <v>Pass</v>
      </c>
    </row>
    <row r="1164">
      <c r="A1164" s="18">
        <v>46010.0</v>
      </c>
      <c r="B1164" s="20">
        <v>0.39305555555555555</v>
      </c>
      <c r="C1164" s="18">
        <v>46010.0</v>
      </c>
      <c r="D1164" s="20">
        <v>0.4076388888888889</v>
      </c>
      <c r="E1164" s="22" t="s">
        <v>8583</v>
      </c>
      <c r="F1164" s="22" t="s">
        <v>4463</v>
      </c>
      <c r="G1164" s="22" t="s">
        <v>4464</v>
      </c>
      <c r="H1164" s="22" t="s">
        <v>566</v>
      </c>
      <c r="I1164" s="22" t="s">
        <v>815</v>
      </c>
      <c r="J1164" s="22" t="s">
        <v>1084</v>
      </c>
      <c r="K1164" s="22" t="s">
        <v>52</v>
      </c>
      <c r="L1164" s="22" t="s">
        <v>52</v>
      </c>
      <c r="M1164" s="22" t="s">
        <v>52</v>
      </c>
      <c r="N1164" s="22" t="s">
        <v>8584</v>
      </c>
      <c r="O1164" s="23" t="s">
        <v>8585</v>
      </c>
      <c r="P1164" s="22" t="s">
        <v>48</v>
      </c>
      <c r="Q1164" s="50" t="s">
        <v>49</v>
      </c>
      <c r="R1164" s="22" t="s">
        <v>8586</v>
      </c>
      <c r="S1164" s="22" t="s">
        <v>51</v>
      </c>
      <c r="T1164" s="107" t="s">
        <v>52</v>
      </c>
      <c r="U1164" s="107" t="s">
        <v>52</v>
      </c>
      <c r="V1164" s="107" t="s">
        <v>52</v>
      </c>
      <c r="W1164" s="18">
        <v>46010.0</v>
      </c>
      <c r="X1164" s="20">
        <v>0.9583333333333334</v>
      </c>
      <c r="Y1164" s="18">
        <v>46010.0</v>
      </c>
      <c r="Z1164" s="20">
        <v>0.9618055555555556</v>
      </c>
      <c r="AA1164" s="20">
        <v>0.9652777777777778</v>
      </c>
      <c r="AB1164" s="54"/>
      <c r="AC1164" s="54"/>
      <c r="AD1164" s="51">
        <v>0.024305555555555556</v>
      </c>
      <c r="AE1164" s="104">
        <v>46011.0</v>
      </c>
      <c r="AF1164" s="22" t="s">
        <v>4369</v>
      </c>
      <c r="AG1164" s="22" t="s">
        <v>879</v>
      </c>
      <c r="AH1164" s="22" t="s">
        <v>8587</v>
      </c>
      <c r="AI1164" s="111" t="str">
        <f>IFERROR(__xludf.DUMMYFUNCTION("IF(OR(W1164="""",X1164="""",AE1164="""",AD1164=""""),"""",
   TEXT(
     (
       (AE1164+AD1164 + IF(AE1164+AD1164 &lt; W1164+X1164,1,0)) - (W1164+X1164)
     )
     - IF(AND(AB1164&lt;&gt;"""",AC1164&lt;&gt;""""), 
          SUM(ARRAYFORMULA(SPLIT(AC1164,"","") - SPLI"&amp;"T(AB1164,"",""))), 
          0
       ),
     ""[hh]:mm""
   )
)
"),"01:35")</f>
        <v>01:35</v>
      </c>
      <c r="AJ1164" s="112">
        <f t="shared" si="16"/>
        <v>0</v>
      </c>
      <c r="AK1164" s="113" t="str">
        <f t="shared" si="17"/>
        <v>Pass</v>
      </c>
    </row>
    <row r="1165">
      <c r="A1165" s="45">
        <v>46010.0</v>
      </c>
      <c r="B1165" s="49">
        <v>0.4083333333333333</v>
      </c>
      <c r="C1165" s="45">
        <v>46010.0</v>
      </c>
      <c r="D1165" s="49">
        <v>0.41180555555555554</v>
      </c>
      <c r="E1165" s="21" t="s">
        <v>8588</v>
      </c>
      <c r="F1165" s="21" t="s">
        <v>1210</v>
      </c>
      <c r="G1165" s="21" t="s">
        <v>1211</v>
      </c>
      <c r="H1165" s="21" t="s">
        <v>156</v>
      </c>
      <c r="I1165" s="21" t="s">
        <v>131</v>
      </c>
      <c r="J1165" s="21" t="s">
        <v>3806</v>
      </c>
      <c r="K1165" s="21" t="s">
        <v>43</v>
      </c>
      <c r="L1165" s="21" t="s">
        <v>617</v>
      </c>
      <c r="M1165" s="21" t="s">
        <v>8589</v>
      </c>
      <c r="N1165" s="21" t="s">
        <v>8590</v>
      </c>
      <c r="O1165" s="48" t="s">
        <v>8591</v>
      </c>
      <c r="P1165" s="21" t="s">
        <v>75</v>
      </c>
      <c r="Q1165" s="24" t="s">
        <v>65</v>
      </c>
      <c r="R1165" s="21" t="s">
        <v>8592</v>
      </c>
      <c r="S1165" s="21" t="s">
        <v>51</v>
      </c>
      <c r="T1165" s="106" t="s">
        <v>52</v>
      </c>
      <c r="U1165" s="106" t="s">
        <v>52</v>
      </c>
      <c r="V1165" s="106" t="s">
        <v>52</v>
      </c>
      <c r="W1165" s="45">
        <v>46010.0</v>
      </c>
      <c r="X1165" s="88">
        <v>0.41180555555555554</v>
      </c>
      <c r="Y1165" s="45">
        <v>46010.0</v>
      </c>
      <c r="Z1165" s="49">
        <v>0.6868055555555556</v>
      </c>
      <c r="AA1165" s="49">
        <v>0.6895833333333333</v>
      </c>
      <c r="AB1165" s="25">
        <v>0.6895833333333333</v>
      </c>
      <c r="AC1165" s="25">
        <v>0.7083333333333334</v>
      </c>
      <c r="AD1165" s="25">
        <v>0.7375</v>
      </c>
      <c r="AE1165" s="105">
        <v>46010.0</v>
      </c>
      <c r="AF1165" s="21" t="s">
        <v>7241</v>
      </c>
      <c r="AG1165" s="21" t="s">
        <v>239</v>
      </c>
      <c r="AH1165" s="21" t="s">
        <v>8593</v>
      </c>
      <c r="AI1165" s="108" t="str">
        <f>IFERROR(__xludf.DUMMYFUNCTION("IF(OR(W1165="""",X1165="""",AE1165="""",AD1165=""""),"""",
   TEXT(
     (
       (AE1165+AD1165 + IF(AE1165+AD1165 &lt; W1165+X1165,1,0)) - (W1165+X1165)
     )
     - IF(AND(AB1165&lt;&gt;"""",AC1165&lt;&gt;""""), 
          SUM(ARRAYFORMULA(SPLIT(AC1165,"","") - SPLI"&amp;"T(AB1165,"",""))), 
          0
       ),
     ""[hh]:mm""
   )
)
"),"07:22")</f>
        <v>07:22</v>
      </c>
      <c r="AJ1165" s="109">
        <f t="shared" si="16"/>
        <v>0</v>
      </c>
      <c r="AK1165" s="110" t="str">
        <f t="shared" si="17"/>
        <v>Pass</v>
      </c>
    </row>
    <row r="1166">
      <c r="A1166" s="18">
        <v>46010.0</v>
      </c>
      <c r="B1166" s="20">
        <v>0.4625</v>
      </c>
      <c r="C1166" s="18">
        <v>46010.0</v>
      </c>
      <c r="D1166" s="20">
        <v>0.4708333333333333</v>
      </c>
      <c r="E1166" s="22" t="s">
        <v>8594</v>
      </c>
      <c r="F1166" s="22" t="s">
        <v>8595</v>
      </c>
      <c r="G1166" s="22" t="s">
        <v>8596</v>
      </c>
      <c r="H1166" s="22" t="s">
        <v>1610</v>
      </c>
      <c r="I1166" s="22" t="s">
        <v>1612</v>
      </c>
      <c r="J1166" s="22" t="s">
        <v>1612</v>
      </c>
      <c r="K1166" s="22" t="s">
        <v>143</v>
      </c>
      <c r="L1166" s="21" t="s">
        <v>1613</v>
      </c>
      <c r="M1166" s="22" t="s">
        <v>8597</v>
      </c>
      <c r="N1166" s="22" t="s">
        <v>8598</v>
      </c>
      <c r="O1166" s="23" t="s">
        <v>8599</v>
      </c>
      <c r="P1166" s="22" t="s">
        <v>75</v>
      </c>
      <c r="Q1166" s="50" t="s">
        <v>65</v>
      </c>
      <c r="R1166" s="22" t="s">
        <v>8600</v>
      </c>
      <c r="S1166" s="22" t="s">
        <v>51</v>
      </c>
      <c r="T1166" s="107" t="s">
        <v>52</v>
      </c>
      <c r="U1166" s="107" t="s">
        <v>52</v>
      </c>
      <c r="V1166" s="107" t="s">
        <v>52</v>
      </c>
      <c r="W1166" s="18">
        <v>46010.0</v>
      </c>
      <c r="X1166" s="20">
        <v>0.4708333333333333</v>
      </c>
      <c r="Y1166" s="18">
        <v>46010.0</v>
      </c>
      <c r="Z1166" s="20">
        <v>0.6875</v>
      </c>
      <c r="AA1166" s="20">
        <v>0.75</v>
      </c>
      <c r="AB1166" s="51">
        <v>0.6881944444444444</v>
      </c>
      <c r="AC1166" s="51">
        <v>0.7493055555555556</v>
      </c>
      <c r="AD1166" s="51">
        <v>0.9791666666666666</v>
      </c>
      <c r="AE1166" s="104">
        <v>46010.0</v>
      </c>
      <c r="AF1166" s="22" t="s">
        <v>3327</v>
      </c>
      <c r="AG1166" s="22" t="s">
        <v>6254</v>
      </c>
      <c r="AH1166" s="22" t="s">
        <v>8601</v>
      </c>
      <c r="AI1166" s="111" t="str">
        <f>IFERROR(__xludf.DUMMYFUNCTION("IF(OR(W1166="""",X1166="""",AE1166="""",AD1166=""""),"""",
   TEXT(
     (
       (AE1166+AD1166 + IF(AE1166+AD1166 &lt; W1166+X1166,1,0)) - (W1166+X1166)
     )
     - IF(AND(AB1166&lt;&gt;"""",AC1166&lt;&gt;""""), 
          SUM(ARRAYFORMULA(SPLIT(AC1166,"","") - SPLI"&amp;"T(AB1166,"",""))), 
          0
       ),
     ""[hh]:mm""
   )
)
"),"10:44")</f>
        <v>10:44</v>
      </c>
      <c r="AJ1166" s="112">
        <f t="shared" si="16"/>
        <v>0</v>
      </c>
      <c r="AK1166" s="113" t="str">
        <f t="shared" si="17"/>
        <v>Pass</v>
      </c>
    </row>
    <row r="1167">
      <c r="A1167" s="45">
        <v>46010.0</v>
      </c>
      <c r="B1167" s="49">
        <v>0.46805555555555556</v>
      </c>
      <c r="C1167" s="45">
        <v>46010.0</v>
      </c>
      <c r="D1167" s="49">
        <v>0.475</v>
      </c>
      <c r="E1167" s="21" t="s">
        <v>8602</v>
      </c>
      <c r="F1167" s="21" t="s">
        <v>1996</v>
      </c>
      <c r="G1167" s="21" t="s">
        <v>1997</v>
      </c>
      <c r="H1167" s="21" t="s">
        <v>156</v>
      </c>
      <c r="I1167" s="21" t="s">
        <v>616</v>
      </c>
      <c r="J1167" s="21" t="s">
        <v>3806</v>
      </c>
      <c r="K1167" s="21" t="s">
        <v>43</v>
      </c>
      <c r="L1167" s="21" t="s">
        <v>2663</v>
      </c>
      <c r="M1167" s="21" t="s">
        <v>8603</v>
      </c>
      <c r="N1167" s="21" t="s">
        <v>8604</v>
      </c>
      <c r="O1167" s="48" t="s">
        <v>8605</v>
      </c>
      <c r="P1167" s="21" t="s">
        <v>75</v>
      </c>
      <c r="Q1167" s="24" t="s">
        <v>65</v>
      </c>
      <c r="R1167" s="21" t="s">
        <v>8606</v>
      </c>
      <c r="S1167" s="21" t="s">
        <v>51</v>
      </c>
      <c r="T1167" s="106" t="s">
        <v>52</v>
      </c>
      <c r="U1167" s="106" t="s">
        <v>52</v>
      </c>
      <c r="V1167" s="106" t="s">
        <v>52</v>
      </c>
      <c r="W1167" s="45">
        <v>46010.0</v>
      </c>
      <c r="X1167" s="88">
        <v>0.475</v>
      </c>
      <c r="Y1167" s="45">
        <v>46010.0</v>
      </c>
      <c r="Z1167" s="49">
        <v>0.7083333333333334</v>
      </c>
      <c r="AA1167" s="49">
        <v>0.7118055555555556</v>
      </c>
      <c r="AB1167" s="29"/>
      <c r="AC1167" s="29"/>
      <c r="AD1167" s="25">
        <v>0.7493055555555556</v>
      </c>
      <c r="AE1167" s="105">
        <v>46010.0</v>
      </c>
      <c r="AF1167" s="21" t="s">
        <v>7241</v>
      </c>
      <c r="AG1167" s="21" t="s">
        <v>8426</v>
      </c>
      <c r="AH1167" s="21" t="s">
        <v>8607</v>
      </c>
      <c r="AI1167" s="108" t="str">
        <f>IFERROR(__xludf.DUMMYFUNCTION("IF(OR(W1167="""",X1167="""",AE1167="""",AD1167=""""),"""",
   TEXT(
     (
       (AE1167+AD1167 + IF(AE1167+AD1167 &lt; W1167+X1167,1,0)) - (W1167+X1167)
     )
     - IF(AND(AB1167&lt;&gt;"""",AC1167&lt;&gt;""""), 
          SUM(ARRAYFORMULA(SPLIT(AC1167,"","") - SPLI"&amp;"T(AB1167,"",""))), 
          0
       ),
     ""[hh]:mm""
   )
)
"),"06:35")</f>
        <v>06:35</v>
      </c>
      <c r="AJ1167" s="109">
        <f t="shared" si="16"/>
        <v>0</v>
      </c>
      <c r="AK1167" s="110" t="str">
        <f t="shared" si="17"/>
        <v>Pass</v>
      </c>
    </row>
    <row r="1168">
      <c r="A1168" s="45">
        <v>46010.0</v>
      </c>
      <c r="B1168" s="49">
        <v>0.5166666666666667</v>
      </c>
      <c r="C1168" s="45">
        <v>46010.0</v>
      </c>
      <c r="D1168" s="49">
        <v>0.5284722222222222</v>
      </c>
      <c r="E1168" s="21" t="s">
        <v>8608</v>
      </c>
      <c r="F1168" s="21" t="s">
        <v>2193</v>
      </c>
      <c r="G1168" s="21" t="s">
        <v>2194</v>
      </c>
      <c r="H1168" s="21" t="s">
        <v>6041</v>
      </c>
      <c r="I1168" s="21" t="s">
        <v>616</v>
      </c>
      <c r="J1168" s="21" t="s">
        <v>3806</v>
      </c>
      <c r="K1168" s="21" t="s">
        <v>43</v>
      </c>
      <c r="L1168" s="21" t="s">
        <v>617</v>
      </c>
      <c r="M1168" s="21" t="s">
        <v>8609</v>
      </c>
      <c r="N1168" s="21" t="s">
        <v>8610</v>
      </c>
      <c r="O1168" s="48" t="s">
        <v>8611</v>
      </c>
      <c r="P1168" s="21" t="s">
        <v>75</v>
      </c>
      <c r="Q1168" s="24" t="s">
        <v>65</v>
      </c>
      <c r="R1168" s="102" t="s">
        <v>8612</v>
      </c>
      <c r="S1168" s="21" t="s">
        <v>51</v>
      </c>
      <c r="T1168" s="106" t="s">
        <v>6676</v>
      </c>
      <c r="U1168" s="106" t="s">
        <v>7909</v>
      </c>
      <c r="V1168" s="106" t="s">
        <v>8609</v>
      </c>
      <c r="W1168" s="45">
        <v>46010.0</v>
      </c>
      <c r="X1168" s="88">
        <v>0.5284722222222222</v>
      </c>
      <c r="Y1168" s="45">
        <v>46010.0</v>
      </c>
      <c r="Z1168" s="49">
        <v>0.6583333333333333</v>
      </c>
      <c r="AA1168" s="49">
        <v>0.6590277777777778</v>
      </c>
      <c r="AB1168" s="25">
        <v>0.6777777777777778</v>
      </c>
      <c r="AC1168" s="25">
        <v>0.8256944444444444</v>
      </c>
      <c r="AD1168" s="25">
        <v>0.8611111111111112</v>
      </c>
      <c r="AE1168" s="105">
        <v>46010.0</v>
      </c>
      <c r="AF1168" s="21" t="s">
        <v>7212</v>
      </c>
      <c r="AG1168" s="21" t="s">
        <v>162</v>
      </c>
      <c r="AH1168" s="21" t="s">
        <v>8613</v>
      </c>
      <c r="AI1168" s="108" t="str">
        <f>IFERROR(__xludf.DUMMYFUNCTION("IF(OR(W1168="""",X1168="""",AE1168="""",AD1168=""""),"""",
   TEXT(
     (
       (AE1168+AD1168 + IF(AE1168+AD1168 &lt; W1168+X1168,1,0)) - (W1168+X1168)
     )
     - IF(AND(AB1168&lt;&gt;"""",AC1168&lt;&gt;""""), 
          SUM(ARRAYFORMULA(SPLIT(AC1168,"","") - SPLI"&amp;"T(AB1168,"",""))), 
          0
       ),
     ""[hh]:mm""
   )
)
"),"04:26")</f>
        <v>04:26</v>
      </c>
      <c r="AJ1168" s="109">
        <f t="shared" si="16"/>
        <v>0</v>
      </c>
      <c r="AK1168" s="110" t="str">
        <f t="shared" si="17"/>
        <v>Pass</v>
      </c>
    </row>
    <row r="1169">
      <c r="A1169" s="45">
        <v>46011.0</v>
      </c>
      <c r="B1169" s="49">
        <v>0.1909722222222222</v>
      </c>
      <c r="C1169" s="45">
        <v>46011.0</v>
      </c>
      <c r="D1169" s="49">
        <v>0.37222222222222223</v>
      </c>
      <c r="E1169" s="21" t="s">
        <v>8614</v>
      </c>
      <c r="F1169" s="21" t="s">
        <v>1276</v>
      </c>
      <c r="G1169" s="21" t="s">
        <v>1277</v>
      </c>
      <c r="H1169" s="21" t="s">
        <v>3093</v>
      </c>
      <c r="I1169" s="21" t="s">
        <v>131</v>
      </c>
      <c r="J1169" s="21" t="s">
        <v>2253</v>
      </c>
      <c r="K1169" s="21" t="s">
        <v>43</v>
      </c>
      <c r="L1169" s="21" t="s">
        <v>2663</v>
      </c>
      <c r="M1169" s="21" t="s">
        <v>7716</v>
      </c>
      <c r="N1169" s="21" t="s">
        <v>8464</v>
      </c>
      <c r="O1169" s="48" t="s">
        <v>8615</v>
      </c>
      <c r="P1169" s="21" t="s">
        <v>75</v>
      </c>
      <c r="Q1169" s="24" t="s">
        <v>198</v>
      </c>
      <c r="R1169" s="21" t="s">
        <v>8616</v>
      </c>
      <c r="S1169" s="21" t="s">
        <v>51</v>
      </c>
      <c r="T1169" s="106" t="s">
        <v>52</v>
      </c>
      <c r="U1169" s="106" t="s">
        <v>52</v>
      </c>
      <c r="V1169" s="106" t="s">
        <v>52</v>
      </c>
      <c r="W1169" s="45">
        <v>46011.0</v>
      </c>
      <c r="X1169" s="49">
        <v>0.375</v>
      </c>
      <c r="Y1169" s="45">
        <v>46011.0</v>
      </c>
      <c r="Z1169" s="49">
        <v>0.625</v>
      </c>
      <c r="AA1169" s="49">
        <v>0.6284722222222222</v>
      </c>
      <c r="AB1169" s="29"/>
      <c r="AC1169" s="29"/>
      <c r="AD1169" s="25">
        <v>0.6423611111111112</v>
      </c>
      <c r="AE1169" s="105">
        <v>46011.0</v>
      </c>
      <c r="AF1169" s="21" t="s">
        <v>8617</v>
      </c>
      <c r="AG1169" s="21" t="s">
        <v>78</v>
      </c>
      <c r="AH1169" s="21" t="s">
        <v>8618</v>
      </c>
      <c r="AI1169" s="108" t="str">
        <f>IFERROR(__xludf.DUMMYFUNCTION("IF(OR(W1169="""",X1169="""",AE1169="""",AD1169=""""),"""",
   TEXT(
     (
       (AE1169+AD1169 + IF(AE1169+AD1169 &lt; W1169+X1169,1,0)) - (W1169+X1169)
     )
     - IF(AND(AB1169&lt;&gt;"""",AC1169&lt;&gt;""""), 
          SUM(ARRAYFORMULA(SPLIT(AC1169,"","") - SPLI"&amp;"T(AB1169,"",""))), 
          0
       ),
     ""[hh]:mm""
   )
)
"),"06:25")</f>
        <v>06:25</v>
      </c>
      <c r="AJ1169" s="109">
        <f t="shared" si="16"/>
        <v>0</v>
      </c>
      <c r="AK1169" s="110" t="str">
        <f t="shared" si="17"/>
        <v>Pass</v>
      </c>
    </row>
    <row r="1170">
      <c r="A1170" s="45">
        <v>46011.0</v>
      </c>
      <c r="B1170" s="49">
        <v>0.09236111111111112</v>
      </c>
      <c r="C1170" s="45">
        <v>46011.0</v>
      </c>
      <c r="D1170" s="49">
        <v>0.625</v>
      </c>
      <c r="E1170" s="21" t="s">
        <v>8619</v>
      </c>
      <c r="F1170" s="21" t="s">
        <v>1833</v>
      </c>
      <c r="G1170" s="21" t="s">
        <v>1834</v>
      </c>
      <c r="H1170" s="21" t="s">
        <v>3093</v>
      </c>
      <c r="I1170" s="21" t="s">
        <v>616</v>
      </c>
      <c r="J1170" s="21" t="s">
        <v>2253</v>
      </c>
      <c r="K1170" s="21" t="s">
        <v>43</v>
      </c>
      <c r="L1170" s="21" t="s">
        <v>2663</v>
      </c>
      <c r="M1170" s="21" t="s">
        <v>8225</v>
      </c>
      <c r="N1170" s="21" t="s">
        <v>8464</v>
      </c>
      <c r="O1170" s="48" t="s">
        <v>8615</v>
      </c>
      <c r="P1170" s="21" t="s">
        <v>75</v>
      </c>
      <c r="Q1170" s="24" t="s">
        <v>198</v>
      </c>
      <c r="R1170" s="21" t="s">
        <v>8620</v>
      </c>
      <c r="S1170" s="21" t="s">
        <v>51</v>
      </c>
      <c r="T1170" s="106" t="s">
        <v>52</v>
      </c>
      <c r="U1170" s="106" t="s">
        <v>52</v>
      </c>
      <c r="V1170" s="106" t="s">
        <v>52</v>
      </c>
      <c r="W1170" s="45">
        <v>46011.0</v>
      </c>
      <c r="X1170" s="49">
        <v>0.375</v>
      </c>
      <c r="Y1170" s="45">
        <v>46011.0</v>
      </c>
      <c r="Z1170" s="49">
        <v>0.4583333333333333</v>
      </c>
      <c r="AA1170" s="49">
        <v>0.4618055555555556</v>
      </c>
      <c r="AB1170" s="29"/>
      <c r="AC1170" s="29"/>
      <c r="AD1170" s="25">
        <v>0.4895833333333333</v>
      </c>
      <c r="AE1170" s="105">
        <v>46011.0</v>
      </c>
      <c r="AF1170" s="21" t="s">
        <v>8617</v>
      </c>
      <c r="AG1170" s="21" t="s">
        <v>78</v>
      </c>
      <c r="AH1170" s="21" t="s">
        <v>8621</v>
      </c>
      <c r="AI1170" s="108" t="str">
        <f>IFERROR(__xludf.DUMMYFUNCTION("IF(OR(W1170="""",X1170="""",AE1170="""",AD1170=""""),"""",
   TEXT(
     (
       (AE1170+AD1170 + IF(AE1170+AD1170 &lt; W1170+X1170,1,0)) - (W1170+X1170)
     )
     - IF(AND(AB1170&lt;&gt;"""",AC1170&lt;&gt;""""), 
          SUM(ARRAYFORMULA(SPLIT(AC1170,"","") - SPLI"&amp;"T(AB1170,"",""))), 
          0
       ),
     ""[hh]:mm""
   )
)
"),"02:45")</f>
        <v>02:45</v>
      </c>
      <c r="AJ1170" s="109">
        <f t="shared" si="16"/>
        <v>0</v>
      </c>
      <c r="AK1170" s="110" t="str">
        <f t="shared" si="17"/>
        <v>Pass</v>
      </c>
    </row>
    <row r="1171">
      <c r="A1171" s="18">
        <v>46011.0</v>
      </c>
      <c r="B1171" s="20">
        <v>0.08958333333333333</v>
      </c>
      <c r="C1171" s="18">
        <v>46011.0</v>
      </c>
      <c r="D1171" s="20">
        <v>0.3659722222222222</v>
      </c>
      <c r="E1171" s="22" t="s">
        <v>8622</v>
      </c>
      <c r="F1171" s="22" t="s">
        <v>473</v>
      </c>
      <c r="G1171" s="22" t="s">
        <v>474</v>
      </c>
      <c r="H1171" s="22" t="s">
        <v>3093</v>
      </c>
      <c r="I1171" s="22" t="s">
        <v>2026</v>
      </c>
      <c r="J1171" s="22" t="s">
        <v>2253</v>
      </c>
      <c r="K1171" s="22" t="s">
        <v>43</v>
      </c>
      <c r="L1171" s="22" t="s">
        <v>2663</v>
      </c>
      <c r="M1171" s="22" t="s">
        <v>7728</v>
      </c>
      <c r="N1171" s="22" t="s">
        <v>8464</v>
      </c>
      <c r="O1171" s="23" t="s">
        <v>8623</v>
      </c>
      <c r="P1171" s="22" t="s">
        <v>75</v>
      </c>
      <c r="Q1171" s="50" t="s">
        <v>198</v>
      </c>
      <c r="R1171" s="22" t="s">
        <v>8398</v>
      </c>
      <c r="S1171" s="22" t="s">
        <v>51</v>
      </c>
      <c r="T1171" s="107" t="s">
        <v>52</v>
      </c>
      <c r="U1171" s="107" t="s">
        <v>52</v>
      </c>
      <c r="V1171" s="107" t="s">
        <v>52</v>
      </c>
      <c r="W1171" s="18">
        <v>46011.0</v>
      </c>
      <c r="X1171" s="20">
        <v>0.375</v>
      </c>
      <c r="Y1171" s="18">
        <v>46011.0</v>
      </c>
      <c r="Z1171" s="20">
        <v>0.4583333333333333</v>
      </c>
      <c r="AA1171" s="20">
        <v>0.45902777777777776</v>
      </c>
      <c r="AB1171" s="54"/>
      <c r="AC1171" s="54"/>
      <c r="AD1171" s="51">
        <v>0.4597222222222222</v>
      </c>
      <c r="AE1171" s="104">
        <v>46011.0</v>
      </c>
      <c r="AF1171" s="22" t="s">
        <v>8617</v>
      </c>
      <c r="AG1171" s="22" t="s">
        <v>67</v>
      </c>
      <c r="AH1171" s="22" t="s">
        <v>2180</v>
      </c>
      <c r="AI1171" s="111" t="str">
        <f>IFERROR(__xludf.DUMMYFUNCTION("IF(OR(W1171="""",X1171="""",AE1171="""",AD1171=""""),"""",
   TEXT(
     (
       (AE1171+AD1171 + IF(AE1171+AD1171 &lt; W1171+X1171,1,0)) - (W1171+X1171)
     )
     - IF(AND(AB1171&lt;&gt;"""",AC1171&lt;&gt;""""), 
          SUM(ARRAYFORMULA(SPLIT(AC1171,"","") - SPLI"&amp;"T(AB1171,"",""))), 
          0
       ),
     ""[hh]:mm""
   )
)
"),"02:02")</f>
        <v>02:02</v>
      </c>
      <c r="AJ1171" s="112">
        <f t="shared" si="16"/>
        <v>0</v>
      </c>
      <c r="AK1171" s="113" t="str">
        <f t="shared" si="17"/>
        <v>Pass</v>
      </c>
    </row>
    <row r="1172">
      <c r="A1172" s="18">
        <v>46011.0</v>
      </c>
      <c r="B1172" s="20">
        <v>0.05763888888888889</v>
      </c>
      <c r="C1172" s="18">
        <v>46011.0</v>
      </c>
      <c r="D1172" s="20">
        <v>0.40069444444444446</v>
      </c>
      <c r="E1172" s="22" t="s">
        <v>8624</v>
      </c>
      <c r="F1172" s="22" t="s">
        <v>2430</v>
      </c>
      <c r="G1172" s="22" t="s">
        <v>7989</v>
      </c>
      <c r="H1172" s="22" t="s">
        <v>3093</v>
      </c>
      <c r="I1172" s="22" t="s">
        <v>2026</v>
      </c>
      <c r="J1172" s="22" t="s">
        <v>2253</v>
      </c>
      <c r="K1172" s="22" t="s">
        <v>43</v>
      </c>
      <c r="L1172" s="22" t="s">
        <v>2663</v>
      </c>
      <c r="M1172" s="22" t="s">
        <v>7994</v>
      </c>
      <c r="N1172" s="22" t="s">
        <v>8464</v>
      </c>
      <c r="O1172" s="23" t="s">
        <v>8625</v>
      </c>
      <c r="P1172" s="22" t="s">
        <v>75</v>
      </c>
      <c r="Q1172" s="50" t="s">
        <v>198</v>
      </c>
      <c r="R1172" s="22" t="s">
        <v>8398</v>
      </c>
      <c r="S1172" s="22" t="s">
        <v>51</v>
      </c>
      <c r="T1172" s="107" t="s">
        <v>52</v>
      </c>
      <c r="U1172" s="107" t="s">
        <v>52</v>
      </c>
      <c r="V1172" s="107" t="s">
        <v>52</v>
      </c>
      <c r="W1172" s="18">
        <v>46011.0</v>
      </c>
      <c r="X1172" s="20">
        <v>0.375</v>
      </c>
      <c r="Y1172" s="18">
        <v>46011.0</v>
      </c>
      <c r="Z1172" s="20">
        <v>0.45416666666666666</v>
      </c>
      <c r="AA1172" s="20">
        <v>0.4583333333333333</v>
      </c>
      <c r="AB1172" s="54"/>
      <c r="AC1172" s="54"/>
      <c r="AD1172" s="51">
        <v>0.5069444444444444</v>
      </c>
      <c r="AE1172" s="104">
        <v>46011.0</v>
      </c>
      <c r="AF1172" s="22" t="s">
        <v>8617</v>
      </c>
      <c r="AG1172" s="22" t="s">
        <v>6108</v>
      </c>
      <c r="AH1172" s="22" t="s">
        <v>8626</v>
      </c>
      <c r="AI1172" s="111" t="str">
        <f>IFERROR(__xludf.DUMMYFUNCTION("IF(OR(W1172="""",X1172="""",AE1172="""",AD1172=""""),"""",
   TEXT(
     (
       (AE1172+AD1172 + IF(AE1172+AD1172 &lt; W1172+X1172,1,0)) - (W1172+X1172)
     )
     - IF(AND(AB1172&lt;&gt;"""",AC1172&lt;&gt;""""), 
          SUM(ARRAYFORMULA(SPLIT(AC1172,"","") - SPLI"&amp;"T(AB1172,"",""))), 
          0
       ),
     ""[hh]:mm""
   )
)
"),"03:10")</f>
        <v>03:10</v>
      </c>
      <c r="AJ1172" s="112">
        <f t="shared" si="16"/>
        <v>0</v>
      </c>
      <c r="AK1172" s="113" t="str">
        <f t="shared" si="17"/>
        <v>Pass</v>
      </c>
    </row>
    <row r="1173">
      <c r="A1173" s="18">
        <v>46011.0</v>
      </c>
      <c r="B1173" s="20">
        <v>0.05625</v>
      </c>
      <c r="C1173" s="18">
        <v>46011.0</v>
      </c>
      <c r="D1173" s="20">
        <v>0.4076388888888889</v>
      </c>
      <c r="E1173" s="22" t="s">
        <v>8627</v>
      </c>
      <c r="F1173" s="22" t="s">
        <v>316</v>
      </c>
      <c r="G1173" s="22" t="s">
        <v>317</v>
      </c>
      <c r="H1173" s="22" t="s">
        <v>3093</v>
      </c>
      <c r="I1173" s="22" t="s">
        <v>2026</v>
      </c>
      <c r="J1173" s="22" t="s">
        <v>2253</v>
      </c>
      <c r="K1173" s="22" t="s">
        <v>43</v>
      </c>
      <c r="L1173" s="22" t="s">
        <v>2663</v>
      </c>
      <c r="M1173" s="22" t="s">
        <v>7701</v>
      </c>
      <c r="N1173" s="22" t="s">
        <v>8464</v>
      </c>
      <c r="O1173" s="23" t="s">
        <v>8628</v>
      </c>
      <c r="P1173" s="22" t="s">
        <v>75</v>
      </c>
      <c r="Q1173" s="50" t="s">
        <v>198</v>
      </c>
      <c r="R1173" s="22" t="s">
        <v>8398</v>
      </c>
      <c r="S1173" s="22" t="s">
        <v>51</v>
      </c>
      <c r="T1173" s="107" t="s">
        <v>52</v>
      </c>
      <c r="U1173" s="107" t="s">
        <v>52</v>
      </c>
      <c r="V1173" s="107" t="s">
        <v>52</v>
      </c>
      <c r="W1173" s="18">
        <v>46011.0</v>
      </c>
      <c r="X1173" s="20">
        <v>0.375</v>
      </c>
      <c r="Y1173" s="18">
        <v>46011.0</v>
      </c>
      <c r="Z1173" s="20">
        <v>0.5020833333333333</v>
      </c>
      <c r="AA1173" s="20">
        <v>0.5034722222222222</v>
      </c>
      <c r="AB1173" s="86"/>
      <c r="AC1173" s="86"/>
      <c r="AD1173" s="51">
        <v>0.5208333333333334</v>
      </c>
      <c r="AE1173" s="104">
        <v>46011.0</v>
      </c>
      <c r="AF1173" s="22" t="s">
        <v>8617</v>
      </c>
      <c r="AG1173" s="22" t="s">
        <v>102</v>
      </c>
      <c r="AH1173" s="22" t="s">
        <v>8629</v>
      </c>
      <c r="AI1173" s="111" t="str">
        <f>IFERROR(__xludf.DUMMYFUNCTION("IF(OR(W1173="""",X1173="""",AE1173="""",AD1173=""""),"""",
   TEXT(
     (
       (AE1173+AD1173 + IF(AE1173+AD1173 &lt; W1173+X1173,1,0)) - (W1173+X1173)
     )
     - IF(AND(AB1173&lt;&gt;"""",AC1173&lt;&gt;""""), 
          SUM(ARRAYFORMULA(SPLIT(AC1173,"","") - SPLI"&amp;"T(AB1173,"",""))), 
          0
       ),
     ""[hh]:mm""
   )
)
"),"03:30")</f>
        <v>03:30</v>
      </c>
      <c r="AJ1173" s="112">
        <f t="shared" si="16"/>
        <v>0</v>
      </c>
      <c r="AK1173" s="113" t="str">
        <f t="shared" si="17"/>
        <v>Pass</v>
      </c>
    </row>
    <row r="1174">
      <c r="A1174" s="18">
        <v>46011.0</v>
      </c>
      <c r="B1174" s="20">
        <v>0.42430555555555555</v>
      </c>
      <c r="C1174" s="18">
        <v>46011.0</v>
      </c>
      <c r="D1174" s="20">
        <v>0.42986111111111114</v>
      </c>
      <c r="E1174" s="22" t="s">
        <v>8630</v>
      </c>
      <c r="F1174" s="22" t="s">
        <v>1053</v>
      </c>
      <c r="G1174" s="22" t="s">
        <v>1054</v>
      </c>
      <c r="H1174" s="22" t="s">
        <v>566</v>
      </c>
      <c r="I1174" s="22" t="s">
        <v>1055</v>
      </c>
      <c r="J1174" s="22" t="s">
        <v>1056</v>
      </c>
      <c r="K1174" s="22" t="s">
        <v>635</v>
      </c>
      <c r="L1174" s="22" t="s">
        <v>1585</v>
      </c>
      <c r="M1174" s="22" t="s">
        <v>8631</v>
      </c>
      <c r="N1174" s="22" t="s">
        <v>8632</v>
      </c>
      <c r="O1174" s="23" t="s">
        <v>8633</v>
      </c>
      <c r="P1174" s="22" t="s">
        <v>48</v>
      </c>
      <c r="Q1174" s="50" t="s">
        <v>65</v>
      </c>
      <c r="R1174" s="22" t="s">
        <v>8634</v>
      </c>
      <c r="S1174" s="22" t="s">
        <v>51</v>
      </c>
      <c r="T1174" s="107" t="s">
        <v>52</v>
      </c>
      <c r="U1174" s="107" t="s">
        <v>52</v>
      </c>
      <c r="V1174" s="107" t="s">
        <v>52</v>
      </c>
      <c r="W1174" s="18">
        <v>46011.0</v>
      </c>
      <c r="X1174" s="20">
        <v>0.42986111111111114</v>
      </c>
      <c r="Y1174" s="18">
        <v>46011.0</v>
      </c>
      <c r="Z1174" s="20">
        <v>0.5027777777777778</v>
      </c>
      <c r="AA1174" s="20">
        <v>0.525</v>
      </c>
      <c r="AB1174" s="54"/>
      <c r="AC1174" s="54"/>
      <c r="AD1174" s="51">
        <v>0.5576388888888889</v>
      </c>
      <c r="AE1174" s="104">
        <v>46011.0</v>
      </c>
      <c r="AF1174" s="22" t="s">
        <v>2839</v>
      </c>
      <c r="AG1174" s="22" t="s">
        <v>8635</v>
      </c>
      <c r="AH1174" s="22" t="s">
        <v>8636</v>
      </c>
      <c r="AI1174" s="111" t="str">
        <f>IFERROR(__xludf.DUMMYFUNCTION("IF(OR(W1174="""",X1174="""",AE1174="""",AD1174=""""),"""",
   TEXT(
     (
       (AE1174+AD1174 + IF(AE1174+AD1174 &lt; W1174+X1174,1,0)) - (W1174+X1174)
     )
     - IF(AND(AB1174&lt;&gt;"""",AC1174&lt;&gt;""""), 
          SUM(ARRAYFORMULA(SPLIT(AC1174,"","") - SPLI"&amp;"T(AB1174,"",""))), 
          0
       ),
     ""[hh]:mm""
   )
)
"),"03:04")</f>
        <v>03:04</v>
      </c>
      <c r="AJ1174" s="112">
        <f t="shared" si="16"/>
        <v>0</v>
      </c>
      <c r="AK1174" s="113" t="str">
        <f t="shared" si="17"/>
        <v>Pass</v>
      </c>
    </row>
    <row r="1175">
      <c r="A1175" s="18">
        <v>46011.0</v>
      </c>
      <c r="B1175" s="20">
        <v>0.5611111111111111</v>
      </c>
      <c r="C1175" s="18">
        <v>46011.0</v>
      </c>
      <c r="D1175" s="20">
        <v>0.5611111111111111</v>
      </c>
      <c r="E1175" s="22" t="s">
        <v>8637</v>
      </c>
      <c r="F1175" s="22" t="s">
        <v>4555</v>
      </c>
      <c r="G1175" s="22" t="s">
        <v>4556</v>
      </c>
      <c r="H1175" s="22" t="s">
        <v>156</v>
      </c>
      <c r="I1175" s="22" t="s">
        <v>616</v>
      </c>
      <c r="J1175" s="22" t="s">
        <v>2253</v>
      </c>
      <c r="K1175" s="22" t="s">
        <v>43</v>
      </c>
      <c r="L1175" s="22" t="s">
        <v>2663</v>
      </c>
      <c r="M1175" s="22" t="s">
        <v>8638</v>
      </c>
      <c r="N1175" s="22" t="s">
        <v>1113</v>
      </c>
      <c r="O1175" s="23" t="s">
        <v>8639</v>
      </c>
      <c r="P1175" s="22" t="s">
        <v>75</v>
      </c>
      <c r="Q1175" s="50" t="s">
        <v>65</v>
      </c>
      <c r="R1175" s="102" t="s">
        <v>8640</v>
      </c>
      <c r="S1175" s="22" t="s">
        <v>51</v>
      </c>
      <c r="T1175" s="107" t="s">
        <v>52</v>
      </c>
      <c r="U1175" s="107" t="s">
        <v>52</v>
      </c>
      <c r="V1175" s="107" t="s">
        <v>52</v>
      </c>
      <c r="W1175" s="18">
        <v>46011.0</v>
      </c>
      <c r="X1175" s="20">
        <v>0.5611111111111111</v>
      </c>
      <c r="Y1175" s="18">
        <v>46011.0</v>
      </c>
      <c r="Z1175" s="20">
        <v>0.5611111111111111</v>
      </c>
      <c r="AA1175" s="20">
        <v>0.5798611111111112</v>
      </c>
      <c r="AB1175" s="54"/>
      <c r="AC1175" s="54"/>
      <c r="AD1175" s="51">
        <v>0.6041666666666666</v>
      </c>
      <c r="AE1175" s="104">
        <v>46011.0</v>
      </c>
      <c r="AF1175" s="22" t="s">
        <v>2839</v>
      </c>
      <c r="AG1175" s="22" t="s">
        <v>593</v>
      </c>
      <c r="AH1175" s="22" t="s">
        <v>8641</v>
      </c>
      <c r="AI1175" s="111" t="str">
        <f>IFERROR(__xludf.DUMMYFUNCTION("IF(OR(W1175="""",X1175="""",AE1175="""",AD1175=""""),"""",
   TEXT(
     (
       (AE1175+AD1175 + IF(AE1175+AD1175 &lt; W1175+X1175,1,0)) - (W1175+X1175)
     )
     - IF(AND(AB1175&lt;&gt;"""",AC1175&lt;&gt;""""), 
          SUM(ARRAYFORMULA(SPLIT(AC1175,"","") - SPLI"&amp;"T(AB1175,"",""))), 
          0
       ),
     ""[hh]:mm""
   )
)
"),"01:02")</f>
        <v>01:02</v>
      </c>
      <c r="AJ1175" s="112">
        <f t="shared" si="16"/>
        <v>0</v>
      </c>
      <c r="AK1175" s="113" t="str">
        <f t="shared" si="17"/>
        <v>Pass</v>
      </c>
    </row>
    <row r="1176">
      <c r="A1176" s="45">
        <v>46011.0</v>
      </c>
      <c r="B1176" s="49">
        <v>0.5472222222222223</v>
      </c>
      <c r="C1176" s="45">
        <v>46011.0</v>
      </c>
      <c r="D1176" s="49">
        <v>0.5743055555555555</v>
      </c>
      <c r="E1176" s="21" t="s">
        <v>8642</v>
      </c>
      <c r="F1176" s="21" t="s">
        <v>6310</v>
      </c>
      <c r="G1176" s="21" t="s">
        <v>6311</v>
      </c>
      <c r="H1176" s="21" t="s">
        <v>1610</v>
      </c>
      <c r="I1176" s="21" t="s">
        <v>1612</v>
      </c>
      <c r="J1176" s="21" t="s">
        <v>1612</v>
      </c>
      <c r="K1176" s="21" t="s">
        <v>143</v>
      </c>
      <c r="L1176" s="21" t="s">
        <v>1613</v>
      </c>
      <c r="M1176" s="21" t="s">
        <v>8643</v>
      </c>
      <c r="N1176" s="21" t="s">
        <v>8644</v>
      </c>
      <c r="O1176" s="48" t="s">
        <v>8645</v>
      </c>
      <c r="P1176" s="21" t="s">
        <v>187</v>
      </c>
      <c r="Q1176" s="24" t="s">
        <v>65</v>
      </c>
      <c r="R1176" s="21" t="s">
        <v>8646</v>
      </c>
      <c r="S1176" s="21" t="s">
        <v>51</v>
      </c>
      <c r="T1176" s="106" t="s">
        <v>52</v>
      </c>
      <c r="U1176" s="106" t="s">
        <v>52</v>
      </c>
      <c r="V1176" s="106" t="s">
        <v>52</v>
      </c>
      <c r="W1176" s="45">
        <v>46011.0</v>
      </c>
      <c r="X1176" s="76">
        <v>0.5743055555555555</v>
      </c>
      <c r="Y1176" s="45">
        <v>46011.0</v>
      </c>
      <c r="Z1176" s="49">
        <v>0.6826388888888889</v>
      </c>
      <c r="AA1176" s="49">
        <v>0.6826388888888889</v>
      </c>
      <c r="AB1176" s="29"/>
      <c r="AC1176" s="29"/>
      <c r="AD1176" s="25">
        <v>0.7361111111111112</v>
      </c>
      <c r="AE1176" s="105">
        <v>46011.0</v>
      </c>
      <c r="AF1176" s="21" t="s">
        <v>2839</v>
      </c>
      <c r="AG1176" s="21" t="s">
        <v>7188</v>
      </c>
      <c r="AH1176" s="21" t="s">
        <v>8647</v>
      </c>
      <c r="AI1176" s="108" t="str">
        <f>IFERROR(__xludf.DUMMYFUNCTION("IF(OR(W1176="""",X1176="""",AE1176="""",AD1176=""""),"""",
   TEXT(
     (
       (AE1176+AD1176 + IF(AE1176+AD1176 &lt; W1176+X1176,1,0)) - (W1176+X1176)
     )
     - IF(AND(AB1176&lt;&gt;"""",AC1176&lt;&gt;""""), 
          SUM(ARRAYFORMULA(SPLIT(AC1176,"","") - SPLI"&amp;"T(AB1176,"",""))), 
          0
       ),
     ""[hh]:mm""
   )
)
"),"03:53")</f>
        <v>03:53</v>
      </c>
      <c r="AJ1176" s="109">
        <f t="shared" si="16"/>
        <v>0</v>
      </c>
      <c r="AK1176" s="110" t="str">
        <f t="shared" si="17"/>
        <v>Pass</v>
      </c>
    </row>
    <row r="1177">
      <c r="A1177" s="45">
        <v>46011.0</v>
      </c>
      <c r="B1177" s="49">
        <v>0.6777777777777778</v>
      </c>
      <c r="C1177" s="45">
        <v>46011.0</v>
      </c>
      <c r="D1177" s="49">
        <v>0.6791666666666667</v>
      </c>
      <c r="E1177" s="21" t="s">
        <v>8648</v>
      </c>
      <c r="F1177" s="21" t="s">
        <v>8649</v>
      </c>
      <c r="G1177" s="21" t="s">
        <v>8650</v>
      </c>
      <c r="H1177" s="21" t="s">
        <v>244</v>
      </c>
      <c r="I1177" s="21" t="s">
        <v>60</v>
      </c>
      <c r="J1177" s="21" t="s">
        <v>3806</v>
      </c>
      <c r="K1177" s="21" t="s">
        <v>43</v>
      </c>
      <c r="L1177" s="21" t="s">
        <v>44</v>
      </c>
      <c r="M1177" s="21" t="s">
        <v>8651</v>
      </c>
      <c r="N1177" s="21" t="s">
        <v>8652</v>
      </c>
      <c r="O1177" s="48" t="s">
        <v>8653</v>
      </c>
      <c r="P1177" s="21" t="s">
        <v>48</v>
      </c>
      <c r="Q1177" s="24" t="s">
        <v>65</v>
      </c>
      <c r="R1177" s="21" t="s">
        <v>8654</v>
      </c>
      <c r="S1177" s="21" t="s">
        <v>51</v>
      </c>
      <c r="T1177" s="21" t="s">
        <v>52</v>
      </c>
      <c r="U1177" s="21" t="s">
        <v>52</v>
      </c>
      <c r="V1177" s="21" t="s">
        <v>52</v>
      </c>
      <c r="W1177" s="45">
        <v>46011.0</v>
      </c>
      <c r="X1177" s="49">
        <v>0.6791666666666667</v>
      </c>
      <c r="Y1177" s="45">
        <v>46011.0</v>
      </c>
      <c r="Z1177" s="49">
        <v>0.7930555555555555</v>
      </c>
      <c r="AA1177" s="49">
        <v>0.8090277777777778</v>
      </c>
      <c r="AB1177" s="29"/>
      <c r="AC1177" s="29"/>
      <c r="AD1177" s="25">
        <v>0.8958333333333334</v>
      </c>
      <c r="AE1177" s="105">
        <v>46011.0</v>
      </c>
      <c r="AF1177" s="21" t="s">
        <v>7250</v>
      </c>
      <c r="AG1177" s="21" t="s">
        <v>3118</v>
      </c>
      <c r="AH1177" s="21" t="s">
        <v>8655</v>
      </c>
      <c r="AI1177" s="108" t="str">
        <f>IFERROR(__xludf.DUMMYFUNCTION("IF(OR(W1177="""",X1177="""",AE1177="""",AD1177=""""),"""",
   TEXT(
     (
       (AE1177+AD1177 + IF(AE1177+AD1177 &lt; W1177+X1177,1,0)) - (W1177+X1177)
     )
     - IF(AND(AB1177&lt;&gt;"""",AC1177&lt;&gt;""""), 
          SUM(ARRAYFORMULA(SPLIT(AC1177,"","") - SPLI"&amp;"T(AB1177,"",""))), 
          0
       ),
     ""[hh]:mm""
   )
)
"),"05:12")</f>
        <v>05:12</v>
      </c>
      <c r="AJ1177" s="109">
        <f t="shared" si="16"/>
        <v>0</v>
      </c>
      <c r="AK1177" s="110" t="str">
        <f t="shared" si="17"/>
        <v>Pass</v>
      </c>
    </row>
    <row r="1178">
      <c r="A1178" s="45">
        <v>46011.0</v>
      </c>
      <c r="B1178" s="49">
        <v>0.6777777777777778</v>
      </c>
      <c r="C1178" s="45">
        <v>46011.0</v>
      </c>
      <c r="D1178" s="49">
        <v>0.6791666666666667</v>
      </c>
      <c r="E1178" s="21" t="s">
        <v>8656</v>
      </c>
      <c r="F1178" s="21" t="s">
        <v>8649</v>
      </c>
      <c r="G1178" s="21" t="s">
        <v>8650</v>
      </c>
      <c r="H1178" s="21" t="s">
        <v>244</v>
      </c>
      <c r="I1178" s="21" t="s">
        <v>234</v>
      </c>
      <c r="J1178" s="21" t="s">
        <v>3806</v>
      </c>
      <c r="K1178" s="21" t="s">
        <v>43</v>
      </c>
      <c r="L1178" s="21" t="s">
        <v>44</v>
      </c>
      <c r="M1178" s="21" t="s">
        <v>8657</v>
      </c>
      <c r="N1178" s="21" t="s">
        <v>8658</v>
      </c>
      <c r="O1178" s="48" t="s">
        <v>8659</v>
      </c>
      <c r="P1178" s="21" t="s">
        <v>48</v>
      </c>
      <c r="Q1178" s="24" t="s">
        <v>65</v>
      </c>
      <c r="R1178" s="21" t="s">
        <v>8660</v>
      </c>
      <c r="S1178" s="21" t="s">
        <v>51</v>
      </c>
      <c r="T1178" s="21" t="s">
        <v>52</v>
      </c>
      <c r="U1178" s="21" t="s">
        <v>52</v>
      </c>
      <c r="V1178" s="21" t="s">
        <v>52</v>
      </c>
      <c r="W1178" s="45">
        <v>46011.0</v>
      </c>
      <c r="X1178" s="49">
        <v>0.6791666666666667</v>
      </c>
      <c r="Y1178" s="45">
        <v>46011.0</v>
      </c>
      <c r="Z1178" s="49">
        <v>0.7930555555555555</v>
      </c>
      <c r="AA1178" s="49">
        <v>0.8090277777777778</v>
      </c>
      <c r="AB1178" s="29"/>
      <c r="AC1178" s="29"/>
      <c r="AD1178" s="25">
        <v>0.8958333333333334</v>
      </c>
      <c r="AE1178" s="105">
        <v>46011.0</v>
      </c>
      <c r="AF1178" s="21" t="s">
        <v>7250</v>
      </c>
      <c r="AG1178" s="21" t="s">
        <v>3118</v>
      </c>
      <c r="AH1178" s="21" t="s">
        <v>8655</v>
      </c>
      <c r="AI1178" s="108" t="str">
        <f>IFERROR(__xludf.DUMMYFUNCTION("IF(OR(W1178="""",X1178="""",AE1178="""",AD1178=""""),"""",
   TEXT(
     (
       (AE1178+AD1178 + IF(AE1178+AD1178 &lt; W1178+X1178,1,0)) - (W1178+X1178)
     )
     - IF(AND(AB1178&lt;&gt;"""",AC1178&lt;&gt;""""), 
          SUM(ARRAYFORMULA(SPLIT(AC1178,"","") - SPLI"&amp;"T(AB1178,"",""))), 
          0
       ),
     ""[hh]:mm""
   )
)
"),"05:12")</f>
        <v>05:12</v>
      </c>
      <c r="AJ1178" s="109">
        <f t="shared" si="16"/>
        <v>0</v>
      </c>
      <c r="AK1178" s="110" t="str">
        <f t="shared" si="17"/>
        <v>Pass</v>
      </c>
    </row>
    <row r="1179">
      <c r="A1179" s="18">
        <v>46011.0</v>
      </c>
      <c r="B1179" s="20">
        <v>0.7034722222222223</v>
      </c>
      <c r="C1179" s="18">
        <v>46011.0</v>
      </c>
      <c r="D1179" s="20">
        <v>0.7076388888888889</v>
      </c>
      <c r="E1179" s="22" t="s">
        <v>8661</v>
      </c>
      <c r="F1179" s="22" t="s">
        <v>4281</v>
      </c>
      <c r="G1179" s="22" t="s">
        <v>4282</v>
      </c>
      <c r="H1179" s="22" t="s">
        <v>5696</v>
      </c>
      <c r="I1179" s="22" t="s">
        <v>60</v>
      </c>
      <c r="J1179" s="22" t="s">
        <v>3806</v>
      </c>
      <c r="K1179" s="21" t="s">
        <v>43</v>
      </c>
      <c r="L1179" s="21" t="s">
        <v>44</v>
      </c>
      <c r="M1179" s="22" t="s">
        <v>8662</v>
      </c>
      <c r="N1179" s="22" t="s">
        <v>8663</v>
      </c>
      <c r="O1179" s="23" t="s">
        <v>8664</v>
      </c>
      <c r="P1179" s="22" t="s">
        <v>75</v>
      </c>
      <c r="Q1179" s="50" t="s">
        <v>65</v>
      </c>
      <c r="R1179" s="22" t="s">
        <v>8665</v>
      </c>
      <c r="S1179" s="22" t="s">
        <v>51</v>
      </c>
      <c r="T1179" s="22" t="s">
        <v>52</v>
      </c>
      <c r="U1179" s="22" t="s">
        <v>52</v>
      </c>
      <c r="V1179" s="22" t="s">
        <v>52</v>
      </c>
      <c r="W1179" s="18">
        <v>46011.0</v>
      </c>
      <c r="X1179" s="20">
        <v>0.7076388888888889</v>
      </c>
      <c r="Y1179" s="18">
        <v>46011.0</v>
      </c>
      <c r="Z1179" s="20">
        <v>0.7652777777777777</v>
      </c>
      <c r="AA1179" s="20">
        <v>0.7708333333333334</v>
      </c>
      <c r="AB1179" s="51">
        <v>0.8472222222222222</v>
      </c>
      <c r="AC1179" s="51">
        <v>0.9652777777777778</v>
      </c>
      <c r="AD1179" s="51">
        <v>0.03263888888888889</v>
      </c>
      <c r="AE1179" s="104">
        <v>46012.0</v>
      </c>
      <c r="AF1179" s="22" t="s">
        <v>7250</v>
      </c>
      <c r="AG1179" s="22" t="s">
        <v>8666</v>
      </c>
      <c r="AH1179" s="22" t="s">
        <v>8667</v>
      </c>
      <c r="AI1179" s="111" t="str">
        <f>IFERROR(__xludf.DUMMYFUNCTION("IF(OR(W1179="""",X1179="""",AE1179="""",AD1179=""""),"""",
   TEXT(
     (
       (AE1179+AD1179 + IF(AE1179+AD1179 &lt; W1179+X1179,1,0)) - (W1179+X1179)
     )
     - IF(AND(AB1179&lt;&gt;"""",AC1179&lt;&gt;""""), 
          SUM(ARRAYFORMULA(SPLIT(AC1179,"","") - SPLI"&amp;"T(AB1179,"",""))), 
          0
       ),
     ""[hh]:mm""
   )
)
"),"04:58")</f>
        <v>04:58</v>
      </c>
      <c r="AJ1179" s="112">
        <f t="shared" si="16"/>
        <v>0</v>
      </c>
      <c r="AK1179" s="113" t="str">
        <f t="shared" si="17"/>
        <v>Pass</v>
      </c>
    </row>
    <row r="1180">
      <c r="A1180" s="18">
        <v>46011.0</v>
      </c>
      <c r="B1180" s="20">
        <v>0.9854166666666667</v>
      </c>
      <c r="C1180" s="18">
        <v>46012.0</v>
      </c>
      <c r="D1180" s="20">
        <v>0.36875</v>
      </c>
      <c r="E1180" s="22" t="s">
        <v>8668</v>
      </c>
      <c r="F1180" s="22" t="s">
        <v>8149</v>
      </c>
      <c r="G1180" s="22" t="s">
        <v>8150</v>
      </c>
      <c r="H1180" s="22" t="s">
        <v>4040</v>
      </c>
      <c r="I1180" s="22" t="s">
        <v>644</v>
      </c>
      <c r="J1180" s="22" t="s">
        <v>644</v>
      </c>
      <c r="K1180" s="22" t="s">
        <v>143</v>
      </c>
      <c r="L1180" s="22" t="s">
        <v>1506</v>
      </c>
      <c r="M1180" s="22" t="s">
        <v>8152</v>
      </c>
      <c r="N1180" s="22" t="s">
        <v>8669</v>
      </c>
      <c r="O1180" s="23" t="s">
        <v>8670</v>
      </c>
      <c r="P1180" s="22" t="s">
        <v>48</v>
      </c>
      <c r="Q1180" s="50" t="s">
        <v>65</v>
      </c>
      <c r="R1180" s="22" t="s">
        <v>8671</v>
      </c>
      <c r="S1180" s="22" t="s">
        <v>51</v>
      </c>
      <c r="T1180" s="22" t="s">
        <v>52</v>
      </c>
      <c r="U1180" s="22" t="s">
        <v>52</v>
      </c>
      <c r="V1180" s="22" t="s">
        <v>52</v>
      </c>
      <c r="W1180" s="18">
        <v>46012.0</v>
      </c>
      <c r="X1180" s="20">
        <v>0.36875</v>
      </c>
      <c r="Y1180" s="18">
        <v>46012.0</v>
      </c>
      <c r="Z1180" s="20">
        <v>0.4444444444444444</v>
      </c>
      <c r="AA1180" s="75">
        <v>0.4479166666666667</v>
      </c>
      <c r="AB1180" s="54"/>
      <c r="AC1180" s="54"/>
      <c r="AD1180" s="51">
        <v>0.5104166666666666</v>
      </c>
      <c r="AE1180" s="104">
        <v>46012.0</v>
      </c>
      <c r="AF1180" s="22" t="s">
        <v>2711</v>
      </c>
      <c r="AG1180" s="22" t="s">
        <v>5541</v>
      </c>
      <c r="AH1180" s="22" t="s">
        <v>8672</v>
      </c>
      <c r="AI1180" s="111" t="str">
        <f>IFERROR(__xludf.DUMMYFUNCTION("IF(OR(W1180="""",X1180="""",AE1180="""",AD1180=""""),"""",
   TEXT(
     (
       (AE1180+AD1180 + IF(AE1180+AD1180 &lt; W1180+X1180,1,0)) - (W1180+X1180)
     )
     - IF(AND(AB1180&lt;&gt;"""",AC1180&lt;&gt;""""), 
          SUM(ARRAYFORMULA(SPLIT(AC1180,"","") - SPLI"&amp;"T(AB1180,"",""))), 
          0
       ),
     ""[hh]:mm""
   )
)
"),"03:24")</f>
        <v>03:24</v>
      </c>
      <c r="AJ1180" s="112">
        <f t="shared" si="16"/>
        <v>0</v>
      </c>
      <c r="AK1180" s="113" t="str">
        <f t="shared" si="17"/>
        <v>Pass</v>
      </c>
    </row>
    <row r="1181">
      <c r="A1181" s="45">
        <v>46012.0</v>
      </c>
      <c r="B1181" s="49">
        <v>0.011805555555555555</v>
      </c>
      <c r="C1181" s="45">
        <v>46012.0</v>
      </c>
      <c r="D1181" s="49">
        <v>0.3770833333333333</v>
      </c>
      <c r="E1181" s="21" t="s">
        <v>8673</v>
      </c>
      <c r="F1181" s="21" t="s">
        <v>8266</v>
      </c>
      <c r="G1181" s="21" t="s">
        <v>8267</v>
      </c>
      <c r="H1181" s="21" t="s">
        <v>1610</v>
      </c>
      <c r="I1181" s="21" t="s">
        <v>1612</v>
      </c>
      <c r="J1181" s="21" t="s">
        <v>1612</v>
      </c>
      <c r="K1181" s="21" t="s">
        <v>143</v>
      </c>
      <c r="L1181" s="21" t="s">
        <v>1613</v>
      </c>
      <c r="M1181" s="21" t="s">
        <v>8674</v>
      </c>
      <c r="N1181" s="21" t="s">
        <v>8675</v>
      </c>
      <c r="O1181" s="48" t="s">
        <v>8676</v>
      </c>
      <c r="P1181" s="21" t="s">
        <v>187</v>
      </c>
      <c r="Q1181" s="24" t="s">
        <v>65</v>
      </c>
      <c r="R1181" s="21" t="s">
        <v>8677</v>
      </c>
      <c r="S1181" s="21" t="s">
        <v>51</v>
      </c>
      <c r="T1181" s="21" t="s">
        <v>52</v>
      </c>
      <c r="U1181" s="21" t="s">
        <v>52</v>
      </c>
      <c r="V1181" s="21" t="s">
        <v>52</v>
      </c>
      <c r="W1181" s="45">
        <v>46012.0</v>
      </c>
      <c r="X1181" s="49">
        <v>0.3770833333333333</v>
      </c>
      <c r="Y1181" s="45">
        <v>46012.0</v>
      </c>
      <c r="Z1181" s="49">
        <v>0.5291666666666667</v>
      </c>
      <c r="AA1181" s="49">
        <v>0.5298611111111111</v>
      </c>
      <c r="AB1181" s="29"/>
      <c r="AC1181" s="29"/>
      <c r="AD1181" s="25">
        <v>0.625</v>
      </c>
      <c r="AE1181" s="105">
        <v>46012.0</v>
      </c>
      <c r="AF1181" s="21" t="s">
        <v>2711</v>
      </c>
      <c r="AG1181" s="21" t="s">
        <v>239</v>
      </c>
      <c r="AH1181" s="21" t="s">
        <v>8678</v>
      </c>
      <c r="AI1181" s="108" t="str">
        <f>IFERROR(__xludf.DUMMYFUNCTION("IF(OR(W1181="""",X1181="""",AE1181="""",AD1181=""""),"""",
   TEXT(
     (
       (AE1181+AD1181 + IF(AE1181+AD1181 &lt; W1181+X1181,1,0)) - (W1181+X1181)
     )
     - IF(AND(AB1181&lt;&gt;"""",AC1181&lt;&gt;""""), 
          SUM(ARRAYFORMULA(SPLIT(AC1181,"","") - SPLI"&amp;"T(AB1181,"",""))), 
          0
       ),
     ""[hh]:mm""
   )
)
"),"05:57")</f>
        <v>05:57</v>
      </c>
      <c r="AJ1181" s="109">
        <f t="shared" si="16"/>
        <v>0</v>
      </c>
      <c r="AK1181" s="110" t="str">
        <f t="shared" si="17"/>
        <v>Pass</v>
      </c>
    </row>
    <row r="1182">
      <c r="A1182" s="18">
        <v>46012.0</v>
      </c>
      <c r="B1182" s="20">
        <v>0.011805555555555555</v>
      </c>
      <c r="C1182" s="18">
        <v>46012.0</v>
      </c>
      <c r="D1182" s="20">
        <v>0.3770833333333333</v>
      </c>
      <c r="E1182" s="22" t="s">
        <v>8679</v>
      </c>
      <c r="F1182" s="22" t="s">
        <v>5434</v>
      </c>
      <c r="G1182" s="22" t="s">
        <v>5435</v>
      </c>
      <c r="H1182" s="22" t="s">
        <v>1610</v>
      </c>
      <c r="I1182" s="22" t="s">
        <v>1612</v>
      </c>
      <c r="J1182" s="22" t="s">
        <v>1612</v>
      </c>
      <c r="K1182" s="22" t="s">
        <v>143</v>
      </c>
      <c r="L1182" s="22" t="s">
        <v>1613</v>
      </c>
      <c r="M1182" s="22" t="s">
        <v>8680</v>
      </c>
      <c r="N1182" s="22" t="s">
        <v>8681</v>
      </c>
      <c r="O1182" s="23" t="s">
        <v>8682</v>
      </c>
      <c r="P1182" s="22" t="s">
        <v>187</v>
      </c>
      <c r="Q1182" s="50" t="s">
        <v>65</v>
      </c>
      <c r="R1182" s="22" t="s">
        <v>5622</v>
      </c>
      <c r="S1182" s="22" t="s">
        <v>51</v>
      </c>
      <c r="T1182" s="22" t="s">
        <v>52</v>
      </c>
      <c r="U1182" s="22" t="s">
        <v>52</v>
      </c>
      <c r="V1182" s="22" t="s">
        <v>52</v>
      </c>
      <c r="W1182" s="18">
        <v>46012.0</v>
      </c>
      <c r="X1182" s="20">
        <v>0.3770833333333333</v>
      </c>
      <c r="Y1182" s="18">
        <v>46012.0</v>
      </c>
      <c r="Z1182" s="20">
        <v>0.5069444444444444</v>
      </c>
      <c r="AA1182" s="20">
        <v>0.5104166666666666</v>
      </c>
      <c r="AB1182" s="54"/>
      <c r="AC1182" s="54"/>
      <c r="AD1182" s="51">
        <v>0.5625</v>
      </c>
      <c r="AE1182" s="104">
        <v>46012.0</v>
      </c>
      <c r="AF1182" s="22" t="s">
        <v>2711</v>
      </c>
      <c r="AG1182" s="22" t="s">
        <v>151</v>
      </c>
      <c r="AH1182" s="22" t="s">
        <v>8683</v>
      </c>
      <c r="AI1182" s="111" t="str">
        <f>IFERROR(__xludf.DUMMYFUNCTION("IF(OR(W1182="""",X1182="""",AE1182="""",AD1182=""""),"""",
   TEXT(
     (
       (AE1182+AD1182 + IF(AE1182+AD1182 &lt; W1182+X1182,1,0)) - (W1182+X1182)
     )
     - IF(AND(AB1182&lt;&gt;"""",AC1182&lt;&gt;""""), 
          SUM(ARRAYFORMULA(SPLIT(AC1182,"","") - SPLI"&amp;"T(AB1182,"",""))), 
          0
       ),
     ""[hh]:mm""
   )
)
"),"04:27")</f>
        <v>04:27</v>
      </c>
      <c r="AJ1182" s="112">
        <f t="shared" si="16"/>
        <v>0</v>
      </c>
      <c r="AK1182" s="113" t="str">
        <f t="shared" si="17"/>
        <v>Pass</v>
      </c>
    </row>
    <row r="1183">
      <c r="A1183" s="18">
        <v>46012.0</v>
      </c>
      <c r="B1183" s="20">
        <v>0.3458333333333333</v>
      </c>
      <c r="C1183" s="18">
        <v>46012.0</v>
      </c>
      <c r="D1183" s="20">
        <v>0.37777777777777777</v>
      </c>
      <c r="E1183" s="22" t="s">
        <v>8684</v>
      </c>
      <c r="F1183" s="22" t="s">
        <v>4171</v>
      </c>
      <c r="G1183" s="22" t="s">
        <v>4172</v>
      </c>
      <c r="H1183" s="22" t="s">
        <v>1610</v>
      </c>
      <c r="I1183" s="22" t="s">
        <v>1612</v>
      </c>
      <c r="J1183" s="22" t="s">
        <v>1612</v>
      </c>
      <c r="K1183" s="22" t="s">
        <v>143</v>
      </c>
      <c r="L1183" s="22" t="s">
        <v>1613</v>
      </c>
      <c r="M1183" s="22" t="s">
        <v>8685</v>
      </c>
      <c r="N1183" s="22" t="s">
        <v>8686</v>
      </c>
      <c r="O1183" s="23" t="s">
        <v>8687</v>
      </c>
      <c r="P1183" s="22" t="s">
        <v>187</v>
      </c>
      <c r="Q1183" s="50" t="s">
        <v>65</v>
      </c>
      <c r="R1183" s="22" t="s">
        <v>5622</v>
      </c>
      <c r="S1183" s="22" t="s">
        <v>51</v>
      </c>
      <c r="T1183" s="22" t="s">
        <v>52</v>
      </c>
      <c r="U1183" s="22" t="s">
        <v>52</v>
      </c>
      <c r="V1183" s="22" t="s">
        <v>52</v>
      </c>
      <c r="W1183" s="18">
        <v>46012.0</v>
      </c>
      <c r="X1183" s="20">
        <v>0.37777777777777777</v>
      </c>
      <c r="Y1183" s="18">
        <v>46012.0</v>
      </c>
      <c r="Z1183" s="75">
        <v>0.4548611111111111</v>
      </c>
      <c r="AA1183" s="20">
        <v>0.45625</v>
      </c>
      <c r="AB1183" s="51">
        <v>0.5145833333333333</v>
      </c>
      <c r="AC1183" s="51">
        <v>0.5423611111111111</v>
      </c>
      <c r="AD1183" s="51">
        <v>0.5590277777777778</v>
      </c>
      <c r="AE1183" s="104">
        <v>46012.0</v>
      </c>
      <c r="AF1183" s="22" t="s">
        <v>7020</v>
      </c>
      <c r="AG1183" s="22" t="s">
        <v>6108</v>
      </c>
      <c r="AH1183" s="22" t="s">
        <v>8688</v>
      </c>
      <c r="AI1183" s="111" t="str">
        <f>IFERROR(__xludf.DUMMYFUNCTION("IF(OR(W1183="""",X1183="""",AE1183="""",AD1183=""""),"""",
   TEXT(
     (
       (AE1183+AD1183 + IF(AE1183+AD1183 &lt; W1183+X1183,1,0)) - (W1183+X1183)
     )
     - IF(AND(AB1183&lt;&gt;"""",AC1183&lt;&gt;""""), 
          SUM(ARRAYFORMULA(SPLIT(AC1183,"","") - SPLI"&amp;"T(AB1183,"",""))), 
          0
       ),
     ""[hh]:mm""
   )
)
"),"03:41")</f>
        <v>03:41</v>
      </c>
      <c r="AJ1183" s="112">
        <f t="shared" si="16"/>
        <v>0</v>
      </c>
      <c r="AK1183" s="113" t="str">
        <f t="shared" si="17"/>
        <v>Pass</v>
      </c>
    </row>
    <row r="1184">
      <c r="A1184" s="18">
        <v>46012.0</v>
      </c>
      <c r="B1184" s="20">
        <v>0.34652777777777777</v>
      </c>
      <c r="C1184" s="18">
        <v>46012.0</v>
      </c>
      <c r="D1184" s="20">
        <v>0.3784722222222222</v>
      </c>
      <c r="E1184" s="22" t="s">
        <v>8689</v>
      </c>
      <c r="F1184" s="22" t="s">
        <v>4171</v>
      </c>
      <c r="G1184" s="22" t="s">
        <v>4172</v>
      </c>
      <c r="H1184" s="22" t="s">
        <v>1610</v>
      </c>
      <c r="I1184" s="22" t="s">
        <v>1612</v>
      </c>
      <c r="J1184" s="22" t="s">
        <v>1612</v>
      </c>
      <c r="K1184" s="22" t="s">
        <v>143</v>
      </c>
      <c r="L1184" s="22" t="s">
        <v>1613</v>
      </c>
      <c r="M1184" s="22" t="s">
        <v>8690</v>
      </c>
      <c r="N1184" s="22" t="s">
        <v>8686</v>
      </c>
      <c r="O1184" s="23" t="s">
        <v>8687</v>
      </c>
      <c r="P1184" s="22" t="s">
        <v>187</v>
      </c>
      <c r="Q1184" s="50" t="s">
        <v>65</v>
      </c>
      <c r="R1184" s="22" t="s">
        <v>5622</v>
      </c>
      <c r="S1184" s="22" t="s">
        <v>51</v>
      </c>
      <c r="T1184" s="22" t="s">
        <v>52</v>
      </c>
      <c r="U1184" s="22" t="s">
        <v>52</v>
      </c>
      <c r="V1184" s="22" t="s">
        <v>52</v>
      </c>
      <c r="W1184" s="18">
        <v>46012.0</v>
      </c>
      <c r="X1184" s="20">
        <v>0.3784722222222222</v>
      </c>
      <c r="Y1184" s="18">
        <v>46012.0</v>
      </c>
      <c r="Z1184" s="75">
        <v>0.4548611111111111</v>
      </c>
      <c r="AA1184" s="20">
        <v>0.45625</v>
      </c>
      <c r="AB1184" s="51">
        <v>0.5145833333333333</v>
      </c>
      <c r="AC1184" s="51">
        <v>0.5423611111111111</v>
      </c>
      <c r="AD1184" s="51">
        <v>0.5590277777777778</v>
      </c>
      <c r="AE1184" s="104">
        <v>46012.0</v>
      </c>
      <c r="AF1184" s="22" t="s">
        <v>7020</v>
      </c>
      <c r="AG1184" s="22" t="s">
        <v>6108</v>
      </c>
      <c r="AH1184" s="22" t="s">
        <v>8688</v>
      </c>
      <c r="AI1184" s="111" t="str">
        <f>IFERROR(__xludf.DUMMYFUNCTION("IF(OR(W1184="""",X1184="""",AE1184="""",AD1184=""""),"""",
   TEXT(
     (
       (AE1184+AD1184 + IF(AE1184+AD1184 &lt; W1184+X1184,1,0)) - (W1184+X1184)
     )
     - IF(AND(AB1184&lt;&gt;"""",AC1184&lt;&gt;""""), 
          SUM(ARRAYFORMULA(SPLIT(AC1184,"","") - SPLI"&amp;"T(AB1184,"",""))), 
          0
       ),
     ""[hh]:mm""
   )
)
"),"03:40")</f>
        <v>03:40</v>
      </c>
      <c r="AJ1184" s="112">
        <f t="shared" si="16"/>
        <v>0</v>
      </c>
      <c r="AK1184" s="113" t="str">
        <f t="shared" si="17"/>
        <v>Pass</v>
      </c>
    </row>
    <row r="1185">
      <c r="A1185" s="45">
        <v>46012.0</v>
      </c>
      <c r="B1185" s="49">
        <v>0.3715277777777778</v>
      </c>
      <c r="C1185" s="45">
        <v>46012.0</v>
      </c>
      <c r="D1185" s="49">
        <v>0.38263888888888886</v>
      </c>
      <c r="E1185" s="21" t="s">
        <v>8691</v>
      </c>
      <c r="F1185" s="21" t="s">
        <v>7135</v>
      </c>
      <c r="G1185" s="21" t="s">
        <v>7378</v>
      </c>
      <c r="H1185" s="21" t="s">
        <v>1610</v>
      </c>
      <c r="I1185" s="21" t="s">
        <v>1612</v>
      </c>
      <c r="J1185" s="21" t="s">
        <v>1612</v>
      </c>
      <c r="K1185" s="21" t="s">
        <v>143</v>
      </c>
      <c r="L1185" s="21" t="s">
        <v>1613</v>
      </c>
      <c r="M1185" s="21" t="s">
        <v>8692</v>
      </c>
      <c r="N1185" s="21" t="s">
        <v>8693</v>
      </c>
      <c r="O1185" s="48" t="s">
        <v>8694</v>
      </c>
      <c r="P1185" s="21" t="s">
        <v>187</v>
      </c>
      <c r="Q1185" s="24" t="s">
        <v>65</v>
      </c>
      <c r="R1185" s="21" t="s">
        <v>8695</v>
      </c>
      <c r="S1185" s="21" t="s">
        <v>51</v>
      </c>
      <c r="T1185" s="21" t="s">
        <v>52</v>
      </c>
      <c r="U1185" s="21" t="s">
        <v>52</v>
      </c>
      <c r="V1185" s="21" t="s">
        <v>52</v>
      </c>
      <c r="W1185" s="45">
        <v>46012.0</v>
      </c>
      <c r="X1185" s="49">
        <v>0.38263888888888886</v>
      </c>
      <c r="Y1185" s="45">
        <v>46012.0</v>
      </c>
      <c r="Z1185" s="49">
        <v>0.4583333333333333</v>
      </c>
      <c r="AA1185" s="49">
        <v>0.4652777777777778</v>
      </c>
      <c r="AB1185" s="29"/>
      <c r="AC1185" s="29"/>
      <c r="AD1185" s="25">
        <v>0.625</v>
      </c>
      <c r="AE1185" s="105">
        <v>46012.0</v>
      </c>
      <c r="AF1185" s="21" t="s">
        <v>2839</v>
      </c>
      <c r="AG1185" s="21" t="s">
        <v>1117</v>
      </c>
      <c r="AH1185" s="21" t="s">
        <v>8696</v>
      </c>
      <c r="AI1185" s="108" t="str">
        <f>IFERROR(__xludf.DUMMYFUNCTION("IF(OR(W1185="""",X1185="""",AE1185="""",AD1185=""""),"""",
   TEXT(
     (
       (AE1185+AD1185 + IF(AE1185+AD1185 &lt; W1185+X1185,1,0)) - (W1185+X1185)
     )
     - IF(AND(AB1185&lt;&gt;"""",AC1185&lt;&gt;""""), 
          SUM(ARRAYFORMULA(SPLIT(AC1185,"","") - SPLI"&amp;"T(AB1185,"",""))), 
          0
       ),
     ""[hh]:mm""
   )
)
"),"05:49")</f>
        <v>05:49</v>
      </c>
      <c r="AJ1185" s="109">
        <f t="shared" si="16"/>
        <v>0</v>
      </c>
      <c r="AK1185" s="110" t="str">
        <f t="shared" si="17"/>
        <v>Pass</v>
      </c>
    </row>
    <row r="1186">
      <c r="A1186" s="45">
        <v>46012.0</v>
      </c>
      <c r="B1186" s="49">
        <v>0.4375</v>
      </c>
      <c r="C1186" s="45">
        <v>46012.0</v>
      </c>
      <c r="D1186" s="49">
        <v>0.4534722222222222</v>
      </c>
      <c r="E1186" s="21" t="s">
        <v>8697</v>
      </c>
      <c r="F1186" s="21" t="s">
        <v>842</v>
      </c>
      <c r="G1186" s="21" t="s">
        <v>843</v>
      </c>
      <c r="H1186" s="21" t="s">
        <v>156</v>
      </c>
      <c r="I1186" s="21" t="s">
        <v>131</v>
      </c>
      <c r="J1186" s="21" t="s">
        <v>2253</v>
      </c>
      <c r="K1186" s="21" t="s">
        <v>43</v>
      </c>
      <c r="L1186" s="21" t="s">
        <v>2663</v>
      </c>
      <c r="M1186" s="21" t="s">
        <v>1121</v>
      </c>
      <c r="N1186" s="21" t="s">
        <v>8698</v>
      </c>
      <c r="O1186" s="48" t="s">
        <v>8699</v>
      </c>
      <c r="P1186" s="21" t="s">
        <v>75</v>
      </c>
      <c r="Q1186" s="24" t="s">
        <v>65</v>
      </c>
      <c r="R1186" s="21" t="s">
        <v>8700</v>
      </c>
      <c r="S1186" s="21" t="s">
        <v>51</v>
      </c>
      <c r="T1186" s="21" t="s">
        <v>52</v>
      </c>
      <c r="U1186" s="21" t="s">
        <v>52</v>
      </c>
      <c r="V1186" s="21" t="s">
        <v>52</v>
      </c>
      <c r="W1186" s="45">
        <v>46012.0</v>
      </c>
      <c r="X1186" s="49">
        <v>0.4534722222222222</v>
      </c>
      <c r="Y1186" s="45">
        <v>46012.0</v>
      </c>
      <c r="Z1186" s="49">
        <v>0.5701388888888889</v>
      </c>
      <c r="AA1186" s="49">
        <v>0.59375</v>
      </c>
      <c r="AB1186" s="25">
        <v>0.5770833333333333</v>
      </c>
      <c r="AC1186" s="25">
        <v>0.59375</v>
      </c>
      <c r="AD1186" s="25">
        <v>0.6493055555555556</v>
      </c>
      <c r="AE1186" s="105">
        <v>46012.0</v>
      </c>
      <c r="AF1186" s="21" t="s">
        <v>2931</v>
      </c>
      <c r="AG1186" s="21" t="s">
        <v>8701</v>
      </c>
      <c r="AH1186" s="21" t="s">
        <v>8702</v>
      </c>
      <c r="AI1186" s="108" t="str">
        <f>IFERROR(__xludf.DUMMYFUNCTION("IF(OR(W1186="""",X1186="""",AE1186="""",AD1186=""""),"""",
   TEXT(
     (
       (AE1186+AD1186 + IF(AE1186+AD1186 &lt; W1186+X1186,1,0)) - (W1186+X1186)
     )
     - IF(AND(AB1186&lt;&gt;"""",AC1186&lt;&gt;""""), 
          SUM(ARRAYFORMULA(SPLIT(AC1186,"","") - SPLI"&amp;"T(AB1186,"",""))), 
          0
       ),
     ""[hh]:mm""
   )
)
"),"04:18")</f>
        <v>04:18</v>
      </c>
      <c r="AJ1186" s="109">
        <f t="shared" si="16"/>
        <v>0</v>
      </c>
      <c r="AK1186" s="110" t="str">
        <f t="shared" si="17"/>
        <v>Pass</v>
      </c>
    </row>
    <row r="1187">
      <c r="A1187" s="45">
        <v>46012.0</v>
      </c>
      <c r="B1187" s="49">
        <v>0.55</v>
      </c>
      <c r="C1187" s="45">
        <v>46012.0</v>
      </c>
      <c r="D1187" s="49">
        <v>0.5645833333333333</v>
      </c>
      <c r="E1187" s="21" t="s">
        <v>8703</v>
      </c>
      <c r="F1187" s="21" t="s">
        <v>7253</v>
      </c>
      <c r="G1187" s="21" t="s">
        <v>7254</v>
      </c>
      <c r="H1187" s="21" t="s">
        <v>6041</v>
      </c>
      <c r="I1187" s="21" t="s">
        <v>2026</v>
      </c>
      <c r="J1187" s="21" t="s">
        <v>2253</v>
      </c>
      <c r="K1187" s="21" t="s">
        <v>43</v>
      </c>
      <c r="L1187" s="21" t="s">
        <v>2663</v>
      </c>
      <c r="M1187" s="21" t="s">
        <v>8704</v>
      </c>
      <c r="N1187" s="21" t="s">
        <v>8705</v>
      </c>
      <c r="O1187" s="48" t="s">
        <v>8706</v>
      </c>
      <c r="P1187" s="21" t="s">
        <v>75</v>
      </c>
      <c r="Q1187" s="24" t="s">
        <v>49</v>
      </c>
      <c r="R1187" s="102" t="s">
        <v>8707</v>
      </c>
      <c r="S1187" s="21" t="s">
        <v>51</v>
      </c>
      <c r="T1187" s="21" t="s">
        <v>52</v>
      </c>
      <c r="U1187" s="21" t="s">
        <v>52</v>
      </c>
      <c r="V1187" s="21" t="s">
        <v>52</v>
      </c>
      <c r="W1187" s="45">
        <v>46012.0</v>
      </c>
      <c r="X1187" s="49">
        <v>0.5645833333333333</v>
      </c>
      <c r="Y1187" s="45">
        <v>46012.0</v>
      </c>
      <c r="Z1187" s="49">
        <v>0.6076388888888888</v>
      </c>
      <c r="AA1187" s="49">
        <v>0.6090277777777777</v>
      </c>
      <c r="AB1187" s="25">
        <v>0.6194444444444445</v>
      </c>
      <c r="AC1187" s="25">
        <v>0.6791666666666667</v>
      </c>
      <c r="AD1187" s="25">
        <v>0.6875</v>
      </c>
      <c r="AE1187" s="105">
        <v>46012.0</v>
      </c>
      <c r="AF1187" s="21" t="s">
        <v>2839</v>
      </c>
      <c r="AG1187" s="21" t="s">
        <v>1321</v>
      </c>
      <c r="AH1187" s="21" t="s">
        <v>8041</v>
      </c>
      <c r="AI1187" s="108" t="str">
        <f>IFERROR(__xludf.DUMMYFUNCTION("IF(OR(W1187="""",X1187="""",AE1187="""",AD1187=""""),"""",
   TEXT(
     (
       (AE1187+AD1187 + IF(AE1187+AD1187 &lt; W1187+X1187,1,0)) - (W1187+X1187)
     )
     - IF(AND(AB1187&lt;&gt;"""",AC1187&lt;&gt;""""), 
          SUM(ARRAYFORMULA(SPLIT(AC1187,"","") - SPLI"&amp;"T(AB1187,"",""))), 
          0
       ),
     ""[hh]:mm""
   )
)
"),"01:31")</f>
        <v>01:31</v>
      </c>
      <c r="AJ1187" s="109">
        <f t="shared" si="16"/>
        <v>0</v>
      </c>
      <c r="AK1187" s="110" t="str">
        <f t="shared" si="17"/>
        <v>Pass</v>
      </c>
    </row>
    <row r="1188">
      <c r="A1188" s="45">
        <v>46012.0</v>
      </c>
      <c r="B1188" s="49">
        <v>0.7368055555555556</v>
      </c>
      <c r="C1188" s="45">
        <v>46012.0</v>
      </c>
      <c r="D1188" s="49">
        <v>0.7395833333333334</v>
      </c>
      <c r="E1188" s="21" t="s">
        <v>8708</v>
      </c>
      <c r="F1188" s="21" t="s">
        <v>1400</v>
      </c>
      <c r="G1188" s="21" t="s">
        <v>1401</v>
      </c>
      <c r="H1188" s="21" t="s">
        <v>746</v>
      </c>
      <c r="I1188" s="21" t="s">
        <v>1162</v>
      </c>
      <c r="J1188" s="21" t="s">
        <v>3813</v>
      </c>
      <c r="K1188" s="21" t="s">
        <v>61</v>
      </c>
      <c r="L1188" s="21" t="s">
        <v>183</v>
      </c>
      <c r="M1188" s="21" t="s">
        <v>7315</v>
      </c>
      <c r="N1188" s="21" t="s">
        <v>8709</v>
      </c>
      <c r="O1188" s="48" t="s">
        <v>8710</v>
      </c>
      <c r="P1188" s="21" t="s">
        <v>75</v>
      </c>
      <c r="Q1188" s="24" t="s">
        <v>65</v>
      </c>
      <c r="R1188" s="21" t="s">
        <v>8711</v>
      </c>
      <c r="S1188" s="21" t="s">
        <v>51</v>
      </c>
      <c r="T1188" s="21" t="s">
        <v>679</v>
      </c>
      <c r="U1188" s="21" t="s">
        <v>52</v>
      </c>
      <c r="V1188" s="21" t="s">
        <v>52</v>
      </c>
      <c r="W1188" s="45">
        <v>46012.0</v>
      </c>
      <c r="X1188" s="49">
        <v>0.7395833333333334</v>
      </c>
      <c r="Y1188" s="45">
        <v>46012.0</v>
      </c>
      <c r="Z1188" s="49">
        <v>0.81875</v>
      </c>
      <c r="AA1188" s="49">
        <v>0.8472222222222222</v>
      </c>
      <c r="AB1188" s="25">
        <v>0.8506944444444444</v>
      </c>
      <c r="AC1188" s="25">
        <v>0.9277777777777778</v>
      </c>
      <c r="AD1188" s="25">
        <v>0.9791666666666666</v>
      </c>
      <c r="AE1188" s="45">
        <v>46012.0</v>
      </c>
      <c r="AF1188" s="21" t="s">
        <v>6944</v>
      </c>
      <c r="AG1188" s="21" t="s">
        <v>1475</v>
      </c>
      <c r="AH1188" s="21" t="s">
        <v>8712</v>
      </c>
      <c r="AI1188" s="108" t="str">
        <f>IFERROR(__xludf.DUMMYFUNCTION("IF(OR(W1188="""",X1188="""",AE1188="""",AD1188=""""),"""",
   TEXT(
     (
       (AE1188+AD1188 + IF(AE1188+AD1188 &lt; W1188+X1188,1,0)) - (W1188+X1188)
     )
     - IF(AND(AB1188&lt;&gt;"""",AC1188&lt;&gt;""""), 
          SUM(ARRAYFORMULA(SPLIT(AC1188,"","") - SPLI"&amp;"T(AB1188,"",""))), 
          0
       ),
     ""[hh]:mm""
   )
)
"),"03:54")</f>
        <v>03:54</v>
      </c>
      <c r="AJ1188" s="109">
        <f t="shared" si="16"/>
        <v>0</v>
      </c>
      <c r="AK1188" s="110" t="str">
        <f t="shared" si="17"/>
        <v>Pass</v>
      </c>
    </row>
    <row r="1189">
      <c r="A1189" s="45">
        <v>46012.0</v>
      </c>
      <c r="B1189" s="49">
        <v>0.7395833333333334</v>
      </c>
      <c r="C1189" s="45">
        <v>46012.0</v>
      </c>
      <c r="D1189" s="49">
        <v>0.7423611111111111</v>
      </c>
      <c r="E1189" s="21" t="s">
        <v>8713</v>
      </c>
      <c r="F1189" s="21" t="s">
        <v>1400</v>
      </c>
      <c r="G1189" s="21" t="s">
        <v>1401</v>
      </c>
      <c r="H1189" s="21" t="s">
        <v>156</v>
      </c>
      <c r="I1189" s="21" t="s">
        <v>616</v>
      </c>
      <c r="J1189" s="21" t="s">
        <v>2253</v>
      </c>
      <c r="K1189" s="21" t="s">
        <v>43</v>
      </c>
      <c r="L1189" s="21" t="s">
        <v>617</v>
      </c>
      <c r="M1189" s="21" t="s">
        <v>8714</v>
      </c>
      <c r="N1189" s="21" t="s">
        <v>8715</v>
      </c>
      <c r="O1189" s="48" t="s">
        <v>8716</v>
      </c>
      <c r="P1189" s="21" t="s">
        <v>75</v>
      </c>
      <c r="Q1189" s="24" t="s">
        <v>65</v>
      </c>
      <c r="R1189" s="102" t="s">
        <v>8717</v>
      </c>
      <c r="S1189" s="21" t="s">
        <v>51</v>
      </c>
      <c r="T1189" s="21" t="s">
        <v>6676</v>
      </c>
      <c r="U1189" s="21" t="s">
        <v>8718</v>
      </c>
      <c r="V1189" s="21" t="s">
        <v>8714</v>
      </c>
      <c r="W1189" s="45">
        <v>46012.0</v>
      </c>
      <c r="X1189" s="49">
        <v>0.7423611111111111</v>
      </c>
      <c r="Y1189" s="45">
        <v>46012.0</v>
      </c>
      <c r="Z1189" s="49">
        <v>0.81875</v>
      </c>
      <c r="AA1189" s="49">
        <v>0.8472222222222222</v>
      </c>
      <c r="AB1189" s="25">
        <v>0.8506944444444444</v>
      </c>
      <c r="AC1189" s="25">
        <v>0.9277777777777778</v>
      </c>
      <c r="AD1189" s="25">
        <v>0.9791666666666666</v>
      </c>
      <c r="AE1189" s="45">
        <v>46012.0</v>
      </c>
      <c r="AF1189" s="21" t="s">
        <v>6944</v>
      </c>
      <c r="AG1189" s="21" t="s">
        <v>1475</v>
      </c>
      <c r="AH1189" s="21" t="s">
        <v>8712</v>
      </c>
      <c r="AI1189" s="108" t="str">
        <f>IFERROR(__xludf.DUMMYFUNCTION("IF(OR(W1189="""",X1189="""",AE1189="""",AD1189=""""),"""",
   TEXT(
     (
       (AE1189+AD1189 + IF(AE1189+AD1189 &lt; W1189+X1189,1,0)) - (W1189+X1189)
     )
     - IF(AND(AB1189&lt;&gt;"""",AC1189&lt;&gt;""""), 
          SUM(ARRAYFORMULA(SPLIT(AC1189,"","") - SPLI"&amp;"T(AB1189,"",""))), 
          0
       ),
     ""[hh]:mm""
   )
)
"),"03:50")</f>
        <v>03:50</v>
      </c>
      <c r="AJ1189" s="109">
        <f t="shared" si="16"/>
        <v>0</v>
      </c>
      <c r="AK1189" s="110" t="str">
        <f t="shared" si="17"/>
        <v>Pass</v>
      </c>
    </row>
    <row r="1190">
      <c r="A1190" s="45">
        <v>46012.0</v>
      </c>
      <c r="B1190" s="49">
        <v>0.7430555555555556</v>
      </c>
      <c r="C1190" s="45">
        <v>46012.0</v>
      </c>
      <c r="D1190" s="49">
        <v>0.7493055555555556</v>
      </c>
      <c r="E1190" s="21" t="s">
        <v>8719</v>
      </c>
      <c r="F1190" s="21" t="s">
        <v>444</v>
      </c>
      <c r="G1190" s="21" t="s">
        <v>445</v>
      </c>
      <c r="H1190" s="21" t="s">
        <v>343</v>
      </c>
      <c r="I1190" s="21" t="s">
        <v>8720</v>
      </c>
      <c r="J1190" s="21" t="s">
        <v>3806</v>
      </c>
      <c r="K1190" s="21" t="s">
        <v>43</v>
      </c>
      <c r="L1190" s="21" t="s">
        <v>44</v>
      </c>
      <c r="M1190" s="21" t="s">
        <v>8721</v>
      </c>
      <c r="N1190" s="21" t="s">
        <v>8722</v>
      </c>
      <c r="O1190" s="48" t="s">
        <v>8723</v>
      </c>
      <c r="P1190" s="21" t="s">
        <v>187</v>
      </c>
      <c r="Q1190" s="24" t="s">
        <v>65</v>
      </c>
      <c r="R1190" s="21" t="s">
        <v>8724</v>
      </c>
      <c r="S1190" s="21" t="s">
        <v>51</v>
      </c>
      <c r="T1190" s="21" t="s">
        <v>52</v>
      </c>
      <c r="U1190" s="21" t="s">
        <v>52</v>
      </c>
      <c r="V1190" s="21" t="s">
        <v>52</v>
      </c>
      <c r="W1190" s="45">
        <v>46013.0</v>
      </c>
      <c r="X1190" s="49">
        <v>0.375</v>
      </c>
      <c r="Y1190" s="45">
        <v>46013.0</v>
      </c>
      <c r="Z1190" s="49">
        <v>0.3909722222222222</v>
      </c>
      <c r="AA1190" s="49">
        <v>0.39166666666666666</v>
      </c>
      <c r="AB1190" s="29"/>
      <c r="AC1190" s="29"/>
      <c r="AD1190" s="25">
        <v>0.4076388888888889</v>
      </c>
      <c r="AE1190" s="45">
        <v>46013.0</v>
      </c>
      <c r="AF1190" s="21" t="s">
        <v>6944</v>
      </c>
      <c r="AG1190" s="21" t="s">
        <v>3197</v>
      </c>
      <c r="AH1190" s="21" t="s">
        <v>4522</v>
      </c>
      <c r="AI1190" s="108" t="str">
        <f>IFERROR(__xludf.DUMMYFUNCTION("IF(OR(W1190="""",X1190="""",AE1190="""",AD1190=""""),"""",
   TEXT(
     (
       (AE1190+AD1190 + IF(AE1190+AD1190 &lt; W1190+X1190,1,0)) - (W1190+X1190)
     )
     - IF(AND(AB1190&lt;&gt;"""",AC1190&lt;&gt;""""), 
          SUM(ARRAYFORMULA(SPLIT(AC1190,"","") - SPLI"&amp;"T(AB1190,"",""))), 
          0
       ),
     ""[hh]:mm""
   )
)
"),"00:47")</f>
        <v>00:47</v>
      </c>
      <c r="AJ1190" s="109">
        <f t="shared" si="16"/>
        <v>0</v>
      </c>
      <c r="AK1190" s="110" t="str">
        <f t="shared" si="17"/>
        <v>Pass</v>
      </c>
    </row>
    <row r="1191">
      <c r="A1191" s="45">
        <v>46012.0</v>
      </c>
      <c r="B1191" s="49">
        <v>0.8388888888888889</v>
      </c>
      <c r="C1191" s="45">
        <v>46012.0</v>
      </c>
      <c r="D1191" s="49">
        <v>0.85</v>
      </c>
      <c r="E1191" s="21" t="s">
        <v>8725</v>
      </c>
      <c r="F1191" s="21" t="s">
        <v>4706</v>
      </c>
      <c r="G1191" s="21" t="s">
        <v>5580</v>
      </c>
      <c r="H1191" s="21" t="s">
        <v>756</v>
      </c>
      <c r="I1191" s="21" t="s">
        <v>60</v>
      </c>
      <c r="J1191" s="21" t="s">
        <v>3813</v>
      </c>
      <c r="K1191" s="21" t="s">
        <v>61</v>
      </c>
      <c r="L1191" s="21" t="s">
        <v>183</v>
      </c>
      <c r="M1191" s="21" t="s">
        <v>8726</v>
      </c>
      <c r="N1191" s="21" t="s">
        <v>8727</v>
      </c>
      <c r="O1191" s="48" t="s">
        <v>8728</v>
      </c>
      <c r="P1191" s="21" t="s">
        <v>75</v>
      </c>
      <c r="Q1191" s="24" t="s">
        <v>65</v>
      </c>
      <c r="R1191" s="21" t="s">
        <v>8729</v>
      </c>
      <c r="S1191" s="21" t="s">
        <v>51</v>
      </c>
      <c r="T1191" s="21" t="s">
        <v>52</v>
      </c>
      <c r="U1191" s="21" t="s">
        <v>52</v>
      </c>
      <c r="V1191" s="21" t="s">
        <v>52</v>
      </c>
      <c r="W1191" s="45">
        <v>46013.0</v>
      </c>
      <c r="X1191" s="49">
        <v>0.375</v>
      </c>
      <c r="Y1191" s="45">
        <v>46013.0</v>
      </c>
      <c r="Z1191" s="49">
        <v>0.42569444444444443</v>
      </c>
      <c r="AA1191" s="49">
        <v>0.42777777777777776</v>
      </c>
      <c r="AB1191" s="29"/>
      <c r="AC1191" s="29"/>
      <c r="AD1191" s="25">
        <v>0.4861111111111111</v>
      </c>
      <c r="AE1191" s="45">
        <v>46013.0</v>
      </c>
      <c r="AF1191" s="21" t="s">
        <v>6944</v>
      </c>
      <c r="AG1191" s="21" t="s">
        <v>7575</v>
      </c>
      <c r="AH1191" s="21" t="s">
        <v>5587</v>
      </c>
      <c r="AI1191" s="108" t="str">
        <f>IFERROR(__xludf.DUMMYFUNCTION("IF(OR(W1191="""",X1191="""",AE1191="""",AD1191=""""),"""",
   TEXT(
     (
       (AE1191+AD1191 + IF(AE1191+AD1191 &lt; W1191+X1191,1,0)) - (W1191+X1191)
     )
     - IF(AND(AB1191&lt;&gt;"""",AC1191&lt;&gt;""""), 
          SUM(ARRAYFORMULA(SPLIT(AC1191,"","") - SPLI"&amp;"T(AB1191,"",""))), 
          0
       ),
     ""[hh]:mm""
   )
)
"),"02:40")</f>
        <v>02:40</v>
      </c>
      <c r="AJ1191" s="109">
        <f t="shared" si="16"/>
        <v>0</v>
      </c>
      <c r="AK1191" s="110" t="str">
        <f t="shared" si="17"/>
        <v>Pass</v>
      </c>
    </row>
    <row r="1192">
      <c r="A1192" s="45">
        <v>46012.0</v>
      </c>
      <c r="B1192" s="49">
        <v>0.5895833333333333</v>
      </c>
      <c r="C1192" s="45">
        <v>46012.0</v>
      </c>
      <c r="D1192" s="49">
        <v>0.5895833333333333</v>
      </c>
      <c r="E1192" s="21" t="s">
        <v>8730</v>
      </c>
      <c r="F1192" s="21" t="s">
        <v>4555</v>
      </c>
      <c r="G1192" s="21" t="s">
        <v>4556</v>
      </c>
      <c r="H1192" s="21" t="s">
        <v>8731</v>
      </c>
      <c r="I1192" s="21" t="s">
        <v>616</v>
      </c>
      <c r="J1192" s="21" t="s">
        <v>2253</v>
      </c>
      <c r="K1192" s="21" t="s">
        <v>43</v>
      </c>
      <c r="L1192" s="21" t="s">
        <v>2663</v>
      </c>
      <c r="M1192" s="21" t="s">
        <v>8638</v>
      </c>
      <c r="N1192" s="21" t="s">
        <v>1113</v>
      </c>
      <c r="O1192" s="48" t="s">
        <v>8732</v>
      </c>
      <c r="P1192" s="21" t="s">
        <v>75</v>
      </c>
      <c r="Q1192" s="24" t="s">
        <v>198</v>
      </c>
      <c r="R1192" s="102" t="s">
        <v>8640</v>
      </c>
      <c r="S1192" s="21" t="s">
        <v>51</v>
      </c>
      <c r="T1192" s="21" t="s">
        <v>6676</v>
      </c>
      <c r="U1192" s="21" t="s">
        <v>8733</v>
      </c>
      <c r="V1192" s="21" t="s">
        <v>8638</v>
      </c>
      <c r="W1192" s="45">
        <v>46013.0</v>
      </c>
      <c r="X1192" s="49">
        <v>0.5895833333333333</v>
      </c>
      <c r="Y1192" s="45">
        <v>46013.0</v>
      </c>
      <c r="Z1192" s="49">
        <v>0.5895833333333333</v>
      </c>
      <c r="AA1192" s="49">
        <v>0.59375</v>
      </c>
      <c r="AB1192" s="29"/>
      <c r="AC1192" s="29"/>
      <c r="AD1192" s="25">
        <v>0.6145833333333334</v>
      </c>
      <c r="AE1192" s="45">
        <v>46013.0</v>
      </c>
      <c r="AF1192" s="21" t="s">
        <v>7901</v>
      </c>
      <c r="AG1192" s="21" t="s">
        <v>593</v>
      </c>
      <c r="AH1192" s="21" t="s">
        <v>8734</v>
      </c>
      <c r="AI1192" s="108" t="str">
        <f>IFERROR(__xludf.DUMMYFUNCTION("IF(OR(W1192="""",X1192="""",AE1192="""",AD1192=""""),"""",
   TEXT(
     (
       (AE1192+AD1192 + IF(AE1192+AD1192 &lt; W1192+X1192,1,0)) - (W1192+X1192)
     )
     - IF(AND(AB1192&lt;&gt;"""",AC1192&lt;&gt;""""), 
          SUM(ARRAYFORMULA(SPLIT(AC1192,"","") - SPLI"&amp;"T(AB1192,"",""))), 
          0
       ),
     ""[hh]:mm""
   )
)
"),"00:36")</f>
        <v>00:36</v>
      </c>
      <c r="AJ1192" s="109">
        <f t="shared" si="16"/>
        <v>0</v>
      </c>
      <c r="AK1192" s="110" t="str">
        <f t="shared" si="17"/>
        <v>Pass</v>
      </c>
    </row>
    <row r="1193">
      <c r="A1193" s="45">
        <v>46013.0</v>
      </c>
      <c r="B1193" s="49">
        <v>0.2986111111111111</v>
      </c>
      <c r="C1193" s="45">
        <v>46013.0</v>
      </c>
      <c r="D1193" s="49">
        <v>0.31319444444444444</v>
      </c>
      <c r="E1193" s="21" t="s">
        <v>8735</v>
      </c>
      <c r="F1193" s="21" t="s">
        <v>3134</v>
      </c>
      <c r="G1193" s="21" t="s">
        <v>3135</v>
      </c>
      <c r="H1193" s="21" t="s">
        <v>1610</v>
      </c>
      <c r="I1193" s="21" t="s">
        <v>1612</v>
      </c>
      <c r="J1193" s="21" t="s">
        <v>1612</v>
      </c>
      <c r="K1193" s="21" t="s">
        <v>143</v>
      </c>
      <c r="L1193" s="21" t="s">
        <v>5189</v>
      </c>
      <c r="M1193" s="21" t="s">
        <v>8736</v>
      </c>
      <c r="N1193" s="21" t="s">
        <v>8737</v>
      </c>
      <c r="O1193" s="48" t="s">
        <v>8738</v>
      </c>
      <c r="P1193" s="21" t="s">
        <v>187</v>
      </c>
      <c r="Q1193" s="24" t="s">
        <v>65</v>
      </c>
      <c r="R1193" s="21" t="s">
        <v>8739</v>
      </c>
      <c r="S1193" s="21" t="s">
        <v>51</v>
      </c>
      <c r="T1193" s="21" t="s">
        <v>52</v>
      </c>
      <c r="U1193" s="21" t="s">
        <v>52</v>
      </c>
      <c r="V1193" s="21" t="s">
        <v>52</v>
      </c>
      <c r="W1193" s="45">
        <v>46013.0</v>
      </c>
      <c r="X1193" s="49">
        <v>0.31319444444444444</v>
      </c>
      <c r="Y1193" s="45">
        <v>46013.0</v>
      </c>
      <c r="Z1193" s="49">
        <v>0.4395833333333333</v>
      </c>
      <c r="AA1193" s="49">
        <v>0.4409722222222222</v>
      </c>
      <c r="AB1193" s="29"/>
      <c r="AC1193" s="29"/>
      <c r="AD1193" s="25">
        <v>0.5</v>
      </c>
      <c r="AE1193" s="45">
        <v>46013.0</v>
      </c>
      <c r="AF1193" s="21" t="s">
        <v>6995</v>
      </c>
      <c r="AG1193" s="21" t="s">
        <v>5541</v>
      </c>
      <c r="AH1193" s="21" t="s">
        <v>3143</v>
      </c>
      <c r="AI1193" s="108" t="str">
        <f>IFERROR(__xludf.DUMMYFUNCTION("IF(OR(W1193="""",X1193="""",AE1193="""",AD1193=""""),"""",
   TEXT(
     (
       (AE1193+AD1193 + IF(AE1193+AD1193 &lt; W1193+X1193,1,0)) - (W1193+X1193)
     )
     - IF(AND(AB1193&lt;&gt;"""",AC1193&lt;&gt;""""), 
          SUM(ARRAYFORMULA(SPLIT(AC1193,"","") - SPLI"&amp;"T(AB1193,"",""))), 
          0
       ),
     ""[hh]:mm""
   )
)
"),"04:29")</f>
        <v>04:29</v>
      </c>
      <c r="AJ1193" s="109">
        <f t="shared" si="16"/>
        <v>0</v>
      </c>
      <c r="AK1193" s="110" t="str">
        <f t="shared" si="17"/>
        <v>Pass</v>
      </c>
    </row>
    <row r="1194">
      <c r="A1194" s="45">
        <v>46010.0</v>
      </c>
      <c r="B1194" s="49">
        <v>0.7208333333333333</v>
      </c>
      <c r="C1194" s="45">
        <v>46010.0</v>
      </c>
      <c r="D1194" s="49">
        <v>0.7291666666666666</v>
      </c>
      <c r="E1194" s="21" t="s">
        <v>8740</v>
      </c>
      <c r="F1194" s="22" t="s">
        <v>1996</v>
      </c>
      <c r="G1194" s="22" t="s">
        <v>1997</v>
      </c>
      <c r="H1194" s="21" t="s">
        <v>1610</v>
      </c>
      <c r="I1194" s="21" t="s">
        <v>1612</v>
      </c>
      <c r="J1194" s="21" t="s">
        <v>1612</v>
      </c>
      <c r="K1194" s="21" t="s">
        <v>635</v>
      </c>
      <c r="L1194" s="21" t="s">
        <v>8741</v>
      </c>
      <c r="M1194" s="21" t="s">
        <v>8742</v>
      </c>
      <c r="N1194" s="21" t="s">
        <v>8743</v>
      </c>
      <c r="O1194" s="48" t="s">
        <v>8744</v>
      </c>
      <c r="P1194" s="21" t="s">
        <v>75</v>
      </c>
      <c r="Q1194" s="24" t="s">
        <v>65</v>
      </c>
      <c r="R1194" s="21" t="s">
        <v>8739</v>
      </c>
      <c r="S1194" s="21" t="s">
        <v>51</v>
      </c>
      <c r="T1194" s="21" t="s">
        <v>52</v>
      </c>
      <c r="U1194" s="21" t="s">
        <v>52</v>
      </c>
      <c r="V1194" s="21" t="s">
        <v>52</v>
      </c>
      <c r="W1194" s="45">
        <v>46013.0</v>
      </c>
      <c r="X1194" s="49">
        <v>0.375</v>
      </c>
      <c r="Y1194" s="45">
        <v>46013.0</v>
      </c>
      <c r="Z1194" s="49">
        <v>0.5402777777777777</v>
      </c>
      <c r="AA1194" s="49">
        <v>0.5416666666666666</v>
      </c>
      <c r="AB1194" s="29"/>
      <c r="AC1194" s="29"/>
      <c r="AD1194" s="25">
        <v>0.5833333333333334</v>
      </c>
      <c r="AE1194" s="45">
        <v>46013.0</v>
      </c>
      <c r="AF1194" s="21" t="s">
        <v>2711</v>
      </c>
      <c r="AG1194" s="21" t="s">
        <v>5541</v>
      </c>
      <c r="AH1194" s="21" t="s">
        <v>8745</v>
      </c>
      <c r="AI1194" s="108" t="str">
        <f>IFERROR(__xludf.DUMMYFUNCTION("IF(OR(W1194="""",X1194="""",AE1194="""",AD1194=""""),"""",
   TEXT(
     (
       (AE1194+AD1194 + IF(AE1194+AD1194 &lt; W1194+X1194,1,0)) - (W1194+X1194)
     )
     - IF(AND(AB1194&lt;&gt;"""",AC1194&lt;&gt;""""), 
          SUM(ARRAYFORMULA(SPLIT(AC1194,"","") - SPLI"&amp;"T(AB1194,"",""))), 
          0
       ),
     ""[hh]:mm""
   )
)
"),"05:00")</f>
        <v>05:00</v>
      </c>
      <c r="AJ1194" s="109">
        <f t="shared" si="16"/>
        <v>0</v>
      </c>
      <c r="AK1194" s="110" t="str">
        <f t="shared" si="17"/>
        <v>Pass</v>
      </c>
    </row>
    <row r="1195">
      <c r="A1195" s="18">
        <v>46013.0</v>
      </c>
      <c r="B1195" s="20">
        <v>0.34930555555555554</v>
      </c>
      <c r="C1195" s="18">
        <v>46013.0</v>
      </c>
      <c r="D1195" s="20">
        <v>0.3506944444444444</v>
      </c>
      <c r="E1195" s="22" t="s">
        <v>8746</v>
      </c>
      <c r="F1195" s="22" t="s">
        <v>8141</v>
      </c>
      <c r="G1195" s="22" t="s">
        <v>8747</v>
      </c>
      <c r="H1195" s="22" t="s">
        <v>156</v>
      </c>
      <c r="I1195" s="22" t="s">
        <v>131</v>
      </c>
      <c r="J1195" s="22" t="s">
        <v>3806</v>
      </c>
      <c r="K1195" s="22" t="s">
        <v>43</v>
      </c>
      <c r="L1195" s="22" t="s">
        <v>617</v>
      </c>
      <c r="M1195" s="22" t="s">
        <v>8748</v>
      </c>
      <c r="N1195" s="22" t="s">
        <v>8749</v>
      </c>
      <c r="O1195" s="23" t="s">
        <v>8750</v>
      </c>
      <c r="P1195" s="22" t="s">
        <v>75</v>
      </c>
      <c r="Q1195" s="50" t="s">
        <v>65</v>
      </c>
      <c r="R1195" s="102" t="s">
        <v>8751</v>
      </c>
      <c r="S1195" s="22" t="s">
        <v>51</v>
      </c>
      <c r="T1195" s="21" t="s">
        <v>6676</v>
      </c>
      <c r="U1195" s="22" t="s">
        <v>8395</v>
      </c>
      <c r="V1195" s="22" t="s">
        <v>8748</v>
      </c>
      <c r="W1195" s="45">
        <v>46014.0</v>
      </c>
      <c r="X1195" s="49">
        <v>0.375</v>
      </c>
      <c r="Y1195" s="45">
        <v>46014.0</v>
      </c>
      <c r="Z1195" s="20">
        <v>0.6083333333333333</v>
      </c>
      <c r="AA1195" s="20">
        <v>0.6111111111111112</v>
      </c>
      <c r="AB1195" s="54"/>
      <c r="AC1195" s="54"/>
      <c r="AD1195" s="51">
        <v>0.6458333333333334</v>
      </c>
      <c r="AE1195" s="45">
        <v>46014.0</v>
      </c>
      <c r="AF1195" s="22" t="s">
        <v>2989</v>
      </c>
      <c r="AG1195" s="22" t="s">
        <v>6787</v>
      </c>
      <c r="AH1195" s="22" t="s">
        <v>8752</v>
      </c>
      <c r="AI1195" s="111" t="str">
        <f>IFERROR(__xludf.DUMMYFUNCTION("IF(OR(W1195="""",X1195="""",AE1195="""",AD1195=""""),"""",
   TEXT(
     (
       (AE1195+AD1195 + IF(AE1195+AD1195 &lt; W1195+X1195,1,0)) - (W1195+X1195)
     )
     - IF(AND(AB1195&lt;&gt;"""",AC1195&lt;&gt;""""), 
          SUM(ARRAYFORMULA(SPLIT(AC1195,"","") - SPLI"&amp;"T(AB1195,"",""))), 
          0
       ),
     ""[hh]:mm""
   )
)
"),"06:30")</f>
        <v>06:30</v>
      </c>
      <c r="AJ1195" s="112">
        <f t="shared" si="16"/>
        <v>0</v>
      </c>
      <c r="AK1195" s="113" t="str">
        <f t="shared" si="17"/>
        <v>Pass</v>
      </c>
    </row>
    <row r="1196">
      <c r="A1196" s="18">
        <v>46013.0</v>
      </c>
      <c r="B1196" s="20">
        <v>0.41597222222222224</v>
      </c>
      <c r="C1196" s="18">
        <v>46013.0</v>
      </c>
      <c r="D1196" s="20">
        <v>0.41944444444444445</v>
      </c>
      <c r="E1196" s="22" t="s">
        <v>8753</v>
      </c>
      <c r="F1196" s="22" t="s">
        <v>8364</v>
      </c>
      <c r="G1196" s="22" t="s">
        <v>8365</v>
      </c>
      <c r="H1196" s="22" t="s">
        <v>3093</v>
      </c>
      <c r="I1196" s="22" t="s">
        <v>131</v>
      </c>
      <c r="J1196" s="22" t="s">
        <v>2253</v>
      </c>
      <c r="K1196" s="22" t="s">
        <v>43</v>
      </c>
      <c r="L1196" s="22" t="s">
        <v>2663</v>
      </c>
      <c r="M1196" s="22" t="s">
        <v>8374</v>
      </c>
      <c r="N1196" s="22" t="s">
        <v>8754</v>
      </c>
      <c r="O1196" s="23" t="s">
        <v>8755</v>
      </c>
      <c r="P1196" s="22" t="s">
        <v>75</v>
      </c>
      <c r="Q1196" s="50" t="s">
        <v>198</v>
      </c>
      <c r="R1196" s="22" t="s">
        <v>8069</v>
      </c>
      <c r="S1196" s="22" t="s">
        <v>51</v>
      </c>
      <c r="T1196" s="22" t="s">
        <v>52</v>
      </c>
      <c r="U1196" s="22" t="s">
        <v>52</v>
      </c>
      <c r="V1196" s="22" t="s">
        <v>52</v>
      </c>
      <c r="W1196" s="18">
        <v>46013.0</v>
      </c>
      <c r="X1196" s="20">
        <v>0.41944444444444445</v>
      </c>
      <c r="Y1196" s="18">
        <v>46013.0</v>
      </c>
      <c r="Z1196" s="20">
        <v>0.6333333333333333</v>
      </c>
      <c r="AA1196" s="20">
        <v>0.6354166666666666</v>
      </c>
      <c r="AB1196" s="54"/>
      <c r="AC1196" s="54"/>
      <c r="AD1196" s="51">
        <v>0.6527777777777778</v>
      </c>
      <c r="AE1196" s="18">
        <v>46013.0</v>
      </c>
      <c r="AF1196" s="22" t="s">
        <v>2989</v>
      </c>
      <c r="AG1196" s="22" t="s">
        <v>1475</v>
      </c>
      <c r="AH1196" s="22" t="s">
        <v>8756</v>
      </c>
      <c r="AI1196" s="108" t="str">
        <f>IFERROR(__xludf.DUMMYFUNCTION("IF(OR(W1196="""",X1196="""",AE1196="""",AD1196=""""),"""",
   TEXT(
     (
       (AE1196+AD1196 + IF(AE1196+AD1196 &lt; W1196+X1196,1,0)) - (W1196+X1196)
     )
     - IF(AND(AB1196&lt;&gt;"""",AC1196&lt;&gt;""""), 
          SUM(ARRAYFORMULA(SPLIT(AC1196,"","") - SPLI"&amp;"T(AB1196,"",""))), 
          0
       ),
     ""[hh]:mm""
   )
)
"),"05:36")</f>
        <v>05:36</v>
      </c>
      <c r="AJ1196" s="109">
        <f t="shared" si="16"/>
        <v>0</v>
      </c>
      <c r="AK1196" s="110" t="str">
        <f t="shared" si="17"/>
        <v>Pass</v>
      </c>
    </row>
    <row r="1197">
      <c r="A1197" s="18">
        <v>46013.0</v>
      </c>
      <c r="B1197" s="20">
        <v>0.41597222222222224</v>
      </c>
      <c r="C1197" s="18">
        <v>46013.0</v>
      </c>
      <c r="D1197" s="20">
        <v>0.4201388888888889</v>
      </c>
      <c r="E1197" s="22" t="s">
        <v>8757</v>
      </c>
      <c r="F1197" s="22" t="s">
        <v>3982</v>
      </c>
      <c r="G1197" s="22" t="s">
        <v>3983</v>
      </c>
      <c r="H1197" s="22" t="s">
        <v>3093</v>
      </c>
      <c r="I1197" s="22" t="s">
        <v>616</v>
      </c>
      <c r="J1197" s="22" t="s">
        <v>2253</v>
      </c>
      <c r="K1197" s="22" t="s">
        <v>43</v>
      </c>
      <c r="L1197" s="22" t="s">
        <v>2663</v>
      </c>
      <c r="M1197" s="22" t="s">
        <v>7806</v>
      </c>
      <c r="N1197" s="22" t="s">
        <v>8758</v>
      </c>
      <c r="O1197" s="23" t="s">
        <v>8759</v>
      </c>
      <c r="P1197" s="22" t="s">
        <v>75</v>
      </c>
      <c r="Q1197" s="50" t="s">
        <v>198</v>
      </c>
      <c r="R1197" s="22" t="s">
        <v>8069</v>
      </c>
      <c r="S1197" s="22" t="s">
        <v>51</v>
      </c>
      <c r="T1197" s="22" t="s">
        <v>52</v>
      </c>
      <c r="U1197" s="22" t="s">
        <v>52</v>
      </c>
      <c r="V1197" s="22" t="s">
        <v>52</v>
      </c>
      <c r="W1197" s="18">
        <v>46013.0</v>
      </c>
      <c r="X1197" s="20">
        <v>0.4201388888888889</v>
      </c>
      <c r="Y1197" s="18">
        <v>46013.0</v>
      </c>
      <c r="Z1197" s="20">
        <v>0.6666666666666666</v>
      </c>
      <c r="AA1197" s="20">
        <v>0.6673611111111111</v>
      </c>
      <c r="AB1197" s="54"/>
      <c r="AC1197" s="54"/>
      <c r="AD1197" s="51">
        <v>0.6875</v>
      </c>
      <c r="AE1197" s="18">
        <v>46013.0</v>
      </c>
      <c r="AF1197" s="22" t="s">
        <v>2989</v>
      </c>
      <c r="AG1197" s="22" t="s">
        <v>1475</v>
      </c>
      <c r="AH1197" s="22" t="s">
        <v>8760</v>
      </c>
      <c r="AI1197" s="108" t="str">
        <f>IFERROR(__xludf.DUMMYFUNCTION("IF(OR(W1197="""",X1197="""",AE1197="""",AD1197=""""),"""",
   TEXT(
     (
       (AE1197+AD1197 + IF(AE1197+AD1197 &lt; W1197+X1197,1,0)) - (W1197+X1197)
     )
     - IF(AND(AB1197&lt;&gt;"""",AC1197&lt;&gt;""""), 
          SUM(ARRAYFORMULA(SPLIT(AC1197,"","") - SPLI"&amp;"T(AB1197,"",""))), 
          0
       ),
     ""[hh]:mm""
   )
)
"),"06:25")</f>
        <v>06:25</v>
      </c>
      <c r="AJ1197" s="109">
        <f t="shared" si="16"/>
        <v>0</v>
      </c>
      <c r="AK1197" s="110" t="str">
        <f t="shared" si="17"/>
        <v>Pass</v>
      </c>
    </row>
    <row r="1198">
      <c r="A1198" s="45">
        <v>46013.0</v>
      </c>
      <c r="B1198" s="49">
        <v>0.41597222222222224</v>
      </c>
      <c r="C1198" s="45">
        <v>46013.0</v>
      </c>
      <c r="D1198" s="49">
        <v>0.4201388888888889</v>
      </c>
      <c r="E1198" s="21" t="s">
        <v>8761</v>
      </c>
      <c r="F1198" s="21" t="s">
        <v>8170</v>
      </c>
      <c r="G1198" s="21" t="s">
        <v>8171</v>
      </c>
      <c r="H1198" s="21" t="s">
        <v>3093</v>
      </c>
      <c r="I1198" s="21" t="s">
        <v>616</v>
      </c>
      <c r="J1198" s="21" t="s">
        <v>2253</v>
      </c>
      <c r="K1198" s="21" t="s">
        <v>43</v>
      </c>
      <c r="L1198" s="21" t="s">
        <v>2663</v>
      </c>
      <c r="M1198" s="21" t="s">
        <v>8762</v>
      </c>
      <c r="N1198" s="21" t="s">
        <v>8758</v>
      </c>
      <c r="O1198" s="48" t="s">
        <v>8763</v>
      </c>
      <c r="P1198" s="21" t="s">
        <v>75</v>
      </c>
      <c r="Q1198" s="24" t="s">
        <v>198</v>
      </c>
      <c r="R1198" s="21" t="s">
        <v>8069</v>
      </c>
      <c r="S1198" s="21" t="s">
        <v>51</v>
      </c>
      <c r="T1198" s="21" t="s">
        <v>52</v>
      </c>
      <c r="U1198" s="21" t="s">
        <v>52</v>
      </c>
      <c r="V1198" s="21" t="s">
        <v>52</v>
      </c>
      <c r="W1198" s="45">
        <v>46013.0</v>
      </c>
      <c r="X1198" s="49">
        <v>0.4201388888888889</v>
      </c>
      <c r="Y1198" s="45">
        <v>46013.0</v>
      </c>
      <c r="Z1198" s="49">
        <v>0.5930555555555556</v>
      </c>
      <c r="AA1198" s="49">
        <v>0.6041666666666666</v>
      </c>
      <c r="AB1198" s="29"/>
      <c r="AC1198" s="29"/>
      <c r="AD1198" s="25">
        <v>0.6319444444444444</v>
      </c>
      <c r="AE1198" s="45">
        <v>46013.0</v>
      </c>
      <c r="AF1198" s="21" t="s">
        <v>2989</v>
      </c>
      <c r="AG1198" s="21" t="s">
        <v>680</v>
      </c>
      <c r="AH1198" s="21" t="s">
        <v>8764</v>
      </c>
      <c r="AI1198" s="108" t="str">
        <f>IFERROR(__xludf.DUMMYFUNCTION("IF(OR(W1198="""",X1198="""",AE1198="""",AD1198=""""),"""",
   TEXT(
     (
       (AE1198+AD1198 + IF(AE1198+AD1198 &lt; W1198+X1198,1,0)) - (W1198+X1198)
     )
     - IF(AND(AB1198&lt;&gt;"""",AC1198&lt;&gt;""""), 
          SUM(ARRAYFORMULA(SPLIT(AC1198,"","") - SPLI"&amp;"T(AB1198,"",""))), 
          0
       ),
     ""[hh]:mm""
   )
)
"),"05:05")</f>
        <v>05:05</v>
      </c>
      <c r="AJ1198" s="109">
        <f t="shared" si="16"/>
        <v>0</v>
      </c>
      <c r="AK1198" s="110" t="str">
        <f t="shared" si="17"/>
        <v>Pass</v>
      </c>
    </row>
    <row r="1199">
      <c r="A1199" s="45">
        <v>46013.0</v>
      </c>
      <c r="B1199" s="49">
        <v>0.41597222222222224</v>
      </c>
      <c r="C1199" s="45">
        <v>46013.0</v>
      </c>
      <c r="D1199" s="49">
        <v>0.4201388888888889</v>
      </c>
      <c r="E1199" s="21" t="s">
        <v>8765</v>
      </c>
      <c r="F1199" s="21" t="s">
        <v>3633</v>
      </c>
      <c r="G1199" s="21" t="s">
        <v>6040</v>
      </c>
      <c r="H1199" s="21" t="s">
        <v>3093</v>
      </c>
      <c r="I1199" s="21" t="s">
        <v>616</v>
      </c>
      <c r="J1199" s="21" t="s">
        <v>2253</v>
      </c>
      <c r="K1199" s="21" t="s">
        <v>43</v>
      </c>
      <c r="L1199" s="21" t="s">
        <v>2663</v>
      </c>
      <c r="M1199" s="21" t="s">
        <v>8766</v>
      </c>
      <c r="N1199" s="21" t="s">
        <v>8758</v>
      </c>
      <c r="O1199" s="48" t="s">
        <v>8767</v>
      </c>
      <c r="P1199" s="21" t="s">
        <v>75</v>
      </c>
      <c r="Q1199" s="24" t="s">
        <v>198</v>
      </c>
      <c r="R1199" s="21" t="s">
        <v>8069</v>
      </c>
      <c r="S1199" s="21" t="s">
        <v>51</v>
      </c>
      <c r="T1199" s="21" t="s">
        <v>52</v>
      </c>
      <c r="U1199" s="21" t="s">
        <v>52</v>
      </c>
      <c r="V1199" s="21" t="s">
        <v>52</v>
      </c>
      <c r="W1199" s="45">
        <v>46013.0</v>
      </c>
      <c r="X1199" s="49">
        <v>0.4201388888888889</v>
      </c>
      <c r="Y1199" s="45">
        <v>46013.0</v>
      </c>
      <c r="Z1199" s="49">
        <v>0.43680555555555556</v>
      </c>
      <c r="AA1199" s="49">
        <v>0.4375</v>
      </c>
      <c r="AB1199" s="29"/>
      <c r="AC1199" s="29"/>
      <c r="AD1199" s="25">
        <v>0.4409722222222222</v>
      </c>
      <c r="AE1199" s="45">
        <v>46013.0</v>
      </c>
      <c r="AF1199" s="21" t="s">
        <v>2989</v>
      </c>
      <c r="AG1199" s="21" t="s">
        <v>113</v>
      </c>
      <c r="AH1199" s="21" t="s">
        <v>8768</v>
      </c>
      <c r="AI1199" s="108" t="str">
        <f>IFERROR(__xludf.DUMMYFUNCTION("IF(OR(W1199="""",X1199="""",AE1199="""",AD1199=""""),"""",
   TEXT(
     (
       (AE1199+AD1199 + IF(AE1199+AD1199 &lt; W1199+X1199,1,0)) - (W1199+X1199)
     )
     - IF(AND(AB1199&lt;&gt;"""",AC1199&lt;&gt;""""), 
          SUM(ARRAYFORMULA(SPLIT(AC1199,"","") - SPLI"&amp;"T(AB1199,"",""))), 
          0
       ),
     ""[hh]:mm""
   )
)
"),"00:30")</f>
        <v>00:30</v>
      </c>
      <c r="AJ1199" s="109">
        <f t="shared" si="16"/>
        <v>0</v>
      </c>
      <c r="AK1199" s="110" t="str">
        <f t="shared" si="17"/>
        <v>Pass</v>
      </c>
    </row>
    <row r="1200">
      <c r="A1200" s="45">
        <v>46013.0</v>
      </c>
      <c r="B1200" s="49">
        <v>0.41597222222222224</v>
      </c>
      <c r="C1200" s="45">
        <v>46013.0</v>
      </c>
      <c r="D1200" s="49">
        <v>0.4201388888888889</v>
      </c>
      <c r="E1200" s="21" t="s">
        <v>8769</v>
      </c>
      <c r="F1200" s="21" t="s">
        <v>3633</v>
      </c>
      <c r="G1200" s="21" t="s">
        <v>6040</v>
      </c>
      <c r="H1200" s="21" t="s">
        <v>3093</v>
      </c>
      <c r="I1200" s="21" t="s">
        <v>131</v>
      </c>
      <c r="J1200" s="21" t="s">
        <v>2253</v>
      </c>
      <c r="K1200" s="21" t="s">
        <v>43</v>
      </c>
      <c r="L1200" s="21" t="s">
        <v>2663</v>
      </c>
      <c r="M1200" s="21" t="s">
        <v>7215</v>
      </c>
      <c r="N1200" s="21" t="s">
        <v>8754</v>
      </c>
      <c r="O1200" s="48" t="s">
        <v>8767</v>
      </c>
      <c r="P1200" s="21" t="s">
        <v>75</v>
      </c>
      <c r="Q1200" s="24" t="s">
        <v>198</v>
      </c>
      <c r="R1200" s="21" t="s">
        <v>8069</v>
      </c>
      <c r="S1200" s="21" t="s">
        <v>51</v>
      </c>
      <c r="T1200" s="21" t="s">
        <v>52</v>
      </c>
      <c r="U1200" s="21" t="s">
        <v>52</v>
      </c>
      <c r="V1200" s="21" t="s">
        <v>52</v>
      </c>
      <c r="W1200" s="45">
        <v>46013.0</v>
      </c>
      <c r="X1200" s="49">
        <v>0.4201388888888889</v>
      </c>
      <c r="Y1200" s="45">
        <v>46013.0</v>
      </c>
      <c r="Z1200" s="49">
        <v>0.43680555555555556</v>
      </c>
      <c r="AA1200" s="49">
        <v>0.4375</v>
      </c>
      <c r="AB1200" s="29"/>
      <c r="AC1200" s="29"/>
      <c r="AD1200" s="25">
        <v>0.4409722222222222</v>
      </c>
      <c r="AE1200" s="45">
        <v>46013.0</v>
      </c>
      <c r="AF1200" s="21" t="s">
        <v>2989</v>
      </c>
      <c r="AG1200" s="21" t="s">
        <v>113</v>
      </c>
      <c r="AH1200" s="21" t="s">
        <v>8768</v>
      </c>
      <c r="AI1200" s="108" t="str">
        <f>IFERROR(__xludf.DUMMYFUNCTION("IF(OR(W1200="""",X1200="""",AE1200="""",AD1200=""""),"""",
   TEXT(
     (
       (AE1200+AD1200 + IF(AE1200+AD1200 &lt; W1200+X1200,1,0)) - (W1200+X1200)
     )
     - IF(AND(AB1200&lt;&gt;"""",AC1200&lt;&gt;""""), 
          SUM(ARRAYFORMULA(SPLIT(AC1200,"","") - SPLI"&amp;"T(AB1200,"",""))), 
          0
       ),
     ""[hh]:mm""
   )
)
"),"00:30")</f>
        <v>00:30</v>
      </c>
      <c r="AJ1200" s="109">
        <f t="shared" si="16"/>
        <v>0</v>
      </c>
      <c r="AK1200" s="110" t="str">
        <f t="shared" si="17"/>
        <v>Pass</v>
      </c>
    </row>
    <row r="1201">
      <c r="A1201" s="45">
        <v>46013.0</v>
      </c>
      <c r="B1201" s="49">
        <v>0.3638888888888889</v>
      </c>
      <c r="C1201" s="45">
        <v>46013.0</v>
      </c>
      <c r="D1201" s="49">
        <v>0.3659722222222222</v>
      </c>
      <c r="E1201" s="21" t="s">
        <v>8770</v>
      </c>
      <c r="F1201" s="21" t="s">
        <v>1531</v>
      </c>
      <c r="G1201" s="21" t="s">
        <v>8771</v>
      </c>
      <c r="H1201" s="21" t="s">
        <v>566</v>
      </c>
      <c r="I1201" s="21" t="s">
        <v>644</v>
      </c>
      <c r="J1201" s="21" t="s">
        <v>1394</v>
      </c>
      <c r="K1201" s="21" t="s">
        <v>143</v>
      </c>
      <c r="L1201" s="21" t="s">
        <v>606</v>
      </c>
      <c r="M1201" s="21" t="s">
        <v>8772</v>
      </c>
      <c r="N1201" s="21" t="s">
        <v>8773</v>
      </c>
      <c r="O1201" s="48" t="s">
        <v>8774</v>
      </c>
      <c r="P1201" s="21" t="s">
        <v>48</v>
      </c>
      <c r="Q1201" s="24" t="s">
        <v>65</v>
      </c>
      <c r="R1201" s="21" t="s">
        <v>8775</v>
      </c>
      <c r="S1201" s="21" t="s">
        <v>51</v>
      </c>
      <c r="T1201" s="21" t="s">
        <v>52</v>
      </c>
      <c r="U1201" s="21" t="s">
        <v>52</v>
      </c>
      <c r="V1201" s="21" t="s">
        <v>52</v>
      </c>
      <c r="W1201" s="45">
        <v>46013.0</v>
      </c>
      <c r="X1201" s="49">
        <v>0.3659722222222222</v>
      </c>
      <c r="Y1201" s="45">
        <v>46013.0</v>
      </c>
      <c r="Z1201" s="49">
        <v>0.53125</v>
      </c>
      <c r="AA1201" s="49">
        <v>0.5416666666666666</v>
      </c>
      <c r="AB1201" s="29"/>
      <c r="AC1201" s="29"/>
      <c r="AD1201" s="25">
        <v>0.5902777777777778</v>
      </c>
      <c r="AE1201" s="45">
        <v>46013.0</v>
      </c>
      <c r="AF1201" s="21" t="s">
        <v>7831</v>
      </c>
      <c r="AG1201" s="21" t="s">
        <v>5577</v>
      </c>
      <c r="AH1201" s="21" t="s">
        <v>8776</v>
      </c>
      <c r="AI1201" s="108" t="str">
        <f>IFERROR(__xludf.DUMMYFUNCTION("IF(OR(W1201="""",X1201="""",AE1201="""",AD1201=""""),"""",
   TEXT(
     (
       (AE1201+AD1201 + IF(AE1201+AD1201 &lt; W1201+X1201,1,0)) - (W1201+X1201)
     )
     - IF(AND(AB1201&lt;&gt;"""",AC1201&lt;&gt;""""), 
          SUM(ARRAYFORMULA(SPLIT(AC1201,"","") - SPLI"&amp;"T(AB1201,"",""))), 
          0
       ),
     ""[hh]:mm""
   )
)
"),"05:23")</f>
        <v>05:23</v>
      </c>
      <c r="AJ1201" s="109">
        <f t="shared" si="16"/>
        <v>0</v>
      </c>
      <c r="AK1201" s="110" t="str">
        <f t="shared" si="17"/>
        <v>Pass</v>
      </c>
    </row>
    <row r="1202">
      <c r="A1202" s="45">
        <v>46009.0</v>
      </c>
      <c r="B1202" s="49">
        <v>0.9652777777777778</v>
      </c>
      <c r="C1202" s="45">
        <v>46009.0</v>
      </c>
      <c r="D1202" s="49">
        <v>0.33055555555555555</v>
      </c>
      <c r="E1202" s="21" t="s">
        <v>8777</v>
      </c>
      <c r="F1202" s="21" t="s">
        <v>2900</v>
      </c>
      <c r="G1202" s="21" t="s">
        <v>2901</v>
      </c>
      <c r="H1202" s="21" t="s">
        <v>6041</v>
      </c>
      <c r="I1202" s="21" t="s">
        <v>616</v>
      </c>
      <c r="J1202" s="21" t="s">
        <v>3806</v>
      </c>
      <c r="K1202" s="21" t="s">
        <v>43</v>
      </c>
      <c r="L1202" s="21" t="s">
        <v>617</v>
      </c>
      <c r="M1202" s="21" t="s">
        <v>8778</v>
      </c>
      <c r="N1202" s="21" t="s">
        <v>4104</v>
      </c>
      <c r="O1202" s="48" t="s">
        <v>8779</v>
      </c>
      <c r="P1202" s="21" t="s">
        <v>75</v>
      </c>
      <c r="Q1202" s="24" t="s">
        <v>65</v>
      </c>
      <c r="R1202" s="21" t="s">
        <v>8780</v>
      </c>
      <c r="S1202" s="21" t="s">
        <v>51</v>
      </c>
      <c r="T1202" s="21" t="s">
        <v>6676</v>
      </c>
      <c r="U1202" s="21" t="s">
        <v>7935</v>
      </c>
      <c r="V1202" s="21" t="s">
        <v>8778</v>
      </c>
      <c r="W1202" s="45">
        <v>46013.0</v>
      </c>
      <c r="X1202" s="49">
        <v>0.33055555555555555</v>
      </c>
      <c r="Y1202" s="45">
        <v>46013.0</v>
      </c>
      <c r="Z1202" s="49">
        <v>0.4388888888888889</v>
      </c>
      <c r="AA1202" s="49">
        <v>0.4479166666666667</v>
      </c>
      <c r="AB1202" s="29"/>
      <c r="AC1202" s="29"/>
      <c r="AD1202" s="25">
        <v>0.5416666666666666</v>
      </c>
      <c r="AE1202" s="45">
        <v>46013.0</v>
      </c>
      <c r="AF1202" s="21" t="s">
        <v>2989</v>
      </c>
      <c r="AG1202" s="21" t="s">
        <v>680</v>
      </c>
      <c r="AH1202" s="21" t="s">
        <v>8781</v>
      </c>
      <c r="AI1202" s="108" t="str">
        <f>IFERROR(__xludf.DUMMYFUNCTION("IF(OR(W1202="""",X1202="""",AE1202="""",AD1202=""""),"""",
   TEXT(
     (
       (AE1202+AD1202 + IF(AE1202+AD1202 &lt; W1202+X1202,1,0)) - (W1202+X1202)
     )
     - IF(AND(AB1202&lt;&gt;"""",AC1202&lt;&gt;""""), 
          SUM(ARRAYFORMULA(SPLIT(AC1202,"","") - SPLI"&amp;"T(AB1202,"",""))), 
          0
       ),
     ""[hh]:mm""
   )
)
"),"05:04")</f>
        <v>05:04</v>
      </c>
      <c r="AJ1202" s="109">
        <f t="shared" si="16"/>
        <v>0</v>
      </c>
      <c r="AK1202" s="110" t="str">
        <f t="shared" si="17"/>
        <v>Pass</v>
      </c>
    </row>
    <row r="1203">
      <c r="A1203" s="18">
        <v>46013.0</v>
      </c>
      <c r="B1203" s="20">
        <v>0.3923611111111111</v>
      </c>
      <c r="C1203" s="18">
        <v>46013.0</v>
      </c>
      <c r="D1203" s="20">
        <v>0.3840277777777778</v>
      </c>
      <c r="E1203" s="22" t="s">
        <v>8782</v>
      </c>
      <c r="F1203" s="22" t="s">
        <v>2892</v>
      </c>
      <c r="G1203" s="22" t="s">
        <v>8783</v>
      </c>
      <c r="H1203" s="22" t="s">
        <v>1610</v>
      </c>
      <c r="I1203" s="22" t="s">
        <v>1612</v>
      </c>
      <c r="J1203" s="22" t="s">
        <v>1612</v>
      </c>
      <c r="K1203" s="22" t="s">
        <v>143</v>
      </c>
      <c r="L1203" s="22" t="s">
        <v>1613</v>
      </c>
      <c r="M1203" s="22" t="s">
        <v>8784</v>
      </c>
      <c r="N1203" s="22" t="s">
        <v>8693</v>
      </c>
      <c r="O1203" s="23" t="s">
        <v>8785</v>
      </c>
      <c r="P1203" s="22" t="s">
        <v>187</v>
      </c>
      <c r="Q1203" s="50" t="s">
        <v>65</v>
      </c>
      <c r="R1203" s="22" t="s">
        <v>6093</v>
      </c>
      <c r="S1203" s="22" t="s">
        <v>51</v>
      </c>
      <c r="T1203" s="22" t="s">
        <v>52</v>
      </c>
      <c r="U1203" s="22" t="s">
        <v>52</v>
      </c>
      <c r="V1203" s="22" t="s">
        <v>52</v>
      </c>
      <c r="W1203" s="18">
        <v>46013.0</v>
      </c>
      <c r="X1203" s="20">
        <v>0.3840277777777778</v>
      </c>
      <c r="Y1203" s="18">
        <v>46013.0</v>
      </c>
      <c r="Z1203" s="20">
        <v>0.5208333333333334</v>
      </c>
      <c r="AA1203" s="20">
        <v>0.5347222222222222</v>
      </c>
      <c r="AB1203" s="54"/>
      <c r="AC1203" s="54"/>
      <c r="AD1203" s="51">
        <v>0.5763888888888888</v>
      </c>
      <c r="AE1203" s="18">
        <v>46013.0</v>
      </c>
      <c r="AF1203" s="22" t="s">
        <v>6995</v>
      </c>
      <c r="AG1203" s="22" t="s">
        <v>78</v>
      </c>
      <c r="AH1203" s="22" t="s">
        <v>2898</v>
      </c>
      <c r="AI1203" s="111" t="str">
        <f>IFERROR(__xludf.DUMMYFUNCTION("IF(OR(W1203="""",X1203="""",AE1203="""",AD1203=""""),"""",
   TEXT(
     (
       (AE1203+AD1203 + IF(AE1203+AD1203 &lt; W1203+X1203,1,0)) - (W1203+X1203)
     )
     - IF(AND(AB1203&lt;&gt;"""",AC1203&lt;&gt;""""), 
          SUM(ARRAYFORMULA(SPLIT(AC1203,"","") - SPLI"&amp;"T(AB1203,"",""))), 
          0
       ),
     ""[hh]:mm""
   )
)
"),"04:37")</f>
        <v>04:37</v>
      </c>
      <c r="AJ1203" s="112">
        <f t="shared" si="16"/>
        <v>0</v>
      </c>
      <c r="AK1203" s="113" t="str">
        <f t="shared" si="17"/>
        <v>Pass</v>
      </c>
    </row>
    <row r="1204">
      <c r="A1204" s="18">
        <v>46013.0</v>
      </c>
      <c r="B1204" s="20">
        <v>0.3972222222222222</v>
      </c>
      <c r="C1204" s="18">
        <v>46013.0</v>
      </c>
      <c r="D1204" s="20">
        <v>0.3993055555555556</v>
      </c>
      <c r="E1204" s="22" t="s">
        <v>8786</v>
      </c>
      <c r="F1204" s="95" t="s">
        <v>2892</v>
      </c>
      <c r="G1204" s="22" t="s">
        <v>8783</v>
      </c>
      <c r="H1204" s="22" t="s">
        <v>1610</v>
      </c>
      <c r="I1204" s="22" t="s">
        <v>1612</v>
      </c>
      <c r="J1204" s="22" t="s">
        <v>1612</v>
      </c>
      <c r="K1204" s="22" t="s">
        <v>143</v>
      </c>
      <c r="L1204" s="22" t="s">
        <v>1613</v>
      </c>
      <c r="M1204" s="22" t="s">
        <v>8787</v>
      </c>
      <c r="N1204" s="22" t="s">
        <v>8693</v>
      </c>
      <c r="O1204" s="23" t="s">
        <v>8785</v>
      </c>
      <c r="P1204" s="22" t="s">
        <v>187</v>
      </c>
      <c r="Q1204" s="50" t="s">
        <v>65</v>
      </c>
      <c r="R1204" s="22" t="s">
        <v>6093</v>
      </c>
      <c r="S1204" s="22" t="s">
        <v>51</v>
      </c>
      <c r="T1204" s="22" t="s">
        <v>52</v>
      </c>
      <c r="U1204" s="22" t="s">
        <v>52</v>
      </c>
      <c r="V1204" s="22" t="s">
        <v>52</v>
      </c>
      <c r="W1204" s="18">
        <v>46013.0</v>
      </c>
      <c r="X1204" s="20">
        <v>0.3993055555555556</v>
      </c>
      <c r="Y1204" s="18">
        <v>46013.0</v>
      </c>
      <c r="Z1204" s="20">
        <v>0.5208333333333334</v>
      </c>
      <c r="AA1204" s="20">
        <v>0.5763888888888888</v>
      </c>
      <c r="AB1204" s="51">
        <v>0.5208333333333334</v>
      </c>
      <c r="AC1204" s="51">
        <v>0.5763888888888888</v>
      </c>
      <c r="AD1204" s="51">
        <v>0.625</v>
      </c>
      <c r="AE1204" s="18">
        <v>46013.0</v>
      </c>
      <c r="AF1204" s="22" t="s">
        <v>6995</v>
      </c>
      <c r="AG1204" s="22" t="s">
        <v>78</v>
      </c>
      <c r="AH1204" s="22" t="s">
        <v>2898</v>
      </c>
      <c r="AI1204" s="111" t="str">
        <f>IFERROR(__xludf.DUMMYFUNCTION("IF(OR(W1204="""",X1204="""",AE1204="""",AD1204=""""),"""",
   TEXT(
     (
       (AE1204+AD1204 + IF(AE1204+AD1204 &lt; W1204+X1204,1,0)) - (W1204+X1204)
     )
     - IF(AND(AB1204&lt;&gt;"""",AC1204&lt;&gt;""""), 
          SUM(ARRAYFORMULA(SPLIT(AC1204,"","") - SPLI"&amp;"T(AB1204,"",""))), 
          0
       ),
     ""[hh]:mm""
   )
)
"),"04:05")</f>
        <v>04:05</v>
      </c>
      <c r="AJ1204" s="112">
        <f t="shared" si="16"/>
        <v>0</v>
      </c>
      <c r="AK1204" s="113" t="str">
        <f t="shared" si="17"/>
        <v>Pass</v>
      </c>
    </row>
    <row r="1205">
      <c r="A1205" s="18">
        <v>46013.0</v>
      </c>
      <c r="B1205" s="20">
        <v>0.45625</v>
      </c>
      <c r="C1205" s="18">
        <v>45952.0</v>
      </c>
      <c r="D1205" s="20">
        <v>0.46319444444444446</v>
      </c>
      <c r="E1205" s="22" t="s">
        <v>8788</v>
      </c>
      <c r="F1205" s="22" t="s">
        <v>7457</v>
      </c>
      <c r="G1205" s="22" t="s">
        <v>8789</v>
      </c>
      <c r="H1205" s="22" t="s">
        <v>566</v>
      </c>
      <c r="I1205" s="22" t="s">
        <v>856</v>
      </c>
      <c r="J1205" s="22" t="s">
        <v>1084</v>
      </c>
      <c r="K1205" s="22" t="s">
        <v>8790</v>
      </c>
      <c r="L1205" s="22" t="s">
        <v>8791</v>
      </c>
      <c r="M1205" s="22" t="s">
        <v>8792</v>
      </c>
      <c r="N1205" s="22" t="s">
        <v>8793</v>
      </c>
      <c r="O1205" s="23" t="s">
        <v>8794</v>
      </c>
      <c r="P1205" s="22" t="s">
        <v>48</v>
      </c>
      <c r="Q1205" s="50" t="s">
        <v>65</v>
      </c>
      <c r="R1205" s="22" t="s">
        <v>8795</v>
      </c>
      <c r="S1205" s="22" t="s">
        <v>51</v>
      </c>
      <c r="T1205" s="22" t="s">
        <v>52</v>
      </c>
      <c r="U1205" s="22" t="s">
        <v>52</v>
      </c>
      <c r="V1205" s="22" t="s">
        <v>52</v>
      </c>
      <c r="W1205" s="18">
        <v>46013.0</v>
      </c>
      <c r="X1205" s="20">
        <v>0.46319444444444446</v>
      </c>
      <c r="Y1205" s="18">
        <v>46013.0</v>
      </c>
      <c r="Z1205" s="20">
        <v>0.6527777777777778</v>
      </c>
      <c r="AA1205" s="20">
        <v>0.6541666666666667</v>
      </c>
      <c r="AB1205" s="54"/>
      <c r="AC1205" s="54"/>
      <c r="AD1205" s="51">
        <v>0.6736111111111112</v>
      </c>
      <c r="AE1205" s="18">
        <v>46013.0</v>
      </c>
      <c r="AF1205" s="22" t="s">
        <v>2918</v>
      </c>
      <c r="AG1205" s="22" t="s">
        <v>239</v>
      </c>
      <c r="AH1205" s="22" t="s">
        <v>8796</v>
      </c>
      <c r="AI1205" s="111" t="str">
        <f>IFERROR(__xludf.DUMMYFUNCTION("IF(OR(W1205="""",X1205="""",AE1205="""",AD1205=""""),"""",
   TEXT(
     (
       (AE1205+AD1205 + IF(AE1205+AD1205 &lt; W1205+X1205,1,0)) - (W1205+X1205)
     )
     - IF(AND(AB1205&lt;&gt;"""",AC1205&lt;&gt;""""), 
          SUM(ARRAYFORMULA(SPLIT(AC1205,"","") - SPLI"&amp;"T(AB1205,"",""))), 
          0
       ),
     ""[hh]:mm""
   )
)
"),"05:03")</f>
        <v>05:03</v>
      </c>
      <c r="AJ1205" s="112">
        <f t="shared" si="16"/>
        <v>0</v>
      </c>
      <c r="AK1205" s="113" t="str">
        <f t="shared" si="17"/>
        <v>Pass</v>
      </c>
    </row>
    <row r="1206">
      <c r="A1206" s="18">
        <v>46013.0</v>
      </c>
      <c r="B1206" s="20">
        <v>0.4673611111111111</v>
      </c>
      <c r="C1206" s="18">
        <v>46013.0</v>
      </c>
      <c r="D1206" s="20">
        <v>0.4701388888888889</v>
      </c>
      <c r="E1206" s="22" t="s">
        <v>8797</v>
      </c>
      <c r="F1206" s="22" t="s">
        <v>5137</v>
      </c>
      <c r="G1206" s="22" t="s">
        <v>8195</v>
      </c>
      <c r="H1206" s="22" t="s">
        <v>1610</v>
      </c>
      <c r="I1206" s="22" t="s">
        <v>1612</v>
      </c>
      <c r="J1206" s="22" t="s">
        <v>1612</v>
      </c>
      <c r="K1206" s="22" t="s">
        <v>143</v>
      </c>
      <c r="L1206" s="22" t="s">
        <v>1613</v>
      </c>
      <c r="M1206" s="22" t="s">
        <v>8798</v>
      </c>
      <c r="N1206" s="22" t="s">
        <v>8799</v>
      </c>
      <c r="O1206" s="23" t="s">
        <v>8800</v>
      </c>
      <c r="P1206" s="22" t="s">
        <v>187</v>
      </c>
      <c r="Q1206" s="50" t="s">
        <v>65</v>
      </c>
      <c r="R1206" s="22" t="s">
        <v>6093</v>
      </c>
      <c r="S1206" s="22" t="s">
        <v>51</v>
      </c>
      <c r="T1206" s="22" t="s">
        <v>52</v>
      </c>
      <c r="U1206" s="22" t="s">
        <v>52</v>
      </c>
      <c r="V1206" s="22" t="s">
        <v>52</v>
      </c>
      <c r="W1206" s="18">
        <v>46013.0</v>
      </c>
      <c r="X1206" s="20">
        <v>0.4701388888888889</v>
      </c>
      <c r="Y1206" s="18">
        <v>46013.0</v>
      </c>
      <c r="Z1206" s="20">
        <v>0.6145833333333334</v>
      </c>
      <c r="AA1206" s="20">
        <v>0.6166666666666667</v>
      </c>
      <c r="AB1206" s="54"/>
      <c r="AC1206" s="54"/>
      <c r="AD1206" s="51">
        <v>0.7222222222222222</v>
      </c>
      <c r="AE1206" s="18">
        <v>46013.0</v>
      </c>
      <c r="AF1206" s="22" t="s">
        <v>6995</v>
      </c>
      <c r="AG1206" s="22" t="s">
        <v>6108</v>
      </c>
      <c r="AH1206" s="22" t="s">
        <v>8801</v>
      </c>
      <c r="AI1206" s="111" t="str">
        <f>IFERROR(__xludf.DUMMYFUNCTION("IF(OR(W1206="""",X1206="""",AE1206="""",AD1206=""""),"""",
   TEXT(
     (
       (AE1206+AD1206 + IF(AE1206+AD1206 &lt; W1206+X1206,1,0)) - (W1206+X1206)
     )
     - IF(AND(AB1206&lt;&gt;"""",AC1206&lt;&gt;""""), 
          SUM(ARRAYFORMULA(SPLIT(AC1206,"","") - SPLI"&amp;"T(AB1206,"",""))), 
          0
       ),
     ""[hh]:mm""
   )
)
"),"06:03")</f>
        <v>06:03</v>
      </c>
      <c r="AJ1206" s="112">
        <f t="shared" si="16"/>
        <v>0</v>
      </c>
      <c r="AK1206" s="113" t="str">
        <f t="shared" si="17"/>
        <v>Pass</v>
      </c>
    </row>
    <row r="1207">
      <c r="A1207" s="18">
        <v>46013.0</v>
      </c>
      <c r="B1207" s="20">
        <v>0.5166666666666667</v>
      </c>
      <c r="C1207" s="18">
        <v>46013.0</v>
      </c>
      <c r="D1207" s="20">
        <v>0.5263888888888889</v>
      </c>
      <c r="E1207" s="22" t="s">
        <v>8802</v>
      </c>
      <c r="F1207" s="22" t="s">
        <v>8803</v>
      </c>
      <c r="G1207" s="22" t="s">
        <v>8804</v>
      </c>
      <c r="H1207" s="22" t="s">
        <v>4256</v>
      </c>
      <c r="I1207" s="22" t="s">
        <v>2026</v>
      </c>
      <c r="J1207" s="22" t="s">
        <v>2253</v>
      </c>
      <c r="K1207" s="22" t="s">
        <v>43</v>
      </c>
      <c r="L1207" s="22" t="s">
        <v>617</v>
      </c>
      <c r="M1207" s="22" t="s">
        <v>8805</v>
      </c>
      <c r="N1207" s="22" t="s">
        <v>8806</v>
      </c>
      <c r="O1207" s="23" t="s">
        <v>8807</v>
      </c>
      <c r="P1207" s="22" t="s">
        <v>75</v>
      </c>
      <c r="Q1207" s="24" t="s">
        <v>65</v>
      </c>
      <c r="R1207" s="21" t="s">
        <v>8808</v>
      </c>
      <c r="S1207" s="22" t="s">
        <v>51</v>
      </c>
      <c r="T1207" s="21" t="s">
        <v>6676</v>
      </c>
      <c r="U1207" s="22" t="s">
        <v>8360</v>
      </c>
      <c r="V1207" s="22" t="s">
        <v>8805</v>
      </c>
      <c r="W1207" s="45">
        <v>46013.0</v>
      </c>
      <c r="X1207" s="20">
        <v>0.5263888888888889</v>
      </c>
      <c r="Y1207" s="45">
        <v>46013.0</v>
      </c>
      <c r="Z1207" s="20">
        <v>0.6881944444444444</v>
      </c>
      <c r="AA1207" s="20">
        <v>0.7013888888888888</v>
      </c>
      <c r="AB1207" s="54"/>
      <c r="AC1207" s="54"/>
      <c r="AD1207" s="51">
        <v>0.7291666666666666</v>
      </c>
      <c r="AE1207" s="45">
        <v>46013.0</v>
      </c>
      <c r="AF1207" s="22" t="s">
        <v>2744</v>
      </c>
      <c r="AG1207" s="22" t="s">
        <v>583</v>
      </c>
      <c r="AH1207" s="22" t="s">
        <v>8809</v>
      </c>
      <c r="AI1207" s="108" t="str">
        <f>IFERROR(__xludf.DUMMYFUNCTION("IF(OR(W1207="""",X1207="""",AE1207="""",AD1207=""""),"""",
   TEXT(
     (
       (AE1207+AD1207 + IF(AE1207+AD1207 &lt; W1207+X1207,1,0)) - (W1207+X1207)
     )
     - IF(AND(AB1207&lt;&gt;"""",AC1207&lt;&gt;""""), 
          SUM(ARRAYFORMULA(SPLIT(AC1207,"","") - SPLI"&amp;"T(AB1207,"",""))), 
          0
       ),
     ""[hh]:mm""
   )
)
"),"04:52")</f>
        <v>04:52</v>
      </c>
      <c r="AJ1207" s="109">
        <f t="shared" si="16"/>
        <v>0</v>
      </c>
      <c r="AK1207" s="110" t="str">
        <f t="shared" si="17"/>
        <v>Pass</v>
      </c>
    </row>
    <row r="1208">
      <c r="A1208" s="18">
        <v>46012.0</v>
      </c>
      <c r="B1208" s="20">
        <v>0.4375</v>
      </c>
      <c r="C1208" s="18">
        <v>46013.0</v>
      </c>
      <c r="D1208" s="20">
        <v>0.5763888888888888</v>
      </c>
      <c r="E1208" s="22" t="s">
        <v>8810</v>
      </c>
      <c r="F1208" s="22" t="s">
        <v>842</v>
      </c>
      <c r="G1208" s="22" t="s">
        <v>843</v>
      </c>
      <c r="H1208" s="22" t="s">
        <v>814</v>
      </c>
      <c r="I1208" s="22" t="s">
        <v>131</v>
      </c>
      <c r="J1208" s="22" t="s">
        <v>2253</v>
      </c>
      <c r="K1208" s="22" t="s">
        <v>43</v>
      </c>
      <c r="L1208" s="22" t="s">
        <v>2663</v>
      </c>
      <c r="M1208" s="22" t="s">
        <v>8811</v>
      </c>
      <c r="N1208" s="22" t="s">
        <v>8812</v>
      </c>
      <c r="O1208" s="23" t="s">
        <v>8813</v>
      </c>
      <c r="P1208" s="22" t="s">
        <v>75</v>
      </c>
      <c r="Q1208" s="50" t="s">
        <v>65</v>
      </c>
      <c r="R1208" s="102" t="s">
        <v>8814</v>
      </c>
      <c r="S1208" s="22" t="s">
        <v>51</v>
      </c>
      <c r="T1208" s="22" t="s">
        <v>6676</v>
      </c>
      <c r="U1208" s="22" t="s">
        <v>8811</v>
      </c>
      <c r="V1208" s="22" t="s">
        <v>1121</v>
      </c>
      <c r="W1208" s="18">
        <v>46013.0</v>
      </c>
      <c r="X1208" s="20">
        <v>0.5763888888888888</v>
      </c>
      <c r="Y1208" s="18">
        <v>46013.0</v>
      </c>
      <c r="Z1208" s="20">
        <v>0.6472222222222223</v>
      </c>
      <c r="AA1208" s="20">
        <v>0.6527777777777778</v>
      </c>
      <c r="AB1208" s="54"/>
      <c r="AC1208" s="54"/>
      <c r="AD1208" s="51">
        <v>0.675</v>
      </c>
      <c r="AE1208" s="18">
        <v>46013.0</v>
      </c>
      <c r="AF1208" s="22" t="s">
        <v>7831</v>
      </c>
      <c r="AG1208" s="22" t="s">
        <v>848</v>
      </c>
      <c r="AH1208" s="22" t="s">
        <v>2667</v>
      </c>
      <c r="AI1208" s="111" t="str">
        <f>IFERROR(__xludf.DUMMYFUNCTION("IF(OR(W1208="""",X1208="""",AE1208="""",AD1208=""""),"""",
   TEXT(
     (
       (AE1208+AD1208 + IF(AE1208+AD1208 &lt; W1208+X1208,1,0)) - (W1208+X1208)
     )
     - IF(AND(AB1208&lt;&gt;"""",AC1208&lt;&gt;""""), 
          SUM(ARRAYFORMULA(SPLIT(AC1208,"","") - SPLI"&amp;"T(AB1208,"",""))), 
          0
       ),
     ""[hh]:mm""
   )
)
"),"02:22")</f>
        <v>02:22</v>
      </c>
      <c r="AJ1208" s="112">
        <f t="shared" si="16"/>
        <v>0</v>
      </c>
      <c r="AK1208" s="113" t="str">
        <f t="shared" si="17"/>
        <v>Pass</v>
      </c>
    </row>
    <row r="1209">
      <c r="A1209" s="18">
        <v>46013.0</v>
      </c>
      <c r="B1209" s="20">
        <v>0.5986111111111111</v>
      </c>
      <c r="C1209" s="18">
        <v>46013.0</v>
      </c>
      <c r="D1209" s="20">
        <v>0.6020833333333333</v>
      </c>
      <c r="E1209" s="22" t="s">
        <v>8815</v>
      </c>
      <c r="F1209" s="95" t="s">
        <v>2617</v>
      </c>
      <c r="G1209" s="22" t="s">
        <v>2618</v>
      </c>
      <c r="H1209" s="22" t="s">
        <v>130</v>
      </c>
      <c r="I1209" s="22" t="s">
        <v>131</v>
      </c>
      <c r="J1209" s="22" t="s">
        <v>2253</v>
      </c>
      <c r="K1209" s="22" t="s">
        <v>43</v>
      </c>
      <c r="L1209" s="22" t="s">
        <v>805</v>
      </c>
      <c r="M1209" s="22" t="s">
        <v>8816</v>
      </c>
      <c r="N1209" s="22" t="s">
        <v>8817</v>
      </c>
      <c r="O1209" s="23" t="s">
        <v>8818</v>
      </c>
      <c r="P1209" s="22" t="s">
        <v>75</v>
      </c>
      <c r="Q1209" s="50" t="s">
        <v>65</v>
      </c>
      <c r="R1209" s="22" t="s">
        <v>188</v>
      </c>
      <c r="S1209" s="22" t="s">
        <v>51</v>
      </c>
      <c r="T1209" s="22" t="s">
        <v>52</v>
      </c>
      <c r="U1209" s="22" t="s">
        <v>52</v>
      </c>
      <c r="V1209" s="22" t="s">
        <v>52</v>
      </c>
      <c r="W1209" s="18">
        <v>46013.0</v>
      </c>
      <c r="X1209" s="20">
        <v>0.6020833333333333</v>
      </c>
      <c r="Y1209" s="18">
        <v>46013.0</v>
      </c>
      <c r="Z1209" s="75">
        <v>0.7256944444444444</v>
      </c>
      <c r="AA1209" s="20">
        <v>0.7291666666666666</v>
      </c>
      <c r="AB1209" s="54"/>
      <c r="AC1209" s="54"/>
      <c r="AD1209" s="51">
        <v>0.75</v>
      </c>
      <c r="AE1209" s="18">
        <v>46013.0</v>
      </c>
      <c r="AF1209" s="22" t="s">
        <v>7020</v>
      </c>
      <c r="AG1209" s="22" t="s">
        <v>3191</v>
      </c>
      <c r="AH1209" s="22" t="s">
        <v>8819</v>
      </c>
      <c r="AI1209" s="111" t="str">
        <f>IFERROR(__xludf.DUMMYFUNCTION("IF(OR(W1209="""",X1209="""",AE1209="""",AD1209=""""),"""",
   TEXT(
     (
       (AE1209+AD1209 + IF(AE1209+AD1209 &lt; W1209+X1209,1,0)) - (W1209+X1209)
     )
     - IF(AND(AB1209&lt;&gt;"""",AC1209&lt;&gt;""""), 
          SUM(ARRAYFORMULA(SPLIT(AC1209,"","") - SPLI"&amp;"T(AB1209,"",""))), 
          0
       ),
     ""[hh]:mm""
   )
)
"),"03:33")</f>
        <v>03:33</v>
      </c>
      <c r="AJ1209" s="112">
        <f t="shared" si="16"/>
        <v>0</v>
      </c>
      <c r="AK1209" s="113" t="str">
        <f t="shared" si="17"/>
        <v>Pass</v>
      </c>
    </row>
    <row r="1210">
      <c r="A1210" s="18">
        <v>46013.0</v>
      </c>
      <c r="B1210" s="20">
        <v>0.6138888888888889</v>
      </c>
      <c r="C1210" s="18">
        <v>46013.0</v>
      </c>
      <c r="D1210" s="20">
        <v>0.6256944444444444</v>
      </c>
      <c r="E1210" s="22" t="s">
        <v>8820</v>
      </c>
      <c r="F1210" s="22" t="s">
        <v>4317</v>
      </c>
      <c r="G1210" s="22" t="s">
        <v>4318</v>
      </c>
      <c r="H1210" s="22" t="s">
        <v>2337</v>
      </c>
      <c r="I1210" s="22" t="s">
        <v>118</v>
      </c>
      <c r="J1210" s="22" t="s">
        <v>4198</v>
      </c>
      <c r="K1210" s="22" t="s">
        <v>72</v>
      </c>
      <c r="L1210" s="22" t="s">
        <v>8821</v>
      </c>
      <c r="M1210" s="22" t="s">
        <v>8822</v>
      </c>
      <c r="N1210" s="22" t="s">
        <v>8823</v>
      </c>
      <c r="O1210" s="23" t="s">
        <v>8824</v>
      </c>
      <c r="P1210" s="22" t="s">
        <v>75</v>
      </c>
      <c r="Q1210" s="50" t="s">
        <v>65</v>
      </c>
      <c r="R1210" s="22" t="s">
        <v>8825</v>
      </c>
      <c r="S1210" s="22" t="s">
        <v>51</v>
      </c>
      <c r="T1210" s="22" t="s">
        <v>2341</v>
      </c>
      <c r="U1210" s="22" t="s">
        <v>8826</v>
      </c>
      <c r="V1210" s="22" t="s">
        <v>8822</v>
      </c>
      <c r="W1210" s="18">
        <v>46013.0</v>
      </c>
      <c r="X1210" s="20">
        <v>0.6256944444444444</v>
      </c>
      <c r="Y1210" s="18">
        <v>46013.0</v>
      </c>
      <c r="Z1210" s="20">
        <v>0.725</v>
      </c>
      <c r="AA1210" s="20">
        <v>0.7256944444444444</v>
      </c>
      <c r="AB1210" s="51">
        <v>0.7256944444444444</v>
      </c>
      <c r="AC1210" s="51">
        <v>0.7902777777777777</v>
      </c>
      <c r="AD1210" s="51">
        <v>0.8055555555555556</v>
      </c>
      <c r="AE1210" s="18">
        <v>46013.0</v>
      </c>
      <c r="AF1210" s="22" t="s">
        <v>2719</v>
      </c>
      <c r="AG1210" s="22" t="s">
        <v>239</v>
      </c>
      <c r="AH1210" s="22" t="s">
        <v>4324</v>
      </c>
      <c r="AI1210" s="111" t="str">
        <f>IFERROR(__xludf.DUMMYFUNCTION("IF(OR(W1210="""",X1210="""",AE1210="""",AD1210=""""),"""",
   TEXT(
     (
       (AE1210+AD1210 + IF(AE1210+AD1210 &lt; W1210+X1210,1,0)) - (W1210+X1210)
     )
     - IF(AND(AB1210&lt;&gt;"""",AC1210&lt;&gt;""""), 
          SUM(ARRAYFORMULA(SPLIT(AC1210,"","") - SPLI"&amp;"T(AB1210,"",""))), 
          0
       ),
     ""[hh]:mm""
   )
)
"),"02:46")</f>
        <v>02:46</v>
      </c>
      <c r="AJ1210" s="112">
        <f t="shared" si="16"/>
        <v>0</v>
      </c>
      <c r="AK1210" s="113" t="str">
        <f t="shared" si="17"/>
        <v>Pass</v>
      </c>
    </row>
    <row r="1211">
      <c r="A1211" s="45">
        <v>46013.0</v>
      </c>
      <c r="B1211" s="49">
        <v>0.3909722222222222</v>
      </c>
      <c r="C1211" s="45">
        <v>46013.0</v>
      </c>
      <c r="D1211" s="49">
        <v>0.3909722222222222</v>
      </c>
      <c r="E1211" s="21" t="s">
        <v>8827</v>
      </c>
      <c r="F1211" s="21" t="s">
        <v>444</v>
      </c>
      <c r="G1211" s="21" t="s">
        <v>445</v>
      </c>
      <c r="H1211" s="21" t="s">
        <v>566</v>
      </c>
      <c r="I1211" s="21" t="s">
        <v>644</v>
      </c>
      <c r="J1211" s="21" t="s">
        <v>644</v>
      </c>
      <c r="K1211" s="21" t="s">
        <v>333</v>
      </c>
      <c r="L1211" s="21" t="s">
        <v>8828</v>
      </c>
      <c r="M1211" s="21" t="s">
        <v>8829</v>
      </c>
      <c r="N1211" s="21" t="s">
        <v>8830</v>
      </c>
      <c r="O1211" s="48" t="s">
        <v>8831</v>
      </c>
      <c r="P1211" s="21" t="s">
        <v>48</v>
      </c>
      <c r="Q1211" s="24" t="s">
        <v>65</v>
      </c>
      <c r="R1211" s="21" t="s">
        <v>8832</v>
      </c>
      <c r="S1211" s="21" t="s">
        <v>51</v>
      </c>
      <c r="T1211" s="21" t="s">
        <v>52</v>
      </c>
      <c r="U1211" s="21" t="s">
        <v>52</v>
      </c>
      <c r="V1211" s="21" t="s">
        <v>52</v>
      </c>
      <c r="W1211" s="45">
        <v>46013.0</v>
      </c>
      <c r="X1211" s="49">
        <v>0.3909722222222222</v>
      </c>
      <c r="Y1211" s="45">
        <v>46013.0</v>
      </c>
      <c r="Z1211" s="49">
        <v>0.3909722222222222</v>
      </c>
      <c r="AA1211" s="49">
        <v>0.4875</v>
      </c>
      <c r="AB1211" s="29"/>
      <c r="AC1211" s="29"/>
      <c r="AD1211" s="25">
        <v>0.49166666666666664</v>
      </c>
      <c r="AE1211" s="45">
        <v>46013.0</v>
      </c>
      <c r="AF1211" s="21" t="s">
        <v>8833</v>
      </c>
      <c r="AG1211" s="21" t="s">
        <v>8342</v>
      </c>
      <c r="AH1211" s="21" t="s">
        <v>4522</v>
      </c>
      <c r="AI1211" s="108" t="str">
        <f>IFERROR(__xludf.DUMMYFUNCTION("IF(OR(W1211="""",X1211="""",AE1211="""",AD1211=""""),"""",
   TEXT(
     (
       (AE1211+AD1211 + IF(AE1211+AD1211 &lt; W1211+X1211,1,0)) - (W1211+X1211)
     )
     - IF(AND(AB1211&lt;&gt;"""",AC1211&lt;&gt;""""), 
          SUM(ARRAYFORMULA(SPLIT(AC1211,"","") - SPLI"&amp;"T(AB1211,"",""))), 
          0
       ),
     ""[hh]:mm""
   )
)
"),"02:25")</f>
        <v>02:25</v>
      </c>
      <c r="AJ1211" s="109">
        <f t="shared" si="16"/>
        <v>0</v>
      </c>
      <c r="AK1211" s="110" t="str">
        <f t="shared" si="17"/>
        <v>Pass</v>
      </c>
    </row>
    <row r="1212">
      <c r="A1212" s="45">
        <v>46013.0</v>
      </c>
      <c r="B1212" s="49">
        <v>0.3909722222222222</v>
      </c>
      <c r="C1212" s="45">
        <v>46013.0</v>
      </c>
      <c r="D1212" s="49">
        <v>0.3909722222222222</v>
      </c>
      <c r="E1212" s="21" t="s">
        <v>8834</v>
      </c>
      <c r="F1212" s="21" t="s">
        <v>444</v>
      </c>
      <c r="G1212" s="21" t="s">
        <v>445</v>
      </c>
      <c r="H1212" s="21" t="s">
        <v>8835</v>
      </c>
      <c r="I1212" s="21" t="s">
        <v>95</v>
      </c>
      <c r="J1212" s="21" t="s">
        <v>95</v>
      </c>
      <c r="K1212" s="21" t="s">
        <v>333</v>
      </c>
      <c r="L1212" s="21" t="s">
        <v>8828</v>
      </c>
      <c r="M1212" s="21" t="s">
        <v>8836</v>
      </c>
      <c r="N1212" s="21" t="s">
        <v>8837</v>
      </c>
      <c r="O1212" s="48" t="s">
        <v>8838</v>
      </c>
      <c r="P1212" s="21" t="s">
        <v>187</v>
      </c>
      <c r="Q1212" s="24" t="s">
        <v>65</v>
      </c>
      <c r="R1212" s="21" t="s">
        <v>8839</v>
      </c>
      <c r="S1212" s="21" t="s">
        <v>51</v>
      </c>
      <c r="T1212" s="21" t="s">
        <v>52</v>
      </c>
      <c r="U1212" s="21" t="s">
        <v>52</v>
      </c>
      <c r="V1212" s="21" t="s">
        <v>52</v>
      </c>
      <c r="W1212" s="45">
        <v>46013.0</v>
      </c>
      <c r="X1212" s="49">
        <v>0.3909722222222222</v>
      </c>
      <c r="Y1212" s="45">
        <v>46013.0</v>
      </c>
      <c r="Z1212" s="49">
        <v>0.3909722222222222</v>
      </c>
      <c r="AA1212" s="49">
        <v>0.4875</v>
      </c>
      <c r="AB1212" s="29"/>
      <c r="AC1212" s="29"/>
      <c r="AD1212" s="25">
        <v>0.49166666666666664</v>
      </c>
      <c r="AE1212" s="45">
        <v>46013.0</v>
      </c>
      <c r="AF1212" s="21" t="s">
        <v>8833</v>
      </c>
      <c r="AG1212" s="21" t="s">
        <v>8342</v>
      </c>
      <c r="AH1212" s="21" t="s">
        <v>4522</v>
      </c>
      <c r="AI1212" s="108" t="str">
        <f>IFERROR(__xludf.DUMMYFUNCTION("IF(OR(W1212="""",X1212="""",AE1212="""",AD1212=""""),"""",
   TEXT(
     (
       (AE1212+AD1212 + IF(AE1212+AD1212 &lt; W1212+X1212,1,0)) - (W1212+X1212)
     )
     - IF(AND(AB1212&lt;&gt;"""",AC1212&lt;&gt;""""), 
          SUM(ARRAYFORMULA(SPLIT(AC1212,"","") - SPLI"&amp;"T(AB1212,"",""))), 
          0
       ),
     ""[hh]:mm""
   )
)
"),"02:25")</f>
        <v>02:25</v>
      </c>
      <c r="AJ1212" s="109">
        <f t="shared" si="16"/>
        <v>0</v>
      </c>
      <c r="AK1212" s="110" t="str">
        <f t="shared" si="17"/>
        <v>Pass</v>
      </c>
    </row>
    <row r="1213">
      <c r="A1213" s="18">
        <v>46013.0</v>
      </c>
      <c r="B1213" s="20">
        <v>0.8305555555555556</v>
      </c>
      <c r="C1213" s="18">
        <v>46013.0</v>
      </c>
      <c r="D1213" s="20">
        <v>0.8340277777777778</v>
      </c>
      <c r="E1213" s="22" t="s">
        <v>8840</v>
      </c>
      <c r="F1213" s="22" t="s">
        <v>8841</v>
      </c>
      <c r="G1213" s="22" t="s">
        <v>8842</v>
      </c>
      <c r="H1213" s="22" t="s">
        <v>59</v>
      </c>
      <c r="I1213" s="22" t="s">
        <v>234</v>
      </c>
      <c r="J1213" s="22" t="s">
        <v>3813</v>
      </c>
      <c r="K1213" s="22" t="s">
        <v>61</v>
      </c>
      <c r="L1213" s="22" t="s">
        <v>183</v>
      </c>
      <c r="M1213" s="22" t="s">
        <v>8843</v>
      </c>
      <c r="N1213" s="22" t="s">
        <v>8844</v>
      </c>
      <c r="O1213" s="23" t="s">
        <v>8845</v>
      </c>
      <c r="P1213" s="22" t="s">
        <v>75</v>
      </c>
      <c r="Q1213" s="50" t="s">
        <v>65</v>
      </c>
      <c r="R1213" s="22" t="s">
        <v>8846</v>
      </c>
      <c r="S1213" s="22" t="s">
        <v>51</v>
      </c>
      <c r="T1213" s="22" t="s">
        <v>52</v>
      </c>
      <c r="U1213" s="22" t="s">
        <v>52</v>
      </c>
      <c r="V1213" s="22" t="s">
        <v>52</v>
      </c>
      <c r="W1213" s="18">
        <v>46013.0</v>
      </c>
      <c r="X1213" s="20">
        <v>0.8340277777777778</v>
      </c>
      <c r="Y1213" s="18">
        <v>46013.0</v>
      </c>
      <c r="Z1213" s="20">
        <v>0.8458333333333333</v>
      </c>
      <c r="AA1213" s="20">
        <v>0.8465277777777778</v>
      </c>
      <c r="AB1213" s="54"/>
      <c r="AC1213" s="54"/>
      <c r="AD1213" s="51">
        <v>0.8541666666666666</v>
      </c>
      <c r="AE1213" s="18">
        <v>46013.0</v>
      </c>
      <c r="AF1213" s="22" t="s">
        <v>7047</v>
      </c>
      <c r="AG1213" s="22" t="s">
        <v>239</v>
      </c>
      <c r="AH1213" s="22" t="s">
        <v>8847</v>
      </c>
      <c r="AI1213" s="108" t="str">
        <f>IFERROR(__xludf.DUMMYFUNCTION("IF(OR(W1213="""",X1213="""",AE1213="""",AD1213=""""),"""",
   TEXT(
     (
       (AE1213+AD1213 + IF(AE1213+AD1213 &lt; W1213+X1213,1,0)) - (W1213+X1213)
     )
     - IF(AND(AB1213&lt;&gt;"""",AC1213&lt;&gt;""""), 
          SUM(ARRAYFORMULA(SPLIT(AC1213,"","") - SPLI"&amp;"T(AB1213,"",""))), 
          0
       ),
     ""[hh]:mm""
   )
)
"),"00:29")</f>
        <v>00:29</v>
      </c>
      <c r="AJ1213" s="109">
        <f t="shared" si="16"/>
        <v>0</v>
      </c>
      <c r="AK1213" s="110" t="str">
        <f t="shared" si="17"/>
        <v>Pass</v>
      </c>
    </row>
    <row r="1214">
      <c r="A1214" s="45">
        <v>46013.0</v>
      </c>
      <c r="B1214" s="49">
        <v>0.9020833333333333</v>
      </c>
      <c r="C1214" s="45">
        <v>46013.0</v>
      </c>
      <c r="D1214" s="49">
        <v>0.9118055555555555</v>
      </c>
      <c r="E1214" s="21" t="s">
        <v>8848</v>
      </c>
      <c r="F1214" s="21" t="s">
        <v>3439</v>
      </c>
      <c r="G1214" s="21" t="s">
        <v>3440</v>
      </c>
      <c r="H1214" s="21" t="s">
        <v>156</v>
      </c>
      <c r="I1214" s="21" t="s">
        <v>131</v>
      </c>
      <c r="J1214" s="21" t="s">
        <v>2253</v>
      </c>
      <c r="K1214" s="21" t="s">
        <v>43</v>
      </c>
      <c r="L1214" s="21" t="s">
        <v>617</v>
      </c>
      <c r="M1214" s="21" t="s">
        <v>1542</v>
      </c>
      <c r="N1214" s="21" t="s">
        <v>8849</v>
      </c>
      <c r="O1214" s="48" t="s">
        <v>8850</v>
      </c>
      <c r="P1214" s="21" t="s">
        <v>75</v>
      </c>
      <c r="Q1214" s="24" t="s">
        <v>65</v>
      </c>
      <c r="R1214" s="21" t="s">
        <v>8851</v>
      </c>
      <c r="S1214" s="21" t="s">
        <v>51</v>
      </c>
      <c r="T1214" s="21" t="s">
        <v>52</v>
      </c>
      <c r="U1214" s="21" t="s">
        <v>52</v>
      </c>
      <c r="V1214" s="21" t="s">
        <v>52</v>
      </c>
      <c r="W1214" s="45">
        <v>46014.0</v>
      </c>
      <c r="X1214" s="49">
        <v>0.375</v>
      </c>
      <c r="Y1214" s="45">
        <v>46014.0</v>
      </c>
      <c r="Z1214" s="49">
        <v>0.4222222222222222</v>
      </c>
      <c r="AA1214" s="49">
        <v>0.43333333333333335</v>
      </c>
      <c r="AB1214" s="29"/>
      <c r="AC1214" s="29"/>
      <c r="AD1214" s="25">
        <v>0.46944444444444444</v>
      </c>
      <c r="AE1214" s="45">
        <v>46014.0</v>
      </c>
      <c r="AF1214" s="21" t="s">
        <v>2839</v>
      </c>
      <c r="AG1214" s="21" t="s">
        <v>3197</v>
      </c>
      <c r="AH1214" s="21" t="s">
        <v>8852</v>
      </c>
      <c r="AI1214" s="108" t="str">
        <f>IFERROR(__xludf.DUMMYFUNCTION("IF(OR(W1214="""",X1214="""",AE1214="""",AD1214=""""),"""",
   TEXT(
     (
       (AE1214+AD1214 + IF(AE1214+AD1214 &lt; W1214+X1214,1,0)) - (W1214+X1214)
     )
     - IF(AND(AB1214&lt;&gt;"""",AC1214&lt;&gt;""""), 
          SUM(ARRAYFORMULA(SPLIT(AC1214,"","") - SPLI"&amp;"T(AB1214,"",""))), 
          0
       ),
     ""[hh]:mm""
   )
)
"),"02:16")</f>
        <v>02:16</v>
      </c>
      <c r="AJ1214" s="109">
        <f t="shared" si="16"/>
        <v>0</v>
      </c>
      <c r="AK1214" s="110" t="str">
        <f t="shared" si="17"/>
        <v>Pass</v>
      </c>
    </row>
    <row r="1215">
      <c r="A1215" s="18">
        <v>46013.0</v>
      </c>
      <c r="B1215" s="20">
        <v>0.9055555555555556</v>
      </c>
      <c r="C1215" s="18">
        <v>46013.0</v>
      </c>
      <c r="D1215" s="20">
        <v>0.9180555555555555</v>
      </c>
      <c r="E1215" s="22" t="s">
        <v>8853</v>
      </c>
      <c r="F1215" s="22" t="s">
        <v>8203</v>
      </c>
      <c r="G1215" s="22" t="s">
        <v>8204</v>
      </c>
      <c r="H1215" s="22" t="s">
        <v>566</v>
      </c>
      <c r="I1215" s="22" t="s">
        <v>95</v>
      </c>
      <c r="J1215" s="22" t="s">
        <v>95</v>
      </c>
      <c r="K1215" s="22" t="s">
        <v>143</v>
      </c>
      <c r="L1215" s="22" t="s">
        <v>606</v>
      </c>
      <c r="M1215" s="22" t="s">
        <v>8854</v>
      </c>
      <c r="N1215" s="22" t="s">
        <v>8855</v>
      </c>
      <c r="O1215" s="23" t="s">
        <v>8856</v>
      </c>
      <c r="P1215" s="22" t="s">
        <v>48</v>
      </c>
      <c r="Q1215" s="50" t="s">
        <v>65</v>
      </c>
      <c r="R1215" s="22" t="s">
        <v>8857</v>
      </c>
      <c r="S1215" s="22" t="s">
        <v>51</v>
      </c>
      <c r="T1215" s="22" t="s">
        <v>52</v>
      </c>
      <c r="U1215" s="22" t="s">
        <v>52</v>
      </c>
      <c r="V1215" s="22" t="s">
        <v>52</v>
      </c>
      <c r="W1215" s="18">
        <v>46014.0</v>
      </c>
      <c r="X1215" s="20">
        <v>0.375</v>
      </c>
      <c r="Y1215" s="18">
        <v>46014.0</v>
      </c>
      <c r="Z1215" s="20">
        <v>0.6715277777777777</v>
      </c>
      <c r="AA1215" s="20">
        <v>0.6770833333333334</v>
      </c>
      <c r="AB1215" s="54"/>
      <c r="AC1215" s="54"/>
      <c r="AD1215" s="51">
        <v>0.68125</v>
      </c>
      <c r="AE1215" s="18">
        <v>46014.0</v>
      </c>
      <c r="AF1215" s="22" t="s">
        <v>2839</v>
      </c>
      <c r="AG1215" s="22" t="s">
        <v>8210</v>
      </c>
      <c r="AH1215" s="22" t="s">
        <v>8858</v>
      </c>
      <c r="AI1215" s="108" t="str">
        <f>IFERROR(__xludf.DUMMYFUNCTION("IF(OR(W1215="""",X1215="""",AE1215="""",AD1215=""""),"""",
   TEXT(
     (
       (AE1215+AD1215 + IF(AE1215+AD1215 &lt; W1215+X1215,1,0)) - (W1215+X1215)
     )
     - IF(AND(AB1215&lt;&gt;"""",AC1215&lt;&gt;""""), 
          SUM(ARRAYFORMULA(SPLIT(AC1215,"","") - SPLI"&amp;"T(AB1215,"",""))), 
          0
       ),
     ""[hh]:mm""
   )
)
"),"07:21")</f>
        <v>07:21</v>
      </c>
      <c r="AJ1215" s="109">
        <f t="shared" si="16"/>
        <v>0</v>
      </c>
      <c r="AK1215" s="110" t="str">
        <f t="shared" si="17"/>
        <v>Pass</v>
      </c>
    </row>
    <row r="1216">
      <c r="A1216" s="18">
        <v>46013.0</v>
      </c>
      <c r="B1216" s="20">
        <v>0.9638888888888889</v>
      </c>
      <c r="C1216" s="18">
        <v>46014.0</v>
      </c>
      <c r="D1216" s="20">
        <v>0.29444444444444445</v>
      </c>
      <c r="E1216" s="22" t="s">
        <v>8859</v>
      </c>
      <c r="F1216" s="22" t="s">
        <v>1127</v>
      </c>
      <c r="G1216" s="22" t="s">
        <v>8860</v>
      </c>
      <c r="H1216" s="22" t="s">
        <v>566</v>
      </c>
      <c r="I1216" s="22" t="s">
        <v>644</v>
      </c>
      <c r="J1216" s="22" t="s">
        <v>644</v>
      </c>
      <c r="K1216" s="22" t="s">
        <v>333</v>
      </c>
      <c r="L1216" s="22" t="s">
        <v>8861</v>
      </c>
      <c r="M1216" s="22" t="s">
        <v>7125</v>
      </c>
      <c r="N1216" s="22" t="s">
        <v>8862</v>
      </c>
      <c r="O1216" s="23" t="s">
        <v>8863</v>
      </c>
      <c r="P1216" s="22" t="s">
        <v>48</v>
      </c>
      <c r="Q1216" s="50" t="s">
        <v>65</v>
      </c>
      <c r="R1216" s="22" t="s">
        <v>8864</v>
      </c>
      <c r="S1216" s="22" t="s">
        <v>51</v>
      </c>
      <c r="T1216" s="22" t="s">
        <v>52</v>
      </c>
      <c r="U1216" s="22" t="s">
        <v>52</v>
      </c>
      <c r="V1216" s="22" t="s">
        <v>52</v>
      </c>
      <c r="W1216" s="18">
        <v>46014.0</v>
      </c>
      <c r="X1216" s="20">
        <v>0.29444444444444445</v>
      </c>
      <c r="Y1216" s="18">
        <v>46014.0</v>
      </c>
      <c r="Z1216" s="20">
        <v>0.6631944444444444</v>
      </c>
      <c r="AA1216" s="20">
        <v>0.6666666666666666</v>
      </c>
      <c r="AB1216" s="54"/>
      <c r="AC1216" s="54"/>
      <c r="AD1216" s="51">
        <v>0.75</v>
      </c>
      <c r="AE1216" s="18">
        <v>46014.0</v>
      </c>
      <c r="AF1216" s="22" t="s">
        <v>2839</v>
      </c>
      <c r="AG1216" s="22" t="s">
        <v>284</v>
      </c>
      <c r="AH1216" s="22" t="s">
        <v>8865</v>
      </c>
      <c r="AI1216" s="108" t="str">
        <f>IFERROR(__xludf.DUMMYFUNCTION("IF(OR(W1216="""",X1216="""",AE1216="""",AD1216=""""),"""",
   TEXT(
     (
       (AE1216+AD1216 + IF(AE1216+AD1216 &lt; W1216+X1216,1,0)) - (W1216+X1216)
     )
     - IF(AND(AB1216&lt;&gt;"""",AC1216&lt;&gt;""""), 
          SUM(ARRAYFORMULA(SPLIT(AC1216,"","") - SPLI"&amp;"T(AB1216,"",""))), 
          0
       ),
     ""[hh]:mm""
   )
)
"),"10:56")</f>
        <v>10:56</v>
      </c>
      <c r="AJ1216" s="109">
        <f t="shared" si="16"/>
        <v>0</v>
      </c>
      <c r="AK1216" s="110" t="str">
        <f t="shared" si="17"/>
        <v>Pass</v>
      </c>
    </row>
    <row r="1217">
      <c r="A1217" s="18">
        <v>46013.0</v>
      </c>
      <c r="B1217" s="20">
        <v>0.5270833333333333</v>
      </c>
      <c r="C1217" s="18">
        <v>46014.0</v>
      </c>
      <c r="D1217" s="20">
        <v>0.2972222222222222</v>
      </c>
      <c r="E1217" s="22" t="s">
        <v>8866</v>
      </c>
      <c r="F1217" s="22" t="s">
        <v>2369</v>
      </c>
      <c r="G1217" s="22" t="s">
        <v>8867</v>
      </c>
      <c r="H1217" s="22" t="s">
        <v>156</v>
      </c>
      <c r="I1217" s="22" t="s">
        <v>616</v>
      </c>
      <c r="J1217" s="22" t="s">
        <v>2253</v>
      </c>
      <c r="K1217" s="22" t="s">
        <v>43</v>
      </c>
      <c r="L1217" s="22" t="s">
        <v>805</v>
      </c>
      <c r="M1217" s="22" t="s">
        <v>8868</v>
      </c>
      <c r="N1217" s="22" t="s">
        <v>8869</v>
      </c>
      <c r="O1217" s="23" t="s">
        <v>8870</v>
      </c>
      <c r="P1217" s="22" t="s">
        <v>75</v>
      </c>
      <c r="Q1217" s="50" t="s">
        <v>65</v>
      </c>
      <c r="R1217" s="102" t="s">
        <v>8751</v>
      </c>
      <c r="S1217" s="22" t="s">
        <v>51</v>
      </c>
      <c r="T1217" s="22" t="s">
        <v>6676</v>
      </c>
      <c r="U1217" s="22" t="s">
        <v>8225</v>
      </c>
      <c r="V1217" s="22" t="s">
        <v>8868</v>
      </c>
      <c r="W1217" s="18">
        <v>46014.0</v>
      </c>
      <c r="X1217" s="20">
        <v>0.2972222222222222</v>
      </c>
      <c r="Y1217" s="18">
        <v>46014.0</v>
      </c>
      <c r="Z1217" s="20">
        <v>0.5694444444444444</v>
      </c>
      <c r="AA1217" s="20">
        <v>0.5701388888888889</v>
      </c>
      <c r="AB1217" s="51">
        <v>0.5868055555555556</v>
      </c>
      <c r="AC1217" s="51">
        <v>0.7013888888888888</v>
      </c>
      <c r="AD1217" s="51">
        <v>0.71875</v>
      </c>
      <c r="AE1217" s="18">
        <v>46014.0</v>
      </c>
      <c r="AF1217" s="22" t="s">
        <v>2839</v>
      </c>
      <c r="AG1217" s="22" t="s">
        <v>3328</v>
      </c>
      <c r="AH1217" s="22" t="s">
        <v>8871</v>
      </c>
      <c r="AI1217" s="108" t="str">
        <f>IFERROR(__xludf.DUMMYFUNCTION("IF(OR(W1217="""",X1217="""",AE1217="""",AD1217=""""),"""",
   TEXT(
     (
       (AE1217+AD1217 + IF(AE1217+AD1217 &lt; W1217+X1217,1,0)) - (W1217+X1217)
     )
     - IF(AND(AB1217&lt;&gt;"""",AC1217&lt;&gt;""""), 
          SUM(ARRAYFORMULA(SPLIT(AC1217,"","") - SPLI"&amp;"T(AB1217,"",""))), 
          0
       ),
     ""[hh]:mm""
   )
)
"),"07:22")</f>
        <v>07:22</v>
      </c>
      <c r="AJ1217" s="109">
        <f t="shared" si="16"/>
        <v>0</v>
      </c>
      <c r="AK1217" s="110" t="str">
        <f t="shared" si="17"/>
        <v>Pass</v>
      </c>
    </row>
    <row r="1218">
      <c r="A1218" s="45">
        <v>46014.0</v>
      </c>
      <c r="B1218" s="49">
        <v>0.10138888888888889</v>
      </c>
      <c r="C1218" s="45">
        <v>46014.0</v>
      </c>
      <c r="D1218" s="49">
        <v>0.3013888888888889</v>
      </c>
      <c r="E1218" s="21" t="s">
        <v>8872</v>
      </c>
      <c r="F1218" s="21" t="s">
        <v>8873</v>
      </c>
      <c r="G1218" s="21" t="s">
        <v>8874</v>
      </c>
      <c r="H1218" s="21" t="s">
        <v>1610</v>
      </c>
      <c r="I1218" s="21" t="s">
        <v>1612</v>
      </c>
      <c r="J1218" s="21" t="s">
        <v>1612</v>
      </c>
      <c r="K1218" s="21" t="s">
        <v>143</v>
      </c>
      <c r="L1218" s="21" t="s">
        <v>5189</v>
      </c>
      <c r="M1218" s="21" t="s">
        <v>8875</v>
      </c>
      <c r="N1218" s="21" t="s">
        <v>8876</v>
      </c>
      <c r="O1218" s="48" t="s">
        <v>8877</v>
      </c>
      <c r="P1218" s="21" t="s">
        <v>187</v>
      </c>
      <c r="Q1218" s="24" t="s">
        <v>65</v>
      </c>
      <c r="R1218" s="21" t="s">
        <v>8878</v>
      </c>
      <c r="S1218" s="21" t="s">
        <v>51</v>
      </c>
      <c r="T1218" s="21" t="s">
        <v>52</v>
      </c>
      <c r="U1218" s="21" t="s">
        <v>52</v>
      </c>
      <c r="V1218" s="21" t="s">
        <v>52</v>
      </c>
      <c r="W1218" s="45">
        <v>46014.0</v>
      </c>
      <c r="X1218" s="49">
        <v>0.3013888888888889</v>
      </c>
      <c r="Y1218" s="45">
        <v>46014.0</v>
      </c>
      <c r="Z1218" s="49">
        <v>0.41597222222222224</v>
      </c>
      <c r="AA1218" s="49">
        <v>0.4201388888888889</v>
      </c>
      <c r="AB1218" s="29"/>
      <c r="AC1218" s="29"/>
      <c r="AD1218" s="25">
        <v>0.5104166666666666</v>
      </c>
      <c r="AE1218" s="45">
        <v>46014.0</v>
      </c>
      <c r="AF1218" s="21" t="s">
        <v>6944</v>
      </c>
      <c r="AG1218" s="21" t="s">
        <v>113</v>
      </c>
      <c r="AH1218" s="21" t="s">
        <v>8879</v>
      </c>
      <c r="AI1218" s="108" t="str">
        <f>IFERROR(__xludf.DUMMYFUNCTION("IF(OR(W1218="""",X1218="""",AE1218="""",AD1218=""""),"""",
   TEXT(
     (
       (AE1218+AD1218 + IF(AE1218+AD1218 &lt; W1218+X1218,1,0)) - (W1218+X1218)
     )
     - IF(AND(AB1218&lt;&gt;"""",AC1218&lt;&gt;""""), 
          SUM(ARRAYFORMULA(SPLIT(AC1218,"","") - SPLI"&amp;"T(AB1218,"",""))), 
          0
       ),
     ""[hh]:mm""
   )
)
"),"05:01")</f>
        <v>05:01</v>
      </c>
      <c r="AJ1218" s="109">
        <f t="shared" si="16"/>
        <v>0</v>
      </c>
      <c r="AK1218" s="110" t="str">
        <f t="shared" si="17"/>
        <v>Pass</v>
      </c>
    </row>
    <row r="1219">
      <c r="A1219" s="45">
        <v>46014.0</v>
      </c>
      <c r="B1219" s="49">
        <v>0.2611111111111111</v>
      </c>
      <c r="C1219" s="45">
        <v>46014.0</v>
      </c>
      <c r="D1219" s="49">
        <v>0.3055555555555556</v>
      </c>
      <c r="E1219" s="21" t="s">
        <v>8880</v>
      </c>
      <c r="F1219" s="21" t="s">
        <v>905</v>
      </c>
      <c r="G1219" s="21" t="s">
        <v>1161</v>
      </c>
      <c r="H1219" s="21" t="s">
        <v>566</v>
      </c>
      <c r="I1219" s="21" t="s">
        <v>41</v>
      </c>
      <c r="J1219" s="21" t="s">
        <v>951</v>
      </c>
      <c r="K1219" s="21" t="s">
        <v>43</v>
      </c>
      <c r="L1219" s="21" t="s">
        <v>2471</v>
      </c>
      <c r="M1219" s="21" t="s">
        <v>8881</v>
      </c>
      <c r="N1219" s="21" t="s">
        <v>8882</v>
      </c>
      <c r="O1219" s="48" t="s">
        <v>8883</v>
      </c>
      <c r="P1219" s="21" t="s">
        <v>48</v>
      </c>
      <c r="Q1219" s="24" t="s">
        <v>49</v>
      </c>
      <c r="R1219" s="21" t="s">
        <v>8884</v>
      </c>
      <c r="S1219" s="21" t="s">
        <v>51</v>
      </c>
      <c r="T1219" s="21" t="s">
        <v>52</v>
      </c>
      <c r="U1219" s="21" t="s">
        <v>52</v>
      </c>
      <c r="V1219" s="21" t="s">
        <v>52</v>
      </c>
      <c r="W1219" s="45">
        <v>46014.0</v>
      </c>
      <c r="X1219" s="49">
        <v>0.3055555555555556</v>
      </c>
      <c r="Y1219" s="45">
        <v>46014.0</v>
      </c>
      <c r="Z1219" s="49">
        <v>0.4583333333333333</v>
      </c>
      <c r="AA1219" s="49">
        <v>0.4652777777777778</v>
      </c>
      <c r="AB1219" s="24" t="s">
        <v>8885</v>
      </c>
      <c r="AC1219" s="24" t="s">
        <v>8886</v>
      </c>
      <c r="AD1219" s="25">
        <v>0.5486111111111112</v>
      </c>
      <c r="AE1219" s="45">
        <v>46014.0</v>
      </c>
      <c r="AF1219" s="21" t="s">
        <v>3218</v>
      </c>
      <c r="AG1219" s="21" t="s">
        <v>293</v>
      </c>
      <c r="AH1219" s="21" t="s">
        <v>8887</v>
      </c>
      <c r="AI1219" s="108" t="str">
        <f>IFERROR(__xludf.DUMMYFUNCTION("IF(OR(W1219="""",X1219="""",AE1219="""",AD1219=""""),"""",
   TEXT(
     (
       (AE1219+AD1219 + IF(AE1219+AD1219 &lt; W1219+X1219,1,0)) - (W1219+X1219)
     )
     - IF(AND(AB1219&lt;&gt;"""",AC1219&lt;&gt;""""), 
          SUM(ARRAYFORMULA(SPLIT(AC1219,"","") - SPLI"&amp;"T(AB1219,"",""))), 
          0
       ),
     ""[hh]:mm""
   )
)
"),"03:55")</f>
        <v>03:55</v>
      </c>
      <c r="AJ1219" s="109">
        <f t="shared" si="16"/>
        <v>0</v>
      </c>
      <c r="AK1219" s="110" t="str">
        <f t="shared" si="17"/>
        <v>Pass</v>
      </c>
    </row>
    <row r="1220">
      <c r="A1220" s="45">
        <v>46014.0</v>
      </c>
      <c r="B1220" s="49">
        <v>0.3215277777777778</v>
      </c>
      <c r="C1220" s="45">
        <v>46014.0</v>
      </c>
      <c r="D1220" s="49">
        <v>0.3229166666666667</v>
      </c>
      <c r="E1220" s="21" t="s">
        <v>8888</v>
      </c>
      <c r="F1220" s="21" t="s">
        <v>3439</v>
      </c>
      <c r="G1220" s="21" t="s">
        <v>3440</v>
      </c>
      <c r="H1220" s="21" t="s">
        <v>40</v>
      </c>
      <c r="I1220" s="21" t="s">
        <v>234</v>
      </c>
      <c r="J1220" s="21" t="s">
        <v>3806</v>
      </c>
      <c r="K1220" s="21" t="s">
        <v>43</v>
      </c>
      <c r="L1220" s="21" t="s">
        <v>43</v>
      </c>
      <c r="M1220" s="21" t="s">
        <v>8889</v>
      </c>
      <c r="N1220" s="21" t="s">
        <v>8890</v>
      </c>
      <c r="O1220" s="48" t="s">
        <v>8891</v>
      </c>
      <c r="P1220" s="21" t="s">
        <v>48</v>
      </c>
      <c r="Q1220" s="24" t="s">
        <v>65</v>
      </c>
      <c r="R1220" s="21" t="s">
        <v>8892</v>
      </c>
      <c r="S1220" s="21" t="s">
        <v>51</v>
      </c>
      <c r="T1220" s="21" t="s">
        <v>52</v>
      </c>
      <c r="U1220" s="21" t="s">
        <v>52</v>
      </c>
      <c r="V1220" s="21" t="s">
        <v>52</v>
      </c>
      <c r="W1220" s="45">
        <v>46014.0</v>
      </c>
      <c r="X1220" s="49">
        <v>0.3229166666666667</v>
      </c>
      <c r="Y1220" s="45">
        <v>46014.0</v>
      </c>
      <c r="Z1220" s="49">
        <v>0.4222222222222222</v>
      </c>
      <c r="AA1220" s="49">
        <v>0.4222222222222222</v>
      </c>
      <c r="AB1220" s="29"/>
      <c r="AC1220" s="29"/>
      <c r="AD1220" s="25">
        <v>0.43333333333333335</v>
      </c>
      <c r="AE1220" s="45">
        <v>46014.0</v>
      </c>
      <c r="AF1220" s="21" t="s">
        <v>2931</v>
      </c>
      <c r="AG1220" s="21" t="s">
        <v>3955</v>
      </c>
      <c r="AH1220" s="21" t="s">
        <v>8852</v>
      </c>
      <c r="AI1220" s="108" t="str">
        <f>IFERROR(__xludf.DUMMYFUNCTION("IF(OR(W1220="""",X1220="""",AE1220="""",AD1220=""""),"""",
   TEXT(
     (
       (AE1220+AD1220 + IF(AE1220+AD1220 &lt; W1220+X1220,1,0)) - (W1220+X1220)
     )
     - IF(AND(AB1220&lt;&gt;"""",AC1220&lt;&gt;""""), 
          SUM(ARRAYFORMULA(SPLIT(AC1220,"","") - SPLI"&amp;"T(AB1220,"",""))), 
          0
       ),
     ""[hh]:mm""
   )
)
"),"02:39")</f>
        <v>02:39</v>
      </c>
      <c r="AJ1220" s="109">
        <f t="shared" si="16"/>
        <v>0</v>
      </c>
      <c r="AK1220" s="110" t="str">
        <f t="shared" si="17"/>
        <v>Pass</v>
      </c>
    </row>
    <row r="1221">
      <c r="A1221" s="45">
        <v>46013.0</v>
      </c>
      <c r="B1221" s="49">
        <v>0.7895833333333333</v>
      </c>
      <c r="C1221" s="45">
        <v>46014.0</v>
      </c>
      <c r="D1221" s="49">
        <v>0.3729166666666667</v>
      </c>
      <c r="E1221" s="21" t="s">
        <v>8893</v>
      </c>
      <c r="F1221" s="21" t="s">
        <v>3211</v>
      </c>
      <c r="G1221" s="21" t="s">
        <v>3212</v>
      </c>
      <c r="H1221" s="21" t="s">
        <v>2248</v>
      </c>
      <c r="I1221" s="21" t="s">
        <v>131</v>
      </c>
      <c r="J1221" s="21" t="s">
        <v>2253</v>
      </c>
      <c r="K1221" s="21" t="s">
        <v>43</v>
      </c>
      <c r="L1221" s="21" t="s">
        <v>8894</v>
      </c>
      <c r="M1221" s="21" t="s">
        <v>4278</v>
      </c>
      <c r="N1221" s="21" t="s">
        <v>8895</v>
      </c>
      <c r="O1221" s="48" t="s">
        <v>8896</v>
      </c>
      <c r="P1221" s="21" t="s">
        <v>75</v>
      </c>
      <c r="Q1221" s="24" t="s">
        <v>65</v>
      </c>
      <c r="R1221" s="102" t="s">
        <v>8751</v>
      </c>
      <c r="S1221" s="21" t="s">
        <v>51</v>
      </c>
      <c r="T1221" s="21" t="s">
        <v>6676</v>
      </c>
      <c r="U1221" s="21" t="s">
        <v>8897</v>
      </c>
      <c r="V1221" s="21" t="s">
        <v>4278</v>
      </c>
      <c r="W1221" s="45">
        <v>46014.0</v>
      </c>
      <c r="X1221" s="49">
        <v>0.3729166666666667</v>
      </c>
      <c r="Y1221" s="45">
        <v>46014.0</v>
      </c>
      <c r="Z1221" s="49">
        <v>0.38958333333333334</v>
      </c>
      <c r="AA1221" s="49">
        <v>0.3902777777777778</v>
      </c>
      <c r="AB1221" s="25">
        <v>0.3909722222222222</v>
      </c>
      <c r="AC1221" s="25">
        <v>0.44583333333333336</v>
      </c>
      <c r="AD1221" s="25">
        <v>0.4583333333333333</v>
      </c>
      <c r="AE1221" s="45">
        <v>46014.0</v>
      </c>
      <c r="AF1221" s="21" t="s">
        <v>2839</v>
      </c>
      <c r="AG1221" s="21" t="s">
        <v>1475</v>
      </c>
      <c r="AH1221" s="21" t="s">
        <v>8898</v>
      </c>
      <c r="AI1221" s="108" t="str">
        <f>IFERROR(__xludf.DUMMYFUNCTION("IF(OR(W1221="""",X1221="""",AE1221="""",AD1221=""""),"""",
   TEXT(
     (
       (AE1221+AD1221 + IF(AE1221+AD1221 &lt; W1221+X1221,1,0)) - (W1221+X1221)
     )
     - IF(AND(AB1221&lt;&gt;"""",AC1221&lt;&gt;""""), 
          SUM(ARRAYFORMULA(SPLIT(AC1221,"","") - SPLI"&amp;"T(AB1221,"",""))), 
          0
       ),
     ""[hh]:mm""
   )
)
"),"00:44")</f>
        <v>00:44</v>
      </c>
      <c r="AJ1221" s="109">
        <f t="shared" si="16"/>
        <v>0</v>
      </c>
      <c r="AK1221" s="110" t="str">
        <f t="shared" si="17"/>
        <v>Pass</v>
      </c>
    </row>
    <row r="1222">
      <c r="A1222" s="45">
        <v>46010.0</v>
      </c>
      <c r="B1222" s="49">
        <v>0.24861111111111112</v>
      </c>
      <c r="C1222" s="45">
        <v>46014.0</v>
      </c>
      <c r="D1222" s="49">
        <v>0.3729166666666667</v>
      </c>
      <c r="E1222" s="21" t="s">
        <v>8899</v>
      </c>
      <c r="F1222" s="21" t="s">
        <v>812</v>
      </c>
      <c r="G1222" s="21" t="s">
        <v>813</v>
      </c>
      <c r="H1222" s="21" t="s">
        <v>156</v>
      </c>
      <c r="I1222" s="21" t="s">
        <v>234</v>
      </c>
      <c r="J1222" s="21" t="s">
        <v>3806</v>
      </c>
      <c r="K1222" s="21" t="s">
        <v>43</v>
      </c>
      <c r="L1222" s="21" t="s">
        <v>805</v>
      </c>
      <c r="M1222" s="21" t="s">
        <v>8900</v>
      </c>
      <c r="N1222" s="21" t="s">
        <v>8901</v>
      </c>
      <c r="O1222" s="48" t="s">
        <v>8902</v>
      </c>
      <c r="P1222" s="21" t="s">
        <v>75</v>
      </c>
      <c r="Q1222" s="24" t="s">
        <v>65</v>
      </c>
      <c r="R1222" s="102" t="s">
        <v>8751</v>
      </c>
      <c r="S1222" s="21" t="s">
        <v>51</v>
      </c>
      <c r="T1222" s="21" t="s">
        <v>6676</v>
      </c>
      <c r="U1222" s="21" t="s">
        <v>8903</v>
      </c>
      <c r="V1222" s="21" t="s">
        <v>8900</v>
      </c>
      <c r="W1222" s="45">
        <v>46014.0</v>
      </c>
      <c r="X1222" s="49">
        <v>0.3729166666666667</v>
      </c>
      <c r="Y1222" s="45">
        <v>46014.0</v>
      </c>
      <c r="Z1222" s="49">
        <v>0.4375</v>
      </c>
      <c r="AA1222" s="49">
        <v>0.4409722222222222</v>
      </c>
      <c r="AB1222" s="25">
        <v>0.45</v>
      </c>
      <c r="AC1222" s="25">
        <v>0.51875</v>
      </c>
      <c r="AD1222" s="25">
        <v>0.5416666666666666</v>
      </c>
      <c r="AE1222" s="45">
        <v>46014.0</v>
      </c>
      <c r="AF1222" s="21" t="s">
        <v>3218</v>
      </c>
      <c r="AG1222" s="21" t="s">
        <v>3328</v>
      </c>
      <c r="AH1222" s="21" t="s">
        <v>8904</v>
      </c>
      <c r="AI1222" s="108" t="str">
        <f>IFERROR(__xludf.DUMMYFUNCTION("IF(OR(W1222="""",X1222="""",AE1222="""",AD1222=""""),"""",
   TEXT(
     (
       (AE1222+AD1222 + IF(AE1222+AD1222 &lt; W1222+X1222,1,0)) - (W1222+X1222)
     )
     - IF(AND(AB1222&lt;&gt;"""",AC1222&lt;&gt;""""), 
          SUM(ARRAYFORMULA(SPLIT(AC1222,"","") - SPLI"&amp;"T(AB1222,"",""))), 
          0
       ),
     ""[hh]:mm""
   )
)
"),"02:24")</f>
        <v>02:24</v>
      </c>
      <c r="AJ1222" s="109">
        <f t="shared" si="16"/>
        <v>0</v>
      </c>
      <c r="AK1222" s="110" t="str">
        <f t="shared" si="17"/>
        <v>Pass</v>
      </c>
    </row>
    <row r="1223">
      <c r="A1223" s="18">
        <v>46014.0</v>
      </c>
      <c r="B1223" s="20">
        <v>0.5097222222222222</v>
      </c>
      <c r="C1223" s="18">
        <v>46014.0</v>
      </c>
      <c r="D1223" s="20">
        <v>0.5243055555555556</v>
      </c>
      <c r="E1223" s="22" t="s">
        <v>8905</v>
      </c>
      <c r="F1223" s="22" t="s">
        <v>1964</v>
      </c>
      <c r="G1223" s="22" t="s">
        <v>8906</v>
      </c>
      <c r="H1223" s="22" t="s">
        <v>377</v>
      </c>
      <c r="I1223" s="22" t="s">
        <v>60</v>
      </c>
      <c r="J1223" s="22" t="s">
        <v>3813</v>
      </c>
      <c r="K1223" s="22" t="s">
        <v>61</v>
      </c>
      <c r="L1223" s="22" t="s">
        <v>183</v>
      </c>
      <c r="M1223" s="22" t="s">
        <v>8907</v>
      </c>
      <c r="N1223" s="22" t="s">
        <v>2969</v>
      </c>
      <c r="O1223" s="23" t="s">
        <v>8908</v>
      </c>
      <c r="P1223" s="22" t="s">
        <v>75</v>
      </c>
      <c r="Q1223" s="50" t="s">
        <v>65</v>
      </c>
      <c r="R1223" s="22" t="s">
        <v>8909</v>
      </c>
      <c r="S1223" s="22" t="s">
        <v>51</v>
      </c>
      <c r="T1223" s="22" t="s">
        <v>52</v>
      </c>
      <c r="U1223" s="22" t="s">
        <v>52</v>
      </c>
      <c r="V1223" s="22" t="s">
        <v>52</v>
      </c>
      <c r="W1223" s="18">
        <v>46014.0</v>
      </c>
      <c r="X1223" s="20">
        <v>0.5243055555555556</v>
      </c>
      <c r="Y1223" s="18">
        <v>46014.0</v>
      </c>
      <c r="Z1223" s="20">
        <v>0.6576388888888889</v>
      </c>
      <c r="AA1223" s="20">
        <v>0.6597222222222222</v>
      </c>
      <c r="AB1223" s="51">
        <v>0.6597222222222222</v>
      </c>
      <c r="AC1223" s="51">
        <v>0.6666666666666666</v>
      </c>
      <c r="AD1223" s="51">
        <v>0.7083333333333334</v>
      </c>
      <c r="AE1223" s="18">
        <v>46014.0</v>
      </c>
      <c r="AF1223" s="22" t="s">
        <v>8910</v>
      </c>
      <c r="AG1223" s="22" t="s">
        <v>239</v>
      </c>
      <c r="AH1223" s="22" t="s">
        <v>8911</v>
      </c>
      <c r="AI1223" s="108" t="str">
        <f>IFERROR(__xludf.DUMMYFUNCTION("IF(OR(W1223="""",X1223="""",AE1223="""",AD1223=""""),"""",
   TEXT(
     (
       (AE1223+AD1223 + IF(AE1223+AD1223 &lt; W1223+X1223,1,0)) - (W1223+X1223)
     )
     - IF(AND(AB1223&lt;&gt;"""",AC1223&lt;&gt;""""), 
          SUM(ARRAYFORMULA(SPLIT(AC1223,"","") - SPLI"&amp;"T(AB1223,"",""))), 
          0
       ),
     ""[hh]:mm""
   )
)
"),"04:15")</f>
        <v>04:15</v>
      </c>
      <c r="AJ1223" s="109">
        <f t="shared" si="16"/>
        <v>0</v>
      </c>
      <c r="AK1223" s="110" t="str">
        <f t="shared" si="17"/>
        <v>Pass</v>
      </c>
    </row>
    <row r="1224">
      <c r="A1224" s="18">
        <v>46014.0</v>
      </c>
      <c r="B1224" s="20">
        <v>0.5291666666666667</v>
      </c>
      <c r="C1224" s="18">
        <v>46014.0</v>
      </c>
      <c r="D1224" s="20">
        <v>0.5381944444444444</v>
      </c>
      <c r="E1224" s="22" t="s">
        <v>8912</v>
      </c>
      <c r="F1224" s="22" t="s">
        <v>6821</v>
      </c>
      <c r="G1224" s="22" t="s">
        <v>6822</v>
      </c>
      <c r="H1224" s="22" t="s">
        <v>1610</v>
      </c>
      <c r="I1224" s="22" t="s">
        <v>1612</v>
      </c>
      <c r="J1224" s="22" t="s">
        <v>1612</v>
      </c>
      <c r="K1224" s="22" t="s">
        <v>143</v>
      </c>
      <c r="L1224" s="22" t="s">
        <v>1613</v>
      </c>
      <c r="M1224" s="22" t="s">
        <v>8913</v>
      </c>
      <c r="N1224" s="22" t="s">
        <v>8914</v>
      </c>
      <c r="O1224" s="23" t="s">
        <v>8915</v>
      </c>
      <c r="P1224" s="22" t="s">
        <v>187</v>
      </c>
      <c r="Q1224" s="50" t="s">
        <v>65</v>
      </c>
      <c r="R1224" s="22" t="s">
        <v>8916</v>
      </c>
      <c r="S1224" s="22" t="s">
        <v>51</v>
      </c>
      <c r="T1224" s="22" t="s">
        <v>52</v>
      </c>
      <c r="U1224" s="22" t="s">
        <v>52</v>
      </c>
      <c r="V1224" s="22" t="s">
        <v>52</v>
      </c>
      <c r="W1224" s="18">
        <v>46014.0</v>
      </c>
      <c r="X1224" s="20">
        <v>0.5381944444444444</v>
      </c>
      <c r="Y1224" s="18">
        <v>46014.0</v>
      </c>
      <c r="Z1224" s="20">
        <v>0.6215277777777778</v>
      </c>
      <c r="AA1224" s="20">
        <v>0.625</v>
      </c>
      <c r="AB1224" s="54"/>
      <c r="AC1224" s="54"/>
      <c r="AD1224" s="51">
        <v>0.6541666666666667</v>
      </c>
      <c r="AE1224" s="18">
        <v>46014.0</v>
      </c>
      <c r="AF1224" s="22" t="s">
        <v>2931</v>
      </c>
      <c r="AG1224" s="22" t="s">
        <v>8917</v>
      </c>
      <c r="AH1224" s="22" t="s">
        <v>8918</v>
      </c>
      <c r="AI1224" s="108" t="str">
        <f>IFERROR(__xludf.DUMMYFUNCTION("IF(OR(W1224="""",X1224="""",AE1224="""",AD1224=""""),"""",
   TEXT(
     (
       (AE1224+AD1224 + IF(AE1224+AD1224 &lt; W1224+X1224,1,0)) - (W1224+X1224)
     )
     - IF(AND(AB1224&lt;&gt;"""",AC1224&lt;&gt;""""), 
          SUM(ARRAYFORMULA(SPLIT(AC1224,"","") - SPLI"&amp;"T(AB1224,"",""))), 
          0
       ),
     ""[hh]:mm""
   )
)
"),"02:47")</f>
        <v>02:47</v>
      </c>
      <c r="AJ1224" s="109">
        <f t="shared" si="16"/>
        <v>0</v>
      </c>
      <c r="AK1224" s="110" t="str">
        <f t="shared" si="17"/>
        <v>Pass</v>
      </c>
    </row>
    <row r="1225">
      <c r="A1225" s="18">
        <v>46014.0</v>
      </c>
      <c r="B1225" s="20">
        <v>0.6152777777777778</v>
      </c>
      <c r="C1225" s="18">
        <v>46014.0</v>
      </c>
      <c r="D1225" s="20">
        <v>0.6319444444444444</v>
      </c>
      <c r="E1225" s="22" t="s">
        <v>8919</v>
      </c>
      <c r="F1225" s="22" t="s">
        <v>3275</v>
      </c>
      <c r="G1225" s="22" t="s">
        <v>3276</v>
      </c>
      <c r="H1225" s="22" t="s">
        <v>1610</v>
      </c>
      <c r="I1225" s="22" t="s">
        <v>1612</v>
      </c>
      <c r="J1225" s="22" t="s">
        <v>1612</v>
      </c>
      <c r="K1225" s="22" t="s">
        <v>143</v>
      </c>
      <c r="L1225" s="22" t="s">
        <v>1613</v>
      </c>
      <c r="M1225" s="22" t="s">
        <v>8920</v>
      </c>
      <c r="N1225" s="22" t="s">
        <v>8693</v>
      </c>
      <c r="O1225" s="23" t="s">
        <v>8921</v>
      </c>
      <c r="P1225" s="22" t="s">
        <v>187</v>
      </c>
      <c r="Q1225" s="50" t="s">
        <v>65</v>
      </c>
      <c r="R1225" s="22" t="s">
        <v>8922</v>
      </c>
      <c r="S1225" s="22" t="s">
        <v>51</v>
      </c>
      <c r="T1225" s="22" t="s">
        <v>52</v>
      </c>
      <c r="U1225" s="22" t="s">
        <v>52</v>
      </c>
      <c r="V1225" s="22" t="s">
        <v>52</v>
      </c>
      <c r="W1225" s="18">
        <v>46014.0</v>
      </c>
      <c r="X1225" s="20">
        <v>0.6319444444444444</v>
      </c>
      <c r="Y1225" s="18">
        <v>46014.0</v>
      </c>
      <c r="Z1225" s="20">
        <v>0.7222222222222222</v>
      </c>
      <c r="AA1225" s="20">
        <v>0.7256944444444444</v>
      </c>
      <c r="AB1225" s="54"/>
      <c r="AC1225" s="54"/>
      <c r="AD1225" s="51">
        <v>0.8333333333333334</v>
      </c>
      <c r="AE1225" s="18">
        <v>46014.0</v>
      </c>
      <c r="AF1225" s="22" t="s">
        <v>2828</v>
      </c>
      <c r="AG1225" s="22" t="s">
        <v>8107</v>
      </c>
      <c r="AH1225" s="22" t="s">
        <v>8923</v>
      </c>
      <c r="AI1225" s="108" t="str">
        <f>IFERROR(__xludf.DUMMYFUNCTION("IF(OR(W1225="""",X1225="""",AE1225="""",AD1225=""""),"""",
   TEXT(
     (
       (AE1225+AD1225 + IF(AE1225+AD1225 &lt; W1225+X1225,1,0)) - (W1225+X1225)
     )
     - IF(AND(AB1225&lt;&gt;"""",AC1225&lt;&gt;""""), 
          SUM(ARRAYFORMULA(SPLIT(AC1225,"","") - SPLI"&amp;"T(AB1225,"",""))), 
          0
       ),
     ""[hh]:mm""
   )
)
"),"04:50")</f>
        <v>04:50</v>
      </c>
      <c r="AJ1225" s="109">
        <f t="shared" si="16"/>
        <v>0</v>
      </c>
      <c r="AK1225" s="110" t="str">
        <f t="shared" si="17"/>
        <v>Pass</v>
      </c>
    </row>
    <row r="1226">
      <c r="A1226" s="45">
        <v>46014.0</v>
      </c>
      <c r="B1226" s="49">
        <v>0.6930555555555555</v>
      </c>
      <c r="C1226" s="45">
        <v>46014.0</v>
      </c>
      <c r="D1226" s="49">
        <v>0.7069444444444445</v>
      </c>
      <c r="E1226" s="21" t="s">
        <v>8924</v>
      </c>
      <c r="F1226" s="21" t="s">
        <v>8925</v>
      </c>
      <c r="G1226" s="21" t="s">
        <v>8926</v>
      </c>
      <c r="H1226" s="21" t="s">
        <v>1610</v>
      </c>
      <c r="I1226" s="21" t="s">
        <v>1612</v>
      </c>
      <c r="J1226" s="21" t="s">
        <v>1612</v>
      </c>
      <c r="K1226" s="21" t="s">
        <v>143</v>
      </c>
      <c r="L1226" s="21" t="s">
        <v>1613</v>
      </c>
      <c r="M1226" s="21" t="s">
        <v>8927</v>
      </c>
      <c r="N1226" s="21" t="s">
        <v>8693</v>
      </c>
      <c r="O1226" s="48" t="s">
        <v>8928</v>
      </c>
      <c r="P1226" s="21" t="s">
        <v>187</v>
      </c>
      <c r="Q1226" s="24" t="s">
        <v>65</v>
      </c>
      <c r="R1226" s="21" t="s">
        <v>5017</v>
      </c>
      <c r="S1226" s="21" t="s">
        <v>51</v>
      </c>
      <c r="T1226" s="21" t="s">
        <v>52</v>
      </c>
      <c r="U1226" s="21" t="s">
        <v>52</v>
      </c>
      <c r="V1226" s="21" t="s">
        <v>52</v>
      </c>
      <c r="W1226" s="45">
        <v>46015.0</v>
      </c>
      <c r="X1226" s="49">
        <v>0.375</v>
      </c>
      <c r="Y1226" s="45">
        <v>46015.0</v>
      </c>
      <c r="Z1226" s="49">
        <v>0.4722222222222222</v>
      </c>
      <c r="AA1226" s="49">
        <v>0.4930555555555556</v>
      </c>
      <c r="AB1226" s="25">
        <v>0.5138888888888888</v>
      </c>
      <c r="AC1226" s="25">
        <v>0.5763888888888888</v>
      </c>
      <c r="AD1226" s="25">
        <v>0.6145833333333334</v>
      </c>
      <c r="AE1226" s="45">
        <v>46015.0</v>
      </c>
      <c r="AF1226" s="21" t="s">
        <v>8929</v>
      </c>
      <c r="AG1226" s="21" t="s">
        <v>8930</v>
      </c>
      <c r="AH1226" s="21" t="s">
        <v>8931</v>
      </c>
      <c r="AI1226" s="108" t="str">
        <f>IFERROR(__xludf.DUMMYFUNCTION("IF(OR(W1226="""",X1226="""",AE1226="""",AD1226=""""),"""",
   TEXT(
     (
       (AE1226+AD1226 + IF(AE1226+AD1226 &lt; W1226+X1226,1,0)) - (W1226+X1226)
     )
     - IF(AND(AB1226&lt;&gt;"""",AC1226&lt;&gt;""""), 
          SUM(ARRAYFORMULA(SPLIT(AC1226,"","") - SPLI"&amp;"T(AB1226,"",""))), 
          0
       ),
     ""[hh]:mm""
   )
)
"),"04:15")</f>
        <v>04:15</v>
      </c>
      <c r="AJ1226" s="109">
        <f t="shared" si="16"/>
        <v>0</v>
      </c>
      <c r="AK1226" s="110" t="str">
        <f t="shared" si="17"/>
        <v>Pass</v>
      </c>
    </row>
    <row r="1227">
      <c r="A1227" s="18">
        <v>46014.0</v>
      </c>
      <c r="B1227" s="20">
        <v>0.5694444444444444</v>
      </c>
      <c r="C1227" s="18">
        <v>46014.0</v>
      </c>
      <c r="D1227" s="20">
        <v>0.5694444444444444</v>
      </c>
      <c r="E1227" s="22" t="s">
        <v>8932</v>
      </c>
      <c r="F1227" s="22" t="s">
        <v>2369</v>
      </c>
      <c r="G1227" s="22" t="s">
        <v>8867</v>
      </c>
      <c r="H1227" s="22" t="s">
        <v>167</v>
      </c>
      <c r="I1227" s="22" t="s">
        <v>168</v>
      </c>
      <c r="J1227" s="22" t="s">
        <v>169</v>
      </c>
      <c r="K1227" s="22" t="s">
        <v>61</v>
      </c>
      <c r="L1227" s="22" t="s">
        <v>52</v>
      </c>
      <c r="M1227" s="22" t="s">
        <v>8933</v>
      </c>
      <c r="N1227" s="22" t="s">
        <v>8934</v>
      </c>
      <c r="O1227" s="23" t="s">
        <v>8935</v>
      </c>
      <c r="P1227" s="22" t="s">
        <v>75</v>
      </c>
      <c r="Q1227" s="50" t="s">
        <v>65</v>
      </c>
      <c r="R1227" s="22" t="s">
        <v>8936</v>
      </c>
      <c r="S1227" s="22" t="s">
        <v>51</v>
      </c>
      <c r="T1227" s="22" t="s">
        <v>169</v>
      </c>
      <c r="U1227" s="22" t="s">
        <v>8937</v>
      </c>
      <c r="V1227" s="22" t="s">
        <v>8933</v>
      </c>
      <c r="W1227" s="18">
        <v>46014.0</v>
      </c>
      <c r="X1227" s="20">
        <v>0.5694444444444444</v>
      </c>
      <c r="Y1227" s="18">
        <v>46014.0</v>
      </c>
      <c r="Z1227" s="20">
        <v>0.5694444444444444</v>
      </c>
      <c r="AA1227" s="20">
        <v>0.5701388888888889</v>
      </c>
      <c r="AB1227" s="51">
        <v>0.5868055555555556</v>
      </c>
      <c r="AC1227" s="51">
        <v>0.7013888888888888</v>
      </c>
      <c r="AD1227" s="51">
        <v>0.71875</v>
      </c>
      <c r="AE1227" s="18">
        <v>46014.0</v>
      </c>
      <c r="AF1227" s="22" t="s">
        <v>33</v>
      </c>
      <c r="AG1227" s="22" t="s">
        <v>3328</v>
      </c>
      <c r="AH1227" s="22" t="s">
        <v>8871</v>
      </c>
      <c r="AI1227" s="108" t="str">
        <f>IFERROR(__xludf.DUMMYFUNCTION("IF(OR(W1227="""",X1227="""",AE1227="""",AD1227=""""),"""",
   TEXT(
     (
       (AE1227+AD1227 + IF(AE1227+AD1227 &lt; W1227+X1227,1,0)) - (W1227+X1227)
     )
     - IF(AND(AB1227&lt;&gt;"""",AC1227&lt;&gt;""""), 
          SUM(ARRAYFORMULA(SPLIT(AC1227,"","") - SPLI"&amp;"T(AB1227,"",""))), 
          0
       ),
     ""[hh]:mm""
   )
)
"),"00:50")</f>
        <v>00:50</v>
      </c>
      <c r="AJ1227" s="109">
        <f t="shared" si="16"/>
        <v>0</v>
      </c>
      <c r="AK1227" s="110" t="str">
        <f t="shared" si="17"/>
        <v>Pass</v>
      </c>
    </row>
    <row r="1228">
      <c r="A1228" s="45">
        <v>46014.0</v>
      </c>
      <c r="B1228" s="49">
        <v>0.8055555555555556</v>
      </c>
      <c r="C1228" s="45">
        <v>46014.0</v>
      </c>
      <c r="D1228" s="49">
        <v>0.8347222222222223</v>
      </c>
      <c r="E1228" s="21" t="s">
        <v>8938</v>
      </c>
      <c r="F1228" s="21" t="s">
        <v>505</v>
      </c>
      <c r="G1228" s="21" t="s">
        <v>8939</v>
      </c>
      <c r="H1228" s="21" t="s">
        <v>270</v>
      </c>
      <c r="I1228" s="21" t="s">
        <v>60</v>
      </c>
      <c r="J1228" s="21" t="s">
        <v>3813</v>
      </c>
      <c r="K1228" s="21" t="s">
        <v>61</v>
      </c>
      <c r="L1228" s="21" t="s">
        <v>757</v>
      </c>
      <c r="M1228" s="21" t="s">
        <v>8940</v>
      </c>
      <c r="N1228" s="21" t="s">
        <v>8941</v>
      </c>
      <c r="O1228" s="48" t="s">
        <v>8942</v>
      </c>
      <c r="P1228" s="21" t="s">
        <v>75</v>
      </c>
      <c r="Q1228" s="24" t="s">
        <v>65</v>
      </c>
      <c r="R1228" s="21" t="s">
        <v>8943</v>
      </c>
      <c r="S1228" s="21" t="s">
        <v>51</v>
      </c>
      <c r="T1228" s="21" t="s">
        <v>52</v>
      </c>
      <c r="U1228" s="21" t="s">
        <v>52</v>
      </c>
      <c r="V1228" s="21" t="s">
        <v>52</v>
      </c>
      <c r="W1228" s="45">
        <v>46014.0</v>
      </c>
      <c r="X1228" s="49">
        <v>0.8347222222222223</v>
      </c>
      <c r="Y1228" s="45">
        <v>46014.0</v>
      </c>
      <c r="Z1228" s="49">
        <v>0.9409722222222222</v>
      </c>
      <c r="AA1228" s="49">
        <v>0.9965277777777778</v>
      </c>
      <c r="AB1228" s="25">
        <v>0.9409722222222222</v>
      </c>
      <c r="AC1228" s="25">
        <v>0.9965277777777778</v>
      </c>
      <c r="AD1228" s="25">
        <v>1.0208333333333333</v>
      </c>
      <c r="AE1228" s="45">
        <v>46014.0</v>
      </c>
      <c r="AF1228" s="21" t="s">
        <v>2839</v>
      </c>
      <c r="AG1228" s="21" t="s">
        <v>1482</v>
      </c>
      <c r="AH1228" s="21" t="s">
        <v>8944</v>
      </c>
      <c r="AI1228" s="108" t="str">
        <f>IFERROR(__xludf.DUMMYFUNCTION("IF(OR(W1228="""",X1228="""",AE1228="""",AD1228=""""),"""",
   TEXT(
     (
       (AE1228+AD1228 + IF(AE1228+AD1228 &lt; W1228+X1228,1,0)) - (W1228+X1228)
     )
     - IF(AND(AB1228&lt;&gt;"""",AC1228&lt;&gt;""""), 
          SUM(ARRAYFORMULA(SPLIT(AC1228,"","") - SPLI"&amp;"T(AB1228,"",""))), 
          0
       ),
     ""[hh]:mm""
   )
)
"),"03:08")</f>
        <v>03:08</v>
      </c>
      <c r="AJ1228" s="109">
        <f t="shared" si="16"/>
        <v>0</v>
      </c>
      <c r="AK1228" s="110" t="str">
        <f t="shared" si="17"/>
        <v>Pass</v>
      </c>
    </row>
    <row r="1229">
      <c r="A1229" s="45">
        <v>46015.0</v>
      </c>
      <c r="B1229" s="49">
        <v>0.33958333333333335</v>
      </c>
      <c r="C1229" s="45">
        <v>46015.0</v>
      </c>
      <c r="D1229" s="49">
        <v>0.34444444444444444</v>
      </c>
      <c r="E1229" s="21" t="s">
        <v>8945</v>
      </c>
      <c r="F1229" s="21" t="s">
        <v>3082</v>
      </c>
      <c r="G1229" s="21" t="s">
        <v>3083</v>
      </c>
      <c r="H1229" s="21" t="s">
        <v>746</v>
      </c>
      <c r="I1229" s="21" t="s">
        <v>1178</v>
      </c>
      <c r="J1229" s="21" t="s">
        <v>2637</v>
      </c>
      <c r="K1229" s="21" t="s">
        <v>61</v>
      </c>
      <c r="L1229" s="21" t="s">
        <v>757</v>
      </c>
      <c r="M1229" s="21" t="s">
        <v>8946</v>
      </c>
      <c r="N1229" s="21" t="s">
        <v>8947</v>
      </c>
      <c r="O1229" s="48" t="s">
        <v>8948</v>
      </c>
      <c r="P1229" s="21" t="s">
        <v>75</v>
      </c>
      <c r="Q1229" s="24" t="s">
        <v>65</v>
      </c>
      <c r="R1229" s="21" t="s">
        <v>8949</v>
      </c>
      <c r="S1229" s="21" t="s">
        <v>51</v>
      </c>
      <c r="T1229" s="21" t="s">
        <v>52</v>
      </c>
      <c r="U1229" s="21" t="s">
        <v>52</v>
      </c>
      <c r="V1229" s="21" t="s">
        <v>52</v>
      </c>
      <c r="W1229" s="45">
        <v>46015.0</v>
      </c>
      <c r="X1229" s="49">
        <v>0.34444444444444444</v>
      </c>
      <c r="Y1229" s="45">
        <v>46015.0</v>
      </c>
      <c r="Z1229" s="49">
        <v>0.4583333333333333</v>
      </c>
      <c r="AA1229" s="49">
        <v>0.4618055555555556</v>
      </c>
      <c r="AB1229" s="29"/>
      <c r="AC1229" s="29"/>
      <c r="AD1229" s="25">
        <v>0.5375</v>
      </c>
      <c r="AE1229" s="45">
        <v>46015.0</v>
      </c>
      <c r="AF1229" s="21" t="s">
        <v>2744</v>
      </c>
      <c r="AG1229" s="21" t="s">
        <v>293</v>
      </c>
      <c r="AH1229" s="21" t="s">
        <v>8950</v>
      </c>
      <c r="AI1229" s="108" t="str">
        <f>IFERROR(__xludf.DUMMYFUNCTION("IF(OR(W1229="""",X1229="""",AE1229="""",AD1229=""""),"""",
   TEXT(
     (
       (AE1229+AD1229 + IF(AE1229+AD1229 &lt; W1229+X1229,1,0)) - (W1229+X1229)
     )
     - IF(AND(AB1229&lt;&gt;"""",AC1229&lt;&gt;""""), 
          SUM(ARRAYFORMULA(SPLIT(AC1229,"","") - SPLI"&amp;"T(AB1229,"",""))), 
          0
       ),
     ""[hh]:mm""
   )
)
"),"04:38")</f>
        <v>04:38</v>
      </c>
      <c r="AJ1229" s="109">
        <f t="shared" si="16"/>
        <v>0</v>
      </c>
      <c r="AK1229" s="110" t="str">
        <f t="shared" si="17"/>
        <v>Pass</v>
      </c>
    </row>
    <row r="1230">
      <c r="A1230" s="18">
        <v>46015.0</v>
      </c>
      <c r="B1230" s="20">
        <v>0.35625</v>
      </c>
      <c r="C1230" s="18">
        <v>46015.0</v>
      </c>
      <c r="D1230" s="20">
        <v>0.36527777777777776</v>
      </c>
      <c r="E1230" s="22" t="s">
        <v>8951</v>
      </c>
      <c r="F1230" s="22" t="s">
        <v>8952</v>
      </c>
      <c r="G1230" s="22" t="s">
        <v>8953</v>
      </c>
      <c r="H1230" s="22" t="s">
        <v>746</v>
      </c>
      <c r="I1230" s="22" t="s">
        <v>1135</v>
      </c>
      <c r="J1230" s="22" t="s">
        <v>2637</v>
      </c>
      <c r="K1230" s="22" t="s">
        <v>61</v>
      </c>
      <c r="L1230" s="22" t="s">
        <v>757</v>
      </c>
      <c r="M1230" s="22" t="s">
        <v>8954</v>
      </c>
      <c r="N1230" s="22" t="s">
        <v>8955</v>
      </c>
      <c r="O1230" s="23" t="s">
        <v>8956</v>
      </c>
      <c r="P1230" s="22" t="s">
        <v>75</v>
      </c>
      <c r="Q1230" s="50" t="s">
        <v>65</v>
      </c>
      <c r="R1230" s="22" t="s">
        <v>8957</v>
      </c>
      <c r="S1230" s="22" t="s">
        <v>51</v>
      </c>
      <c r="T1230" s="22" t="s">
        <v>52</v>
      </c>
      <c r="U1230" s="22" t="s">
        <v>52</v>
      </c>
      <c r="V1230" s="22" t="s">
        <v>52</v>
      </c>
      <c r="W1230" s="18">
        <v>46015.0</v>
      </c>
      <c r="X1230" s="20">
        <v>0.36527777777777776</v>
      </c>
      <c r="Y1230" s="18">
        <v>46015.0</v>
      </c>
      <c r="Z1230" s="20">
        <v>0.6458333333333334</v>
      </c>
      <c r="AA1230" s="20">
        <v>0.6493055555555556</v>
      </c>
      <c r="AB1230" s="54"/>
      <c r="AC1230" s="54"/>
      <c r="AD1230" s="51">
        <v>0.7083333333333334</v>
      </c>
      <c r="AE1230" s="18">
        <v>46015.0</v>
      </c>
      <c r="AF1230" s="22" t="s">
        <v>2744</v>
      </c>
      <c r="AG1230" s="22" t="s">
        <v>293</v>
      </c>
      <c r="AH1230" s="22" t="s">
        <v>8958</v>
      </c>
      <c r="AI1230" s="111" t="str">
        <f>IFERROR(__xludf.DUMMYFUNCTION("IF(OR(W1230="""",X1230="""",AE1230="""",AD1230=""""),"""",
   TEXT(
     (
       (AE1230+AD1230 + IF(AE1230+AD1230 &lt; W1230+X1230,1,0)) - (W1230+X1230)
     )
     - IF(AND(AB1230&lt;&gt;"""",AC1230&lt;&gt;""""), 
          SUM(ARRAYFORMULA(SPLIT(AC1230,"","") - SPLI"&amp;"T(AB1230,"",""))), 
          0
       ),
     ""[hh]:mm""
   )
)
"),"08:14")</f>
        <v>08:14</v>
      </c>
      <c r="AJ1230" s="112">
        <f t="shared" si="16"/>
        <v>0</v>
      </c>
      <c r="AK1230" s="113" t="str">
        <f t="shared" si="17"/>
        <v>Pass</v>
      </c>
    </row>
    <row r="1231">
      <c r="A1231" s="18">
        <v>46015.0</v>
      </c>
      <c r="B1231" s="20">
        <v>0.3576388888888889</v>
      </c>
      <c r="C1231" s="18">
        <v>46015.0</v>
      </c>
      <c r="D1231" s="20">
        <v>0.36527777777777776</v>
      </c>
      <c r="E1231" s="22" t="s">
        <v>8959</v>
      </c>
      <c r="F1231" s="22" t="s">
        <v>8952</v>
      </c>
      <c r="G1231" s="22" t="s">
        <v>8953</v>
      </c>
      <c r="H1231" s="22" t="s">
        <v>746</v>
      </c>
      <c r="I1231" s="22" t="s">
        <v>8960</v>
      </c>
      <c r="J1231" s="22" t="s">
        <v>2637</v>
      </c>
      <c r="K1231" s="22" t="s">
        <v>61</v>
      </c>
      <c r="L1231" s="22" t="s">
        <v>757</v>
      </c>
      <c r="M1231" s="22" t="s">
        <v>8961</v>
      </c>
      <c r="N1231" s="22" t="s">
        <v>8962</v>
      </c>
      <c r="O1231" s="23" t="s">
        <v>8963</v>
      </c>
      <c r="P1231" s="22" t="s">
        <v>75</v>
      </c>
      <c r="Q1231" s="50" t="s">
        <v>65</v>
      </c>
      <c r="R1231" s="22" t="s">
        <v>8957</v>
      </c>
      <c r="S1231" s="22" t="s">
        <v>51</v>
      </c>
      <c r="T1231" s="22" t="s">
        <v>52</v>
      </c>
      <c r="U1231" s="22" t="s">
        <v>52</v>
      </c>
      <c r="V1231" s="22" t="s">
        <v>52</v>
      </c>
      <c r="W1231" s="18">
        <v>46015.0</v>
      </c>
      <c r="X1231" s="20">
        <v>0.36527777777777776</v>
      </c>
      <c r="Y1231" s="18">
        <v>46015.0</v>
      </c>
      <c r="Z1231" s="20">
        <v>0.6458333333333334</v>
      </c>
      <c r="AA1231" s="20">
        <v>0.6493055555555556</v>
      </c>
      <c r="AB1231" s="54"/>
      <c r="AC1231" s="54"/>
      <c r="AD1231" s="51">
        <v>0.7083333333333334</v>
      </c>
      <c r="AE1231" s="18">
        <v>46015.0</v>
      </c>
      <c r="AF1231" s="22" t="s">
        <v>2744</v>
      </c>
      <c r="AG1231" s="22" t="s">
        <v>293</v>
      </c>
      <c r="AH1231" s="22" t="s">
        <v>8958</v>
      </c>
      <c r="AI1231" s="111" t="str">
        <f>IFERROR(__xludf.DUMMYFUNCTION("IF(OR(W1231="""",X1231="""",AE1231="""",AD1231=""""),"""",
   TEXT(
     (
       (AE1231+AD1231 + IF(AE1231+AD1231 &lt; W1231+X1231,1,0)) - (W1231+X1231)
     )
     - IF(AND(AB1231&lt;&gt;"""",AC1231&lt;&gt;""""), 
          SUM(ARRAYFORMULA(SPLIT(AC1231,"","") - SPLI"&amp;"T(AB1231,"",""))), 
          0
       ),
     ""[hh]:mm""
   )
)
"),"08:14")</f>
        <v>08:14</v>
      </c>
      <c r="AJ1231" s="112">
        <f t="shared" si="16"/>
        <v>0</v>
      </c>
      <c r="AK1231" s="113" t="str">
        <f t="shared" si="17"/>
        <v>Pass</v>
      </c>
    </row>
    <row r="1232">
      <c r="A1232" s="45">
        <v>46015.0</v>
      </c>
      <c r="B1232" s="49">
        <v>0.3729166666666667</v>
      </c>
      <c r="C1232" s="45">
        <v>46015.0</v>
      </c>
      <c r="D1232" s="49">
        <v>0.3861111111111111</v>
      </c>
      <c r="E1232" s="21" t="s">
        <v>8964</v>
      </c>
      <c r="F1232" s="21" t="s">
        <v>8965</v>
      </c>
      <c r="G1232" s="21" t="s">
        <v>8966</v>
      </c>
      <c r="H1232" s="21" t="s">
        <v>566</v>
      </c>
      <c r="I1232" s="21" t="s">
        <v>95</v>
      </c>
      <c r="J1232" s="21" t="s">
        <v>95</v>
      </c>
      <c r="K1232" s="21" t="s">
        <v>143</v>
      </c>
      <c r="L1232" s="21" t="s">
        <v>606</v>
      </c>
      <c r="M1232" s="21" t="s">
        <v>8967</v>
      </c>
      <c r="N1232" s="21" t="s">
        <v>8968</v>
      </c>
      <c r="O1232" s="48" t="s">
        <v>8969</v>
      </c>
      <c r="P1232" s="21" t="s">
        <v>48</v>
      </c>
      <c r="Q1232" s="24" t="s">
        <v>49</v>
      </c>
      <c r="R1232" s="21" t="s">
        <v>8970</v>
      </c>
      <c r="S1232" s="21" t="s">
        <v>51</v>
      </c>
      <c r="T1232" s="21" t="s">
        <v>52</v>
      </c>
      <c r="U1232" s="21" t="s">
        <v>52</v>
      </c>
      <c r="V1232" s="21" t="s">
        <v>52</v>
      </c>
      <c r="W1232" s="45">
        <v>46015.0</v>
      </c>
      <c r="X1232" s="49">
        <v>0.3861111111111111</v>
      </c>
      <c r="Y1232" s="45">
        <v>46015.0</v>
      </c>
      <c r="Z1232" s="49">
        <v>0.5194444444444445</v>
      </c>
      <c r="AA1232" s="49">
        <v>0.5201388888888889</v>
      </c>
      <c r="AB1232" s="24" t="s">
        <v>8971</v>
      </c>
      <c r="AC1232" s="24" t="s">
        <v>8972</v>
      </c>
      <c r="AD1232" s="25">
        <v>0.5965277777777778</v>
      </c>
      <c r="AE1232" s="45">
        <v>46015.0</v>
      </c>
      <c r="AF1232" s="21" t="s">
        <v>2744</v>
      </c>
      <c r="AG1232" s="21" t="s">
        <v>7575</v>
      </c>
      <c r="AH1232" s="21" t="s">
        <v>8973</v>
      </c>
      <c r="AI1232" s="108" t="str">
        <f>IFERROR(__xludf.DUMMYFUNCTION("IF(OR(W1232="""",X1232="""",AE1232="""",AD1232=""""),"""",
   TEXT(
     (
       (AE1232+AD1232 + IF(AE1232+AD1232 &lt; W1232+X1232,1,0)) - (W1232+X1232)
     )
     - IF(AND(AB1232&lt;&gt;"""",AC1232&lt;&gt;""""), 
          SUM(ARRAYFORMULA(SPLIT(AC1232,"","") - SPLI"&amp;"T(AB1232,"",""))), 
          0
       ),
     ""[hh]:mm""
   )
)
"),"03:49")</f>
        <v>03:49</v>
      </c>
      <c r="AJ1232" s="109">
        <f t="shared" si="16"/>
        <v>0</v>
      </c>
      <c r="AK1232" s="110" t="str">
        <f t="shared" si="17"/>
        <v>Pass</v>
      </c>
    </row>
    <row r="1233">
      <c r="A1233" s="45">
        <v>46015.0</v>
      </c>
      <c r="B1233" s="49">
        <v>0.3902777777777778</v>
      </c>
      <c r="C1233" s="45">
        <v>46015.0</v>
      </c>
      <c r="D1233" s="49">
        <v>0.39652777777777776</v>
      </c>
      <c r="E1233" s="21" t="s">
        <v>8974</v>
      </c>
      <c r="F1233" s="21" t="s">
        <v>4171</v>
      </c>
      <c r="G1233" s="21" t="s">
        <v>8975</v>
      </c>
      <c r="H1233" s="21" t="s">
        <v>566</v>
      </c>
      <c r="I1233" s="21" t="s">
        <v>991</v>
      </c>
      <c r="J1233" s="21" t="s">
        <v>8110</v>
      </c>
      <c r="K1233" s="21" t="s">
        <v>386</v>
      </c>
      <c r="L1233" s="21" t="s">
        <v>386</v>
      </c>
      <c r="M1233" s="21" t="s">
        <v>8976</v>
      </c>
      <c r="N1233" s="21" t="s">
        <v>8977</v>
      </c>
      <c r="O1233" s="48" t="s">
        <v>8978</v>
      </c>
      <c r="P1233" s="21" t="s">
        <v>48</v>
      </c>
      <c r="Q1233" s="24" t="s">
        <v>49</v>
      </c>
      <c r="R1233" s="21" t="s">
        <v>8979</v>
      </c>
      <c r="S1233" s="21" t="s">
        <v>51</v>
      </c>
      <c r="T1233" s="21" t="s">
        <v>52</v>
      </c>
      <c r="U1233" s="21" t="s">
        <v>52</v>
      </c>
      <c r="V1233" s="21" t="s">
        <v>52</v>
      </c>
      <c r="W1233" s="45">
        <v>46015.0</v>
      </c>
      <c r="X1233" s="49">
        <v>0.39652777777777776</v>
      </c>
      <c r="Y1233" s="45">
        <v>46015.0</v>
      </c>
      <c r="Z1233" s="49">
        <v>0.47847222222222224</v>
      </c>
      <c r="AA1233" s="49">
        <v>0.4791666666666667</v>
      </c>
      <c r="AB1233" s="25">
        <v>0.5277777777777778</v>
      </c>
      <c r="AC1233" s="25">
        <v>0.5833333333333334</v>
      </c>
      <c r="AD1233" s="25">
        <v>0.59375</v>
      </c>
      <c r="AE1233" s="45">
        <v>46015.0</v>
      </c>
      <c r="AF1233" s="21" t="s">
        <v>2931</v>
      </c>
      <c r="AG1233" s="21" t="s">
        <v>775</v>
      </c>
      <c r="AH1233" s="21" t="s">
        <v>4181</v>
      </c>
      <c r="AI1233" s="108" t="str">
        <f>IFERROR(__xludf.DUMMYFUNCTION("IF(OR(W1233="""",X1233="""",AE1233="""",AD1233=""""),"""",
   TEXT(
     (
       (AE1233+AD1233 + IF(AE1233+AD1233 &lt; W1233+X1233,1,0)) - (W1233+X1233)
     )
     - IF(AND(AB1233&lt;&gt;"""",AC1233&lt;&gt;""""), 
          SUM(ARRAYFORMULA(SPLIT(AC1233,"","") - SPLI"&amp;"T(AB1233,"",""))), 
          0
       ),
     ""[hh]:mm""
   )
)
"),"03:24")</f>
        <v>03:24</v>
      </c>
      <c r="AJ1233" s="109">
        <f t="shared" si="16"/>
        <v>0</v>
      </c>
      <c r="AK1233" s="110" t="str">
        <f t="shared" si="17"/>
        <v>Pass</v>
      </c>
    </row>
    <row r="1234">
      <c r="A1234" s="18">
        <v>46015.0</v>
      </c>
      <c r="B1234" s="20">
        <v>0.6993055555555555</v>
      </c>
      <c r="C1234" s="18">
        <v>46015.0</v>
      </c>
      <c r="D1234" s="20">
        <v>0.6993055555555555</v>
      </c>
      <c r="E1234" s="22" t="s">
        <v>8980</v>
      </c>
      <c r="F1234" s="107" t="s">
        <v>6058</v>
      </c>
      <c r="G1234" s="107" t="s">
        <v>6059</v>
      </c>
      <c r="H1234" s="22" t="s">
        <v>3093</v>
      </c>
      <c r="I1234" s="22" t="s">
        <v>131</v>
      </c>
      <c r="J1234" s="22" t="s">
        <v>2253</v>
      </c>
      <c r="K1234" s="22" t="s">
        <v>43</v>
      </c>
      <c r="L1234" s="22" t="s">
        <v>8981</v>
      </c>
      <c r="M1234" s="22" t="s">
        <v>8982</v>
      </c>
      <c r="N1234" s="22" t="s">
        <v>8983</v>
      </c>
      <c r="O1234" s="23" t="s">
        <v>8984</v>
      </c>
      <c r="P1234" s="22" t="s">
        <v>75</v>
      </c>
      <c r="Q1234" s="50" t="s">
        <v>198</v>
      </c>
      <c r="R1234" s="22" t="s">
        <v>8985</v>
      </c>
      <c r="S1234" s="22" t="s">
        <v>51</v>
      </c>
      <c r="T1234" s="22" t="s">
        <v>52</v>
      </c>
      <c r="U1234" s="22" t="s">
        <v>52</v>
      </c>
      <c r="V1234" s="22" t="s">
        <v>52</v>
      </c>
      <c r="W1234" s="18">
        <v>46015.0</v>
      </c>
      <c r="X1234" s="20">
        <v>0.6993055555555555</v>
      </c>
      <c r="Y1234" s="18">
        <v>46015.0</v>
      </c>
      <c r="Z1234" s="20">
        <v>0.6993055555555555</v>
      </c>
      <c r="AA1234" s="20">
        <v>0.7</v>
      </c>
      <c r="AB1234" s="54"/>
      <c r="AC1234" s="54"/>
      <c r="AD1234" s="51">
        <v>0.7131944444444445</v>
      </c>
      <c r="AE1234" s="18">
        <v>46015.0</v>
      </c>
      <c r="AF1234" s="22" t="s">
        <v>2989</v>
      </c>
      <c r="AG1234" s="22" t="s">
        <v>3197</v>
      </c>
      <c r="AH1234" s="22" t="s">
        <v>7788</v>
      </c>
      <c r="AI1234" s="111" t="str">
        <f>IFERROR(__xludf.DUMMYFUNCTION("IF(OR(W1234="""",X1234="""",AE1234="""",AD1234=""""),"""",
   TEXT(
     (
       (AE1234+AD1234 + IF(AE1234+AD1234 &lt; W1234+X1234,1,0)) - (W1234+X1234)
     )
     - IF(AND(AB1234&lt;&gt;"""",AC1234&lt;&gt;""""), 
          SUM(ARRAYFORMULA(SPLIT(AC1234,"","") - SPLI"&amp;"T(AB1234,"",""))), 
          0
       ),
     ""[hh]:mm""
   )
)
"),"00:20")</f>
        <v>00:20</v>
      </c>
      <c r="AJ1234" s="112">
        <f t="shared" si="16"/>
        <v>0</v>
      </c>
      <c r="AK1234" s="113" t="str">
        <f t="shared" si="17"/>
        <v>Pass</v>
      </c>
    </row>
    <row r="1235">
      <c r="A1235" s="45">
        <v>46015.0</v>
      </c>
      <c r="B1235" s="49">
        <v>0.3333333333333333</v>
      </c>
      <c r="C1235" s="45">
        <v>46015.0</v>
      </c>
      <c r="D1235" s="49">
        <v>0.3333333333333333</v>
      </c>
      <c r="E1235" s="21" t="s">
        <v>7590</v>
      </c>
      <c r="F1235" s="106" t="s">
        <v>842</v>
      </c>
      <c r="G1235" s="106" t="s">
        <v>843</v>
      </c>
      <c r="H1235" s="21" t="s">
        <v>3093</v>
      </c>
      <c r="I1235" s="21" t="s">
        <v>1346</v>
      </c>
      <c r="J1235" s="21" t="s">
        <v>2253</v>
      </c>
      <c r="K1235" s="21" t="s">
        <v>43</v>
      </c>
      <c r="L1235" s="21" t="s">
        <v>2663</v>
      </c>
      <c r="M1235" s="21" t="s">
        <v>8986</v>
      </c>
      <c r="N1235" s="21" t="s">
        <v>8987</v>
      </c>
      <c r="O1235" s="48" t="s">
        <v>8988</v>
      </c>
      <c r="P1235" s="21" t="s">
        <v>75</v>
      </c>
      <c r="Q1235" s="24" t="s">
        <v>198</v>
      </c>
      <c r="R1235" s="21" t="s">
        <v>8989</v>
      </c>
      <c r="S1235" s="21" t="s">
        <v>51</v>
      </c>
      <c r="T1235" s="21" t="s">
        <v>52</v>
      </c>
      <c r="U1235" s="21" t="s">
        <v>52</v>
      </c>
      <c r="V1235" s="21" t="s">
        <v>52</v>
      </c>
      <c r="W1235" s="45">
        <v>46017.0</v>
      </c>
      <c r="X1235" s="49">
        <v>0.3333333333333333</v>
      </c>
      <c r="Y1235" s="45">
        <v>46017.0</v>
      </c>
      <c r="Z1235" s="49">
        <v>0.4951388888888889</v>
      </c>
      <c r="AA1235" s="49">
        <v>0.4965277777777778</v>
      </c>
      <c r="AB1235" s="29"/>
      <c r="AC1235" s="29"/>
      <c r="AD1235" s="25">
        <v>0.5569444444444445</v>
      </c>
      <c r="AE1235" s="45">
        <v>46017.0</v>
      </c>
      <c r="AF1235" s="21" t="s">
        <v>2989</v>
      </c>
      <c r="AG1235" s="21" t="s">
        <v>8701</v>
      </c>
      <c r="AH1235" s="21" t="s">
        <v>8990</v>
      </c>
      <c r="AI1235" s="108" t="str">
        <f>IFERROR(__xludf.DUMMYFUNCTION("IF(OR(W1235="""",X1235="""",AE1235="""",AD1235=""""),"""",
   TEXT(
     (
       (AE1235+AD1235 + IF(AE1235+AD1235 &lt; W1235+X1235,1,0)) - (W1235+X1235)
     )
     - IF(AND(AB1235&lt;&gt;"""",AC1235&lt;&gt;""""), 
          SUM(ARRAYFORMULA(SPLIT(AC1235,"","") - SPLI"&amp;"T(AB1235,"",""))), 
          0
       ),
     ""[hh]:mm""
   )
)
"),"05:22")</f>
        <v>05:22</v>
      </c>
      <c r="AJ1235" s="109">
        <f t="shared" si="16"/>
        <v>0</v>
      </c>
      <c r="AK1235" s="110" t="str">
        <f t="shared" si="17"/>
        <v>Pass</v>
      </c>
    </row>
    <row r="1236">
      <c r="A1236" s="18">
        <v>46015.0</v>
      </c>
      <c r="B1236" s="20">
        <v>0.6631944444444444</v>
      </c>
      <c r="C1236" s="18">
        <v>46015.0</v>
      </c>
      <c r="D1236" s="20">
        <v>0.6631944444444444</v>
      </c>
      <c r="E1236" s="22" t="s">
        <v>8991</v>
      </c>
      <c r="F1236" s="107" t="s">
        <v>1064</v>
      </c>
      <c r="G1236" s="107" t="s">
        <v>1065</v>
      </c>
      <c r="H1236" s="22" t="s">
        <v>3093</v>
      </c>
      <c r="I1236" s="22" t="s">
        <v>131</v>
      </c>
      <c r="J1236" s="22" t="s">
        <v>2253</v>
      </c>
      <c r="K1236" s="22" t="s">
        <v>43</v>
      </c>
      <c r="L1236" s="22" t="s">
        <v>2663</v>
      </c>
      <c r="M1236" s="22" t="s">
        <v>8178</v>
      </c>
      <c r="N1236" s="22" t="s">
        <v>8983</v>
      </c>
      <c r="O1236" s="23" t="s">
        <v>8992</v>
      </c>
      <c r="P1236" s="22" t="s">
        <v>75</v>
      </c>
      <c r="Q1236" s="50" t="s">
        <v>198</v>
      </c>
      <c r="R1236" s="22" t="s">
        <v>8993</v>
      </c>
      <c r="S1236" s="22" t="s">
        <v>51</v>
      </c>
      <c r="T1236" s="22" t="s">
        <v>52</v>
      </c>
      <c r="U1236" s="22" t="s">
        <v>52</v>
      </c>
      <c r="V1236" s="22" t="s">
        <v>52</v>
      </c>
      <c r="W1236" s="18">
        <v>46015.0</v>
      </c>
      <c r="X1236" s="20">
        <v>0.6631944444444444</v>
      </c>
      <c r="Y1236" s="18">
        <v>46015.0</v>
      </c>
      <c r="Z1236" s="20">
        <v>0.6631944444444444</v>
      </c>
      <c r="AA1236" s="20">
        <v>0.6638888888888889</v>
      </c>
      <c r="AB1236" s="54"/>
      <c r="AC1236" s="54"/>
      <c r="AD1236" s="51">
        <v>0.6875</v>
      </c>
      <c r="AE1236" s="18">
        <v>46015.0</v>
      </c>
      <c r="AF1236" s="22" t="s">
        <v>2989</v>
      </c>
      <c r="AG1236" s="22" t="s">
        <v>1475</v>
      </c>
      <c r="AH1236" s="22" t="s">
        <v>8994</v>
      </c>
      <c r="AI1236" s="111" t="str">
        <f>IFERROR(__xludf.DUMMYFUNCTION("IF(OR(W1236="""",X1236="""",AE1236="""",AD1236=""""),"""",
   TEXT(
     (
       (AE1236+AD1236 + IF(AE1236+AD1236 &lt; W1236+X1236,1,0)) - (W1236+X1236)
     )
     - IF(AND(AB1236&lt;&gt;"""",AC1236&lt;&gt;""""), 
          SUM(ARRAYFORMULA(SPLIT(AC1236,"","") - SPLI"&amp;"T(AB1236,"",""))), 
          0
       ),
     ""[hh]:mm""
   )
)
"),"00:35")</f>
        <v>00:35</v>
      </c>
      <c r="AJ1236" s="112">
        <f t="shared" si="16"/>
        <v>0</v>
      </c>
      <c r="AK1236" s="113" t="str">
        <f t="shared" si="17"/>
        <v>Pass</v>
      </c>
    </row>
    <row r="1237">
      <c r="A1237" s="18">
        <v>46015.0</v>
      </c>
      <c r="B1237" s="20">
        <v>0.7631944444444444</v>
      </c>
      <c r="C1237" s="18">
        <v>46015.0</v>
      </c>
      <c r="D1237" s="20">
        <v>0.7631944444444444</v>
      </c>
      <c r="E1237" s="22" t="s">
        <v>8995</v>
      </c>
      <c r="F1237" s="107" t="s">
        <v>8386</v>
      </c>
      <c r="G1237" s="107" t="s">
        <v>8387</v>
      </c>
      <c r="H1237" s="22" t="s">
        <v>3093</v>
      </c>
      <c r="I1237" s="22" t="s">
        <v>131</v>
      </c>
      <c r="J1237" s="22" t="s">
        <v>2253</v>
      </c>
      <c r="K1237" s="22" t="s">
        <v>43</v>
      </c>
      <c r="L1237" s="22" t="s">
        <v>2663</v>
      </c>
      <c r="M1237" s="22" t="s">
        <v>8392</v>
      </c>
      <c r="N1237" s="22" t="s">
        <v>8983</v>
      </c>
      <c r="O1237" s="23" t="s">
        <v>8996</v>
      </c>
      <c r="P1237" s="22" t="s">
        <v>75</v>
      </c>
      <c r="Q1237" s="50" t="s">
        <v>198</v>
      </c>
      <c r="R1237" s="22" t="s">
        <v>8993</v>
      </c>
      <c r="S1237" s="22" t="s">
        <v>51</v>
      </c>
      <c r="T1237" s="22" t="s">
        <v>52</v>
      </c>
      <c r="U1237" s="22" t="s">
        <v>52</v>
      </c>
      <c r="V1237" s="22" t="s">
        <v>52</v>
      </c>
      <c r="W1237" s="18">
        <v>46015.0</v>
      </c>
      <c r="X1237" s="20">
        <v>0.7631944444444444</v>
      </c>
      <c r="Y1237" s="18">
        <v>46015.0</v>
      </c>
      <c r="Z1237" s="20">
        <v>0.7631944444444444</v>
      </c>
      <c r="AA1237" s="20">
        <v>0.7777777777777778</v>
      </c>
      <c r="AB1237" s="54"/>
      <c r="AC1237" s="54"/>
      <c r="AD1237" s="51">
        <v>0.8090277777777778</v>
      </c>
      <c r="AE1237" s="18">
        <v>46015.0</v>
      </c>
      <c r="AF1237" s="22" t="s">
        <v>2989</v>
      </c>
      <c r="AG1237" s="22" t="s">
        <v>209</v>
      </c>
      <c r="AH1237" s="22" t="s">
        <v>8997</v>
      </c>
      <c r="AI1237" s="111" t="str">
        <f>IFERROR(__xludf.DUMMYFUNCTION("IF(OR(W1237="""",X1237="""",AE1237="""",AD1237=""""),"""",
   TEXT(
     (
       (AE1237+AD1237 + IF(AE1237+AD1237 &lt; W1237+X1237,1,0)) - (W1237+X1237)
     )
     - IF(AND(AB1237&lt;&gt;"""",AC1237&lt;&gt;""""), 
          SUM(ARRAYFORMULA(SPLIT(AC1237,"","") - SPLI"&amp;"T(AB1237,"",""))), 
          0
       ),
     ""[hh]:mm""
   )
)
"),"01:06")</f>
        <v>01:06</v>
      </c>
      <c r="AJ1237" s="112">
        <f t="shared" si="16"/>
        <v>0</v>
      </c>
      <c r="AK1237" s="113" t="str">
        <f t="shared" si="17"/>
        <v>Pass</v>
      </c>
    </row>
    <row r="1238">
      <c r="A1238" s="45">
        <v>46015.0</v>
      </c>
      <c r="B1238" s="49">
        <v>0.6486111111111111</v>
      </c>
      <c r="C1238" s="45">
        <v>46015.0</v>
      </c>
      <c r="D1238" s="49">
        <v>0.6520833333333333</v>
      </c>
      <c r="E1238" s="21" t="s">
        <v>8998</v>
      </c>
      <c r="F1238" s="95" t="s">
        <v>2502</v>
      </c>
      <c r="G1238" s="21" t="s">
        <v>2503</v>
      </c>
      <c r="H1238" s="21" t="s">
        <v>6041</v>
      </c>
      <c r="I1238" s="21" t="s">
        <v>616</v>
      </c>
      <c r="J1238" s="21" t="s">
        <v>2253</v>
      </c>
      <c r="K1238" s="21" t="s">
        <v>43</v>
      </c>
      <c r="L1238" s="21" t="s">
        <v>805</v>
      </c>
      <c r="M1238" s="21" t="s">
        <v>8999</v>
      </c>
      <c r="N1238" s="21" t="s">
        <v>9000</v>
      </c>
      <c r="O1238" s="48" t="s">
        <v>9001</v>
      </c>
      <c r="P1238" s="21" t="s">
        <v>75</v>
      </c>
      <c r="Q1238" s="24" t="s">
        <v>49</v>
      </c>
      <c r="R1238" s="21" t="s">
        <v>9002</v>
      </c>
      <c r="S1238" s="21" t="s">
        <v>51</v>
      </c>
      <c r="T1238" s="21" t="s">
        <v>52</v>
      </c>
      <c r="U1238" s="21" t="s">
        <v>52</v>
      </c>
      <c r="V1238" s="21" t="s">
        <v>52</v>
      </c>
      <c r="W1238" s="45">
        <v>46015.0</v>
      </c>
      <c r="X1238" s="49">
        <v>0.6520833333333333</v>
      </c>
      <c r="Y1238" s="45">
        <v>46015.0</v>
      </c>
      <c r="Z1238" s="49">
        <v>0.775</v>
      </c>
      <c r="AA1238" s="49">
        <v>0.7763888888888889</v>
      </c>
      <c r="AB1238" s="29"/>
      <c r="AC1238" s="29"/>
      <c r="AD1238" s="25">
        <v>0.8145833333333333</v>
      </c>
      <c r="AE1238" s="45">
        <v>46015.0</v>
      </c>
      <c r="AF1238" s="21" t="s">
        <v>2828</v>
      </c>
      <c r="AG1238" s="21" t="s">
        <v>6108</v>
      </c>
      <c r="AH1238" s="21" t="s">
        <v>9003</v>
      </c>
      <c r="AI1238" s="108" t="str">
        <f>IFERROR(__xludf.DUMMYFUNCTION("IF(OR(W1238="""",X1238="""",AE1238="""",AD1238=""""),"""",
   TEXT(
     (
       (AE1238+AD1238 + IF(AE1238+AD1238 &lt; W1238+X1238,1,0)) - (W1238+X1238)
     )
     - IF(AND(AB1238&lt;&gt;"""",AC1238&lt;&gt;""""), 
          SUM(ARRAYFORMULA(SPLIT(AC1238,"","") - SPLI"&amp;"T(AB1238,"",""))), 
          0
       ),
     ""[hh]:mm""
   )
)
"),"03:54")</f>
        <v>03:54</v>
      </c>
      <c r="AJ1238" s="109">
        <f t="shared" si="16"/>
        <v>0</v>
      </c>
      <c r="AK1238" s="110" t="str">
        <f t="shared" si="17"/>
        <v>Pass</v>
      </c>
    </row>
    <row r="1239">
      <c r="A1239" s="45">
        <v>46015.0</v>
      </c>
      <c r="B1239" s="49">
        <v>0.6486111111111111</v>
      </c>
      <c r="C1239" s="45">
        <v>46015.0</v>
      </c>
      <c r="D1239" s="49">
        <v>0.6520833333333333</v>
      </c>
      <c r="E1239" s="21" t="s">
        <v>9004</v>
      </c>
      <c r="F1239" s="95" t="s">
        <v>2502</v>
      </c>
      <c r="G1239" s="21" t="s">
        <v>2503</v>
      </c>
      <c r="H1239" s="21" t="s">
        <v>6041</v>
      </c>
      <c r="I1239" s="21" t="s">
        <v>131</v>
      </c>
      <c r="J1239" s="21" t="s">
        <v>2253</v>
      </c>
      <c r="K1239" s="21" t="s">
        <v>43</v>
      </c>
      <c r="L1239" s="21" t="s">
        <v>805</v>
      </c>
      <c r="M1239" s="21" t="s">
        <v>9005</v>
      </c>
      <c r="N1239" s="21" t="s">
        <v>9006</v>
      </c>
      <c r="O1239" s="48" t="s">
        <v>9001</v>
      </c>
      <c r="P1239" s="21" t="s">
        <v>75</v>
      </c>
      <c r="Q1239" s="24" t="s">
        <v>49</v>
      </c>
      <c r="R1239" s="21" t="s">
        <v>9002</v>
      </c>
      <c r="S1239" s="21" t="s">
        <v>51</v>
      </c>
      <c r="T1239" s="21" t="s">
        <v>52</v>
      </c>
      <c r="U1239" s="21" t="s">
        <v>52</v>
      </c>
      <c r="V1239" s="21" t="s">
        <v>52</v>
      </c>
      <c r="W1239" s="45">
        <v>46015.0</v>
      </c>
      <c r="X1239" s="49">
        <v>0.6520833333333333</v>
      </c>
      <c r="Y1239" s="45">
        <v>46015.0</v>
      </c>
      <c r="Z1239" s="49">
        <v>0.775</v>
      </c>
      <c r="AA1239" s="49">
        <v>0.7763888888888889</v>
      </c>
      <c r="AB1239" s="29"/>
      <c r="AC1239" s="29"/>
      <c r="AD1239" s="25">
        <v>0.8145833333333333</v>
      </c>
      <c r="AE1239" s="45">
        <v>46015.0</v>
      </c>
      <c r="AF1239" s="21" t="s">
        <v>2828</v>
      </c>
      <c r="AG1239" s="21" t="s">
        <v>6108</v>
      </c>
      <c r="AH1239" s="21" t="s">
        <v>9003</v>
      </c>
      <c r="AI1239" s="108" t="str">
        <f>IFERROR(__xludf.DUMMYFUNCTION("IF(OR(W1239="""",X1239="""",AE1239="""",AD1239=""""),"""",
   TEXT(
     (
       (AE1239+AD1239 + IF(AE1239+AD1239 &lt; W1239+X1239,1,0)) - (W1239+X1239)
     )
     - IF(AND(AB1239&lt;&gt;"""",AC1239&lt;&gt;""""), 
          SUM(ARRAYFORMULA(SPLIT(AC1239,"","") - SPLI"&amp;"T(AB1239,"",""))), 
          0
       ),
     ""[hh]:mm""
   )
)
"),"03:54")</f>
        <v>03:54</v>
      </c>
      <c r="AJ1239" s="109">
        <f t="shared" si="16"/>
        <v>0</v>
      </c>
      <c r="AK1239" s="110" t="str">
        <f t="shared" si="17"/>
        <v>Pass</v>
      </c>
    </row>
    <row r="1240">
      <c r="A1240" s="45">
        <v>46015.0</v>
      </c>
      <c r="B1240" s="49">
        <v>0.9791666666666666</v>
      </c>
      <c r="C1240" s="45">
        <v>46016.0</v>
      </c>
      <c r="D1240" s="49">
        <v>0.3277777777777778</v>
      </c>
      <c r="E1240" s="21" t="s">
        <v>9007</v>
      </c>
      <c r="F1240" s="21" t="s">
        <v>8544</v>
      </c>
      <c r="G1240" s="21" t="s">
        <v>9008</v>
      </c>
      <c r="H1240" s="21" t="s">
        <v>1610</v>
      </c>
      <c r="I1240" s="21" t="s">
        <v>1612</v>
      </c>
      <c r="J1240" s="21" t="s">
        <v>1612</v>
      </c>
      <c r="K1240" s="21" t="s">
        <v>143</v>
      </c>
      <c r="L1240" s="21" t="s">
        <v>1613</v>
      </c>
      <c r="M1240" s="21" t="s">
        <v>9009</v>
      </c>
      <c r="N1240" s="21" t="s">
        <v>9010</v>
      </c>
      <c r="O1240" s="48" t="s">
        <v>9011</v>
      </c>
      <c r="P1240" s="21" t="s">
        <v>187</v>
      </c>
      <c r="Q1240" s="24" t="s">
        <v>65</v>
      </c>
      <c r="R1240" s="21" t="s">
        <v>9012</v>
      </c>
      <c r="S1240" s="21" t="s">
        <v>51</v>
      </c>
      <c r="T1240" s="21" t="s">
        <v>52</v>
      </c>
      <c r="U1240" s="21" t="s">
        <v>52</v>
      </c>
      <c r="V1240" s="21" t="s">
        <v>52</v>
      </c>
      <c r="W1240" s="45">
        <v>46016.0</v>
      </c>
      <c r="X1240" s="49">
        <v>0.3277777777777778</v>
      </c>
      <c r="Y1240" s="45">
        <v>46016.0</v>
      </c>
      <c r="Z1240" s="49">
        <v>0.5583333333333333</v>
      </c>
      <c r="AA1240" s="49">
        <v>0.5625</v>
      </c>
      <c r="AB1240" s="29"/>
      <c r="AC1240" s="29"/>
      <c r="AD1240" s="25">
        <v>0.6006944444444444</v>
      </c>
      <c r="AE1240" s="45">
        <v>46016.0</v>
      </c>
      <c r="AF1240" s="21" t="s">
        <v>2788</v>
      </c>
      <c r="AG1240" s="21" t="s">
        <v>4384</v>
      </c>
      <c r="AH1240" s="21" t="s">
        <v>9013</v>
      </c>
      <c r="AI1240" s="108" t="str">
        <f>IFERROR(__xludf.DUMMYFUNCTION("IF(OR(W1240="""",X1240="""",AE1240="""",AD1240=""""),"""",
   TEXT(
     (
       (AE1240+AD1240 + IF(AE1240+AD1240 &lt; W1240+X1240,1,0)) - (W1240+X1240)
     )
     - IF(AND(AB1240&lt;&gt;"""",AC1240&lt;&gt;""""), 
          SUM(ARRAYFORMULA(SPLIT(AC1240,"","") - SPLI"&amp;"T(AB1240,"",""))), 
          0
       ),
     ""[hh]:mm""
   )
)
"),"06:33")</f>
        <v>06:33</v>
      </c>
      <c r="AJ1240" s="109">
        <f t="shared" si="16"/>
        <v>0</v>
      </c>
      <c r="AK1240" s="110" t="str">
        <f t="shared" si="17"/>
        <v>Pass</v>
      </c>
    </row>
    <row r="1241">
      <c r="A1241" s="45">
        <v>46016.0</v>
      </c>
      <c r="B1241" s="49">
        <v>0.3</v>
      </c>
      <c r="C1241" s="45">
        <v>46016.0</v>
      </c>
      <c r="D1241" s="49">
        <v>0.30833333333333335</v>
      </c>
      <c r="E1241" s="21" t="s">
        <v>9014</v>
      </c>
      <c r="F1241" s="21" t="s">
        <v>9015</v>
      </c>
      <c r="G1241" s="21" t="s">
        <v>9016</v>
      </c>
      <c r="H1241" s="21" t="s">
        <v>746</v>
      </c>
      <c r="I1241" s="21" t="s">
        <v>1632</v>
      </c>
      <c r="J1241" s="21" t="s">
        <v>2655</v>
      </c>
      <c r="K1241" s="21" t="s">
        <v>43</v>
      </c>
      <c r="L1241" s="21" t="s">
        <v>9017</v>
      </c>
      <c r="M1241" s="21">
        <v>2.02203280406E11</v>
      </c>
      <c r="N1241" s="21" t="s">
        <v>9018</v>
      </c>
      <c r="O1241" s="48" t="s">
        <v>9019</v>
      </c>
      <c r="P1241" s="21" t="s">
        <v>75</v>
      </c>
      <c r="Q1241" s="24" t="s">
        <v>65</v>
      </c>
      <c r="R1241" s="21" t="s">
        <v>9020</v>
      </c>
      <c r="S1241" s="21" t="s">
        <v>51</v>
      </c>
      <c r="T1241" s="21" t="s">
        <v>3436</v>
      </c>
      <c r="U1241" s="21" t="s">
        <v>52</v>
      </c>
      <c r="V1241" s="21" t="s">
        <v>52</v>
      </c>
      <c r="W1241" s="45">
        <v>46016.0</v>
      </c>
      <c r="X1241" s="49">
        <v>0.6527777777777778</v>
      </c>
      <c r="Y1241" s="45">
        <v>46016.0</v>
      </c>
      <c r="Z1241" s="49">
        <v>0.71875</v>
      </c>
      <c r="AA1241" s="49">
        <v>0.7291666666666666</v>
      </c>
      <c r="AB1241" s="29"/>
      <c r="AC1241" s="29"/>
      <c r="AD1241" s="25">
        <v>0.75</v>
      </c>
      <c r="AE1241" s="45">
        <v>46016.0</v>
      </c>
      <c r="AF1241" s="21" t="s">
        <v>3218</v>
      </c>
      <c r="AG1241" s="21" t="s">
        <v>9021</v>
      </c>
      <c r="AH1241" s="21" t="s">
        <v>9022</v>
      </c>
      <c r="AI1241" s="108" t="str">
        <f>IFERROR(__xludf.DUMMYFUNCTION("IF(OR(W1241="""",X1241="""",AE1241="""",AD1241=""""),"""",
   TEXT(
     (
       (AE1241+AD1241 + IF(AE1241+AD1241 &lt; W1241+X1241,1,0)) - (W1241+X1241)
     )
     - IF(AND(AB1241&lt;&gt;"""",AC1241&lt;&gt;""""), 
          SUM(ARRAYFORMULA(SPLIT(AC1241,"","") - SPLI"&amp;"T(AB1241,"",""))), 
          0
       ),
     ""[hh]:mm""
   )
)
"),"02:20")</f>
        <v>02:20</v>
      </c>
      <c r="AJ1241" s="109">
        <f t="shared" si="16"/>
        <v>0</v>
      </c>
      <c r="AK1241" s="110" t="str">
        <f t="shared" si="17"/>
        <v>Pass</v>
      </c>
    </row>
    <row r="1242">
      <c r="A1242" s="45">
        <v>46016.0</v>
      </c>
      <c r="B1242" s="49">
        <v>0.3854166666666667</v>
      </c>
      <c r="C1242" s="45">
        <v>46016.0</v>
      </c>
      <c r="D1242" s="49">
        <v>0.3909722222222222</v>
      </c>
      <c r="E1242" s="21" t="s">
        <v>9023</v>
      </c>
      <c r="F1242" s="21" t="s">
        <v>4300</v>
      </c>
      <c r="G1242" s="21" t="s">
        <v>4301</v>
      </c>
      <c r="H1242" s="21" t="s">
        <v>156</v>
      </c>
      <c r="I1242" s="21" t="s">
        <v>616</v>
      </c>
      <c r="J1242" s="21" t="s">
        <v>2253</v>
      </c>
      <c r="K1242" s="21" t="s">
        <v>43</v>
      </c>
      <c r="L1242" s="21" t="s">
        <v>805</v>
      </c>
      <c r="M1242" s="21" t="s">
        <v>8122</v>
      </c>
      <c r="N1242" s="21" t="s">
        <v>9024</v>
      </c>
      <c r="O1242" s="48" t="s">
        <v>9025</v>
      </c>
      <c r="P1242" s="21" t="s">
        <v>75</v>
      </c>
      <c r="Q1242" s="24" t="s">
        <v>65</v>
      </c>
      <c r="R1242" s="102" t="s">
        <v>9026</v>
      </c>
      <c r="S1242" s="21" t="s">
        <v>51</v>
      </c>
      <c r="T1242" s="21" t="s">
        <v>9027</v>
      </c>
      <c r="U1242" s="21" t="s">
        <v>8178</v>
      </c>
      <c r="V1242" s="21" t="s">
        <v>8122</v>
      </c>
      <c r="W1242" s="45">
        <v>46016.0</v>
      </c>
      <c r="X1242" s="49">
        <v>0.3909722222222222</v>
      </c>
      <c r="Y1242" s="45">
        <v>46016.0</v>
      </c>
      <c r="Z1242" s="49">
        <v>0.6291666666666667</v>
      </c>
      <c r="AA1242" s="49">
        <v>0.6319444444444444</v>
      </c>
      <c r="AB1242" s="25">
        <v>0.6354166666666666</v>
      </c>
      <c r="AC1242" s="25">
        <v>0.7020833333333333</v>
      </c>
      <c r="AD1242" s="25">
        <v>0.7118055555555556</v>
      </c>
      <c r="AE1242" s="45">
        <v>46016.0</v>
      </c>
      <c r="AF1242" s="21" t="s">
        <v>2931</v>
      </c>
      <c r="AG1242" s="21" t="s">
        <v>239</v>
      </c>
      <c r="AH1242" s="21" t="s">
        <v>9028</v>
      </c>
      <c r="AI1242" s="108" t="str">
        <f>IFERROR(__xludf.DUMMYFUNCTION("IF(OR(W1242="""",X1242="""",AE1242="""",AD1242=""""),"""",
   TEXT(
     (
       (AE1242+AD1242 + IF(AE1242+AD1242 &lt; W1242+X1242,1,0)) - (W1242+X1242)
     )
     - IF(AND(AB1242&lt;&gt;"""",AC1242&lt;&gt;""""), 
          SUM(ARRAYFORMULA(SPLIT(AC1242,"","") - SPLI"&amp;"T(AB1242,"",""))), 
          0
       ),
     ""[hh]:mm""
   )
)
"),"06:06")</f>
        <v>06:06</v>
      </c>
      <c r="AJ1242" s="109">
        <f t="shared" si="16"/>
        <v>0</v>
      </c>
      <c r="AK1242" s="110" t="str">
        <f t="shared" si="17"/>
        <v>Pass</v>
      </c>
    </row>
    <row r="1243">
      <c r="A1243" s="45">
        <v>46016.0</v>
      </c>
      <c r="B1243" s="49">
        <v>0.44305555555555554</v>
      </c>
      <c r="C1243" s="45">
        <v>46016.0</v>
      </c>
      <c r="D1243" s="49">
        <v>0.4444444444444444</v>
      </c>
      <c r="E1243" s="21" t="s">
        <v>9029</v>
      </c>
      <c r="F1243" s="21" t="s">
        <v>735</v>
      </c>
      <c r="G1243" s="21" t="s">
        <v>736</v>
      </c>
      <c r="H1243" s="21" t="s">
        <v>1610</v>
      </c>
      <c r="I1243" s="21" t="s">
        <v>1612</v>
      </c>
      <c r="J1243" s="21" t="s">
        <v>1612</v>
      </c>
      <c r="K1243" s="21" t="s">
        <v>143</v>
      </c>
      <c r="L1243" s="21" t="s">
        <v>1613</v>
      </c>
      <c r="M1243" s="21" t="s">
        <v>9030</v>
      </c>
      <c r="N1243" s="21" t="s">
        <v>9031</v>
      </c>
      <c r="O1243" s="48" t="s">
        <v>9032</v>
      </c>
      <c r="P1243" s="21" t="s">
        <v>187</v>
      </c>
      <c r="Q1243" s="24" t="s">
        <v>65</v>
      </c>
      <c r="R1243" s="21" t="s">
        <v>9033</v>
      </c>
      <c r="S1243" s="21" t="s">
        <v>51</v>
      </c>
      <c r="T1243" s="21" t="s">
        <v>52</v>
      </c>
      <c r="U1243" s="21" t="s">
        <v>52</v>
      </c>
      <c r="V1243" s="21" t="s">
        <v>52</v>
      </c>
      <c r="W1243" s="45">
        <v>46016.0</v>
      </c>
      <c r="X1243" s="49">
        <v>0.4444444444444444</v>
      </c>
      <c r="Y1243" s="45">
        <v>46016.0</v>
      </c>
      <c r="Z1243" s="49">
        <v>0.47638888888888886</v>
      </c>
      <c r="AA1243" s="49">
        <v>0.4791666666666667</v>
      </c>
      <c r="AB1243" s="25">
        <v>0.48333333333333334</v>
      </c>
      <c r="AC1243" s="25">
        <v>0.5</v>
      </c>
      <c r="AD1243" s="25">
        <v>0.6458333333333334</v>
      </c>
      <c r="AE1243" s="45">
        <v>46016.0</v>
      </c>
      <c r="AF1243" s="21" t="s">
        <v>7273</v>
      </c>
      <c r="AG1243" s="21" t="s">
        <v>5541</v>
      </c>
      <c r="AH1243" s="21" t="s">
        <v>9034</v>
      </c>
      <c r="AI1243" s="108" t="str">
        <f>IFERROR(__xludf.DUMMYFUNCTION("IF(OR(W1243="""",X1243="""",AE1243="""",AD1243=""""),"""",
   TEXT(
     (
       (AE1243+AD1243 + IF(AE1243+AD1243 &lt; W1243+X1243,1,0)) - (W1243+X1243)
     )
     - IF(AND(AB1243&lt;&gt;"""",AC1243&lt;&gt;""""), 
          SUM(ARRAYFORMULA(SPLIT(AC1243,"","") - SPLI"&amp;"T(AB1243,"",""))), 
          0
       ),
     ""[hh]:mm""
   )
)
"),"04:26")</f>
        <v>04:26</v>
      </c>
      <c r="AJ1243" s="109">
        <f t="shared" si="16"/>
        <v>0</v>
      </c>
      <c r="AK1243" s="110" t="str">
        <f t="shared" si="17"/>
        <v>Pass</v>
      </c>
    </row>
    <row r="1244">
      <c r="A1244" s="45">
        <v>46015.0</v>
      </c>
      <c r="B1244" s="49">
        <v>0.6486111111111111</v>
      </c>
      <c r="C1244" s="45">
        <v>46015.0</v>
      </c>
      <c r="D1244" s="49">
        <v>0.6520833333333333</v>
      </c>
      <c r="E1244" s="21" t="s">
        <v>8998</v>
      </c>
      <c r="F1244" s="21" t="s">
        <v>2502</v>
      </c>
      <c r="G1244" s="21" t="s">
        <v>2503</v>
      </c>
      <c r="H1244" s="21" t="s">
        <v>6041</v>
      </c>
      <c r="I1244" s="21" t="s">
        <v>616</v>
      </c>
      <c r="J1244" s="21" t="s">
        <v>2253</v>
      </c>
      <c r="K1244" s="21" t="s">
        <v>43</v>
      </c>
      <c r="L1244" s="21" t="s">
        <v>805</v>
      </c>
      <c r="M1244" s="21" t="s">
        <v>8999</v>
      </c>
      <c r="N1244" s="21" t="s">
        <v>9000</v>
      </c>
      <c r="O1244" s="48" t="s">
        <v>9035</v>
      </c>
      <c r="P1244" s="21" t="s">
        <v>75</v>
      </c>
      <c r="Q1244" s="24" t="s">
        <v>49</v>
      </c>
      <c r="R1244" s="102" t="s">
        <v>9002</v>
      </c>
      <c r="S1244" s="21" t="s">
        <v>51</v>
      </c>
      <c r="T1244" s="21" t="s">
        <v>9027</v>
      </c>
      <c r="U1244" s="21" t="s">
        <v>7701</v>
      </c>
      <c r="V1244" s="21" t="s">
        <v>8999</v>
      </c>
      <c r="W1244" s="45">
        <v>46016.0</v>
      </c>
      <c r="X1244" s="49">
        <v>0.4979166666666667</v>
      </c>
      <c r="Y1244" s="45">
        <v>46016.0</v>
      </c>
      <c r="Z1244" s="49">
        <v>0.55625</v>
      </c>
      <c r="AA1244" s="49">
        <v>0.7152777777777778</v>
      </c>
      <c r="AB1244" s="24" t="s">
        <v>9036</v>
      </c>
      <c r="AC1244" s="24" t="s">
        <v>9037</v>
      </c>
      <c r="AD1244" s="25">
        <v>0.7451388888888889</v>
      </c>
      <c r="AE1244" s="45">
        <v>46016.0</v>
      </c>
      <c r="AF1244" s="21" t="s">
        <v>2828</v>
      </c>
      <c r="AG1244" s="21" t="s">
        <v>162</v>
      </c>
      <c r="AH1244" s="21" t="s">
        <v>5500</v>
      </c>
      <c r="AI1244" s="108" t="str">
        <f>IFERROR(__xludf.DUMMYFUNCTION("IF(OR(W1244="""",X1244="""",AE1244="""",AD1244=""""),"""",
   TEXT(
     (
       (AE1244+AD1244 + IF(AE1244+AD1244 &lt; W1244+X1244,1,0)) - (W1244+X1244)
     )
     - IF(AND(AB1244&lt;&gt;"""",AC1244&lt;&gt;""""), 
          SUM(ARRAYFORMULA(SPLIT(AC1244,"","") - SPLI"&amp;"T(AB1244,"",""))), 
          0
       ),
     ""[hh]:mm""
   )
)
"),"01:47")</f>
        <v>01:47</v>
      </c>
      <c r="AJ1244" s="109">
        <f t="shared" si="16"/>
        <v>0</v>
      </c>
      <c r="AK1244" s="110" t="str">
        <f t="shared" si="17"/>
        <v>Pass</v>
      </c>
    </row>
    <row r="1245">
      <c r="A1245" s="45">
        <v>46015.0</v>
      </c>
      <c r="B1245" s="49">
        <v>0.6486111111111111</v>
      </c>
      <c r="C1245" s="45">
        <v>46015.0</v>
      </c>
      <c r="D1245" s="49">
        <v>0.6520833333333333</v>
      </c>
      <c r="E1245" s="21" t="s">
        <v>9004</v>
      </c>
      <c r="F1245" s="21" t="s">
        <v>2502</v>
      </c>
      <c r="G1245" s="21" t="s">
        <v>2503</v>
      </c>
      <c r="H1245" s="21" t="s">
        <v>6041</v>
      </c>
      <c r="I1245" s="21" t="s">
        <v>131</v>
      </c>
      <c r="J1245" s="21" t="s">
        <v>2253</v>
      </c>
      <c r="K1245" s="21" t="s">
        <v>43</v>
      </c>
      <c r="L1245" s="21" t="s">
        <v>805</v>
      </c>
      <c r="M1245" s="21" t="s">
        <v>9005</v>
      </c>
      <c r="N1245" s="21" t="s">
        <v>9006</v>
      </c>
      <c r="O1245" s="48" t="s">
        <v>9038</v>
      </c>
      <c r="P1245" s="21" t="s">
        <v>75</v>
      </c>
      <c r="Q1245" s="24" t="s">
        <v>49</v>
      </c>
      <c r="R1245" s="102" t="s">
        <v>9002</v>
      </c>
      <c r="S1245" s="21" t="s">
        <v>51</v>
      </c>
      <c r="T1245" s="21" t="s">
        <v>9027</v>
      </c>
      <c r="U1245" s="21" t="s">
        <v>8476</v>
      </c>
      <c r="V1245" s="21" t="s">
        <v>8999</v>
      </c>
      <c r="W1245" s="45">
        <v>46016.0</v>
      </c>
      <c r="X1245" s="49">
        <v>0.4979166666666667</v>
      </c>
      <c r="Y1245" s="45">
        <v>46016.0</v>
      </c>
      <c r="Z1245" s="49">
        <v>0.55625</v>
      </c>
      <c r="AA1245" s="49">
        <v>0.7152777777777778</v>
      </c>
      <c r="AB1245" s="24" t="s">
        <v>9036</v>
      </c>
      <c r="AC1245" s="24" t="s">
        <v>9037</v>
      </c>
      <c r="AD1245" s="25">
        <v>0.7451388888888889</v>
      </c>
      <c r="AE1245" s="45">
        <v>46016.0</v>
      </c>
      <c r="AF1245" s="21" t="s">
        <v>2828</v>
      </c>
      <c r="AG1245" s="21" t="s">
        <v>162</v>
      </c>
      <c r="AH1245" s="21" t="s">
        <v>5500</v>
      </c>
      <c r="AI1245" s="108" t="str">
        <f>IFERROR(__xludf.DUMMYFUNCTION("IF(OR(W1245="""",X1245="""",AE1245="""",AD1245=""""),"""",
   TEXT(
     (
       (AE1245+AD1245 + IF(AE1245+AD1245 &lt; W1245+X1245,1,0)) - (W1245+X1245)
     )
     - IF(AND(AB1245&lt;&gt;"""",AC1245&lt;&gt;""""), 
          SUM(ARRAYFORMULA(SPLIT(AC1245,"","") - SPLI"&amp;"T(AB1245,"",""))), 
          0
       ),
     ""[hh]:mm""
   )
)
"),"01:47")</f>
        <v>01:47</v>
      </c>
      <c r="AJ1245" s="109">
        <f t="shared" si="16"/>
        <v>0</v>
      </c>
      <c r="AK1245" s="110" t="str">
        <f t="shared" si="17"/>
        <v>Pass</v>
      </c>
    </row>
    <row r="1246">
      <c r="A1246" s="45">
        <v>46016.0</v>
      </c>
      <c r="B1246" s="49">
        <v>0.6381944444444444</v>
      </c>
      <c r="C1246" s="45">
        <v>46016.0</v>
      </c>
      <c r="D1246" s="49">
        <v>0.6402777777777777</v>
      </c>
      <c r="E1246" s="21" t="s">
        <v>9039</v>
      </c>
      <c r="F1246" s="21" t="s">
        <v>3647</v>
      </c>
      <c r="G1246" s="21" t="s">
        <v>3648</v>
      </c>
      <c r="H1246" s="21" t="s">
        <v>1610</v>
      </c>
      <c r="I1246" s="21" t="s">
        <v>1612</v>
      </c>
      <c r="J1246" s="21" t="s">
        <v>1612</v>
      </c>
      <c r="K1246" s="21" t="s">
        <v>143</v>
      </c>
      <c r="L1246" s="21" t="s">
        <v>5254</v>
      </c>
      <c r="M1246" s="21" t="s">
        <v>9040</v>
      </c>
      <c r="N1246" s="21" t="s">
        <v>8693</v>
      </c>
      <c r="O1246" s="48" t="s">
        <v>9041</v>
      </c>
      <c r="P1246" s="21" t="s">
        <v>75</v>
      </c>
      <c r="Q1246" s="24" t="s">
        <v>65</v>
      </c>
      <c r="R1246" s="21" t="s">
        <v>9042</v>
      </c>
      <c r="S1246" s="21" t="s">
        <v>51</v>
      </c>
      <c r="T1246" s="21" t="s">
        <v>52</v>
      </c>
      <c r="U1246" s="21" t="s">
        <v>52</v>
      </c>
      <c r="V1246" s="21" t="s">
        <v>52</v>
      </c>
      <c r="W1246" s="45">
        <v>46016.0</v>
      </c>
      <c r="X1246" s="49">
        <v>0.6402777777777777</v>
      </c>
      <c r="Y1246" s="45">
        <v>46016.0</v>
      </c>
      <c r="Z1246" s="49">
        <v>0.7458333333333333</v>
      </c>
      <c r="AA1246" s="49">
        <v>0.75</v>
      </c>
      <c r="AB1246" s="29"/>
      <c r="AC1246" s="29"/>
      <c r="AD1246" s="25">
        <v>0.7916666666666666</v>
      </c>
      <c r="AE1246" s="45">
        <v>46016.0</v>
      </c>
      <c r="AF1246" s="21" t="s">
        <v>2828</v>
      </c>
      <c r="AG1246" s="21" t="s">
        <v>102</v>
      </c>
      <c r="AH1246" s="21" t="s">
        <v>9043</v>
      </c>
      <c r="AI1246" s="108" t="str">
        <f>IFERROR(__xludf.DUMMYFUNCTION("IF(OR(W1246="""",X1246="""",AE1246="""",AD1246=""""),"""",
   TEXT(
     (
       (AE1246+AD1246 + IF(AE1246+AD1246 &lt; W1246+X1246,1,0)) - (W1246+X1246)
     )
     - IF(AND(AB1246&lt;&gt;"""",AC1246&lt;&gt;""""), 
          SUM(ARRAYFORMULA(SPLIT(AC1246,"","") - SPLI"&amp;"T(AB1246,"",""))), 
          0
       ),
     ""[hh]:mm""
   )
)
"),"03:38")</f>
        <v>03:38</v>
      </c>
      <c r="AJ1246" s="109">
        <f t="shared" si="16"/>
        <v>0</v>
      </c>
      <c r="AK1246" s="110" t="str">
        <f t="shared" si="17"/>
        <v>Pass</v>
      </c>
    </row>
    <row r="1247">
      <c r="A1247" s="45">
        <v>46016.0</v>
      </c>
      <c r="B1247" s="49">
        <v>0.6513888888888889</v>
      </c>
      <c r="C1247" s="45">
        <v>46016.0</v>
      </c>
      <c r="D1247" s="49">
        <v>0.6548611111111111</v>
      </c>
      <c r="E1247" s="21" t="s">
        <v>9044</v>
      </c>
      <c r="F1247" s="21" t="s">
        <v>9045</v>
      </c>
      <c r="G1247" s="21" t="s">
        <v>9046</v>
      </c>
      <c r="H1247" s="21" t="s">
        <v>1610</v>
      </c>
      <c r="I1247" s="21" t="s">
        <v>1612</v>
      </c>
      <c r="J1247" s="21" t="s">
        <v>1612</v>
      </c>
      <c r="K1247" s="21" t="s">
        <v>143</v>
      </c>
      <c r="L1247" s="21" t="s">
        <v>5254</v>
      </c>
      <c r="M1247" s="21" t="s">
        <v>9047</v>
      </c>
      <c r="N1247" s="21" t="s">
        <v>8693</v>
      </c>
      <c r="O1247" s="48" t="s">
        <v>9048</v>
      </c>
      <c r="P1247" s="21" t="s">
        <v>75</v>
      </c>
      <c r="Q1247" s="24" t="s">
        <v>65</v>
      </c>
      <c r="R1247" s="21" t="s">
        <v>9049</v>
      </c>
      <c r="S1247" s="21" t="s">
        <v>51</v>
      </c>
      <c r="T1247" s="21" t="s">
        <v>52</v>
      </c>
      <c r="U1247" s="21" t="s">
        <v>52</v>
      </c>
      <c r="V1247" s="21" t="s">
        <v>52</v>
      </c>
      <c r="W1247" s="45">
        <v>46016.0</v>
      </c>
      <c r="X1247" s="49">
        <v>0.6548611111111111</v>
      </c>
      <c r="Y1247" s="45">
        <v>46016.0</v>
      </c>
      <c r="Z1247" s="49">
        <v>0.7291666666666666</v>
      </c>
      <c r="AA1247" s="49">
        <v>0.7305555555555555</v>
      </c>
      <c r="AB1247" s="24" t="s">
        <v>9050</v>
      </c>
      <c r="AC1247" s="24" t="s">
        <v>9051</v>
      </c>
      <c r="AD1247" s="25">
        <v>0.8125</v>
      </c>
      <c r="AE1247" s="45">
        <v>46016.0</v>
      </c>
      <c r="AF1247" s="21" t="s">
        <v>2828</v>
      </c>
      <c r="AG1247" s="21" t="s">
        <v>1321</v>
      </c>
      <c r="AH1247" s="21" t="s">
        <v>9052</v>
      </c>
      <c r="AI1247" s="108" t="str">
        <f>IFERROR(__xludf.DUMMYFUNCTION("IF(OR(W1247="""",X1247="""",AE1247="""",AD1247=""""),"""",
   TEXT(
     (
       (AE1247+AD1247 + IF(AE1247+AD1247 &lt; W1247+X1247,1,0)) - (W1247+X1247)
     )
     - IF(AND(AB1247&lt;&gt;"""",AC1247&lt;&gt;""""), 
          SUM(ARRAYFORMULA(SPLIT(AC1247,"","") - SPLI"&amp;"T(AB1247,"",""))), 
          0
       ),
     ""[hh]:mm""
   )
)
"),"02:11")</f>
        <v>02:11</v>
      </c>
      <c r="AJ1247" s="109">
        <f t="shared" si="16"/>
        <v>0</v>
      </c>
      <c r="AK1247" s="110" t="str">
        <f t="shared" si="17"/>
        <v>Pass</v>
      </c>
    </row>
    <row r="1248">
      <c r="A1248" s="45">
        <v>46016.0</v>
      </c>
      <c r="B1248" s="49">
        <v>0.725</v>
      </c>
      <c r="C1248" s="45">
        <v>46016.0</v>
      </c>
      <c r="D1248" s="49">
        <v>0.7458333333333333</v>
      </c>
      <c r="E1248" s="21" t="s">
        <v>9053</v>
      </c>
      <c r="F1248" s="21" t="s">
        <v>9054</v>
      </c>
      <c r="G1248" s="21" t="s">
        <v>9055</v>
      </c>
      <c r="H1248" s="21" t="s">
        <v>1610</v>
      </c>
      <c r="I1248" s="21" t="s">
        <v>1612</v>
      </c>
      <c r="J1248" s="21" t="s">
        <v>1612</v>
      </c>
      <c r="K1248" s="21" t="s">
        <v>143</v>
      </c>
      <c r="L1248" s="21" t="s">
        <v>1613</v>
      </c>
      <c r="M1248" s="21" t="s">
        <v>9056</v>
      </c>
      <c r="N1248" s="21" t="s">
        <v>9057</v>
      </c>
      <c r="O1248" s="48" t="s">
        <v>9058</v>
      </c>
      <c r="P1248" s="21" t="s">
        <v>75</v>
      </c>
      <c r="Q1248" s="24" t="s">
        <v>65</v>
      </c>
      <c r="R1248" s="21" t="s">
        <v>9012</v>
      </c>
      <c r="S1248" s="21" t="s">
        <v>51</v>
      </c>
      <c r="T1248" s="21" t="s">
        <v>52</v>
      </c>
      <c r="U1248" s="21" t="s">
        <v>52</v>
      </c>
      <c r="V1248" s="21" t="s">
        <v>52</v>
      </c>
      <c r="W1248" s="45">
        <v>46017.0</v>
      </c>
      <c r="X1248" s="49">
        <v>0.3333333333333333</v>
      </c>
      <c r="Y1248" s="45">
        <v>46017.0</v>
      </c>
      <c r="Z1248" s="49">
        <v>0.48194444444444445</v>
      </c>
      <c r="AA1248" s="49">
        <v>0.48333333333333334</v>
      </c>
      <c r="AB1248" s="29"/>
      <c r="AC1248" s="29"/>
      <c r="AD1248" s="25">
        <v>0.5416666666666666</v>
      </c>
      <c r="AE1248" s="45">
        <v>46017.0</v>
      </c>
      <c r="AF1248" s="21" t="s">
        <v>4243</v>
      </c>
      <c r="AG1248" s="21" t="s">
        <v>4384</v>
      </c>
      <c r="AH1248" s="21" t="s">
        <v>9059</v>
      </c>
      <c r="AI1248" s="108" t="str">
        <f>IFERROR(__xludf.DUMMYFUNCTION("IF(OR(W1248="""",X1248="""",AE1248="""",AD1248=""""),"""",
   TEXT(
     (
       (AE1248+AD1248 + IF(AE1248+AD1248 &lt; W1248+X1248,1,0)) - (W1248+X1248)
     )
     - IF(AND(AB1248&lt;&gt;"""",AC1248&lt;&gt;""""), 
          SUM(ARRAYFORMULA(SPLIT(AC1248,"","") - SPLI"&amp;"T(AB1248,"",""))), 
          0
       ),
     ""[hh]:mm""
   )
)
"),"05:00")</f>
        <v>05:00</v>
      </c>
      <c r="AJ1248" s="109">
        <f t="shared" si="16"/>
        <v>0</v>
      </c>
      <c r="AK1248" s="110" t="str">
        <f t="shared" si="17"/>
        <v>Pass</v>
      </c>
    </row>
    <row r="1249">
      <c r="A1249" s="45">
        <v>46016.0</v>
      </c>
      <c r="B1249" s="49">
        <v>0.7520833333333333</v>
      </c>
      <c r="C1249" s="45">
        <v>46016.0</v>
      </c>
      <c r="D1249" s="49">
        <v>0.7708333333333334</v>
      </c>
      <c r="E1249" s="21" t="s">
        <v>9060</v>
      </c>
      <c r="F1249" s="21" t="s">
        <v>2831</v>
      </c>
      <c r="G1249" s="21" t="s">
        <v>2832</v>
      </c>
      <c r="H1249" s="21" t="s">
        <v>1610</v>
      </c>
      <c r="I1249" s="21" t="s">
        <v>1612</v>
      </c>
      <c r="J1249" s="21" t="s">
        <v>1612</v>
      </c>
      <c r="K1249" s="21" t="s">
        <v>143</v>
      </c>
      <c r="L1249" s="21" t="s">
        <v>1613</v>
      </c>
      <c r="M1249" s="21" t="s">
        <v>9061</v>
      </c>
      <c r="N1249" s="21" t="s">
        <v>9062</v>
      </c>
      <c r="O1249" s="48" t="s">
        <v>9063</v>
      </c>
      <c r="P1249" s="21" t="s">
        <v>75</v>
      </c>
      <c r="Q1249" s="24" t="s">
        <v>65</v>
      </c>
      <c r="R1249" s="21" t="s">
        <v>9064</v>
      </c>
      <c r="S1249" s="21" t="s">
        <v>51</v>
      </c>
      <c r="T1249" s="21" t="s">
        <v>52</v>
      </c>
      <c r="U1249" s="21" t="s">
        <v>52</v>
      </c>
      <c r="V1249" s="21" t="s">
        <v>52</v>
      </c>
      <c r="W1249" s="45">
        <v>46017.0</v>
      </c>
      <c r="X1249" s="49">
        <v>0.3333333333333333</v>
      </c>
      <c r="Y1249" s="45">
        <v>46017.0</v>
      </c>
      <c r="Z1249" s="49">
        <v>0.4479166666666667</v>
      </c>
      <c r="AA1249" s="49">
        <v>0.5</v>
      </c>
      <c r="AB1249" s="29"/>
      <c r="AC1249" s="29"/>
      <c r="AD1249" s="25">
        <v>0.5416666666666666</v>
      </c>
      <c r="AE1249" s="45">
        <v>46017.0</v>
      </c>
      <c r="AF1249" s="21" t="s">
        <v>2788</v>
      </c>
      <c r="AG1249" s="21" t="s">
        <v>78</v>
      </c>
      <c r="AH1249" s="21" t="s">
        <v>9065</v>
      </c>
      <c r="AI1249" s="108" t="str">
        <f>IFERROR(__xludf.DUMMYFUNCTION("IF(OR(W1249="""",X1249="""",AE1249="""",AD1249=""""),"""",
   TEXT(
     (
       (AE1249+AD1249 + IF(AE1249+AD1249 &lt; W1249+X1249,1,0)) - (W1249+X1249)
     )
     - IF(AND(AB1249&lt;&gt;"""",AC1249&lt;&gt;""""), 
          SUM(ARRAYFORMULA(SPLIT(AC1249,"","") - SPLI"&amp;"T(AB1249,"",""))), 
          0
       ),
     ""[hh]:mm""
   )
)
"),"05:00")</f>
        <v>05:00</v>
      </c>
      <c r="AJ1249" s="109">
        <f t="shared" si="16"/>
        <v>0</v>
      </c>
      <c r="AK1249" s="110" t="str">
        <f t="shared" si="17"/>
        <v>Pass</v>
      </c>
    </row>
    <row r="1250">
      <c r="A1250" s="45">
        <v>46016.0</v>
      </c>
      <c r="B1250" s="49">
        <v>0.7548611111111111</v>
      </c>
      <c r="C1250" s="45">
        <v>46016.0</v>
      </c>
      <c r="D1250" s="49">
        <v>0.7729166666666667</v>
      </c>
      <c r="E1250" s="21" t="s">
        <v>9066</v>
      </c>
      <c r="F1250" s="21" t="s">
        <v>2831</v>
      </c>
      <c r="G1250" s="21" t="s">
        <v>2832</v>
      </c>
      <c r="H1250" s="21" t="s">
        <v>1610</v>
      </c>
      <c r="I1250" s="21" t="s">
        <v>1612</v>
      </c>
      <c r="J1250" s="21" t="s">
        <v>1612</v>
      </c>
      <c r="K1250" s="21" t="s">
        <v>143</v>
      </c>
      <c r="L1250" s="21" t="s">
        <v>1613</v>
      </c>
      <c r="M1250" s="21" t="s">
        <v>9067</v>
      </c>
      <c r="N1250" s="21" t="s">
        <v>9068</v>
      </c>
      <c r="O1250" s="48" t="s">
        <v>9069</v>
      </c>
      <c r="P1250" s="21" t="s">
        <v>75</v>
      </c>
      <c r="Q1250" s="24" t="s">
        <v>65</v>
      </c>
      <c r="R1250" s="21" t="s">
        <v>9064</v>
      </c>
      <c r="S1250" s="21" t="s">
        <v>51</v>
      </c>
      <c r="T1250" s="21" t="s">
        <v>52</v>
      </c>
      <c r="U1250" s="21" t="s">
        <v>52</v>
      </c>
      <c r="V1250" s="21" t="s">
        <v>52</v>
      </c>
      <c r="W1250" s="45">
        <v>46017.0</v>
      </c>
      <c r="X1250" s="49">
        <v>0.3333333333333333</v>
      </c>
      <c r="Y1250" s="45">
        <v>46017.0</v>
      </c>
      <c r="Z1250" s="49">
        <v>0.4479166666666667</v>
      </c>
      <c r="AA1250" s="49">
        <v>0.46875</v>
      </c>
      <c r="AB1250" s="29"/>
      <c r="AC1250" s="29"/>
      <c r="AD1250" s="25">
        <v>0.5104166666666666</v>
      </c>
      <c r="AE1250" s="45">
        <v>46017.0</v>
      </c>
      <c r="AF1250" s="21" t="s">
        <v>2788</v>
      </c>
      <c r="AG1250" s="21" t="s">
        <v>78</v>
      </c>
      <c r="AH1250" s="21" t="s">
        <v>9065</v>
      </c>
      <c r="AI1250" s="108" t="str">
        <f>IFERROR(__xludf.DUMMYFUNCTION("IF(OR(W1250="""",X1250="""",AE1250="""",AD1250=""""),"""",
   TEXT(
     (
       (AE1250+AD1250 + IF(AE1250+AD1250 &lt; W1250+X1250,1,0)) - (W1250+X1250)
     )
     - IF(AND(AB1250&lt;&gt;"""",AC1250&lt;&gt;""""), 
          SUM(ARRAYFORMULA(SPLIT(AC1250,"","") - SPLI"&amp;"T(AB1250,"",""))), 
          0
       ),
     ""[hh]:mm""
   )
)
"),"04:15")</f>
        <v>04:15</v>
      </c>
      <c r="AJ1250" s="109">
        <f t="shared" si="16"/>
        <v>0</v>
      </c>
      <c r="AK1250" s="110" t="str">
        <f t="shared" si="17"/>
        <v>Pass</v>
      </c>
    </row>
    <row r="1251">
      <c r="A1251" s="45">
        <v>46016.0</v>
      </c>
      <c r="B1251" s="49">
        <v>0.7770833333333333</v>
      </c>
      <c r="C1251" s="45">
        <v>46016.0</v>
      </c>
      <c r="D1251" s="49">
        <v>0.7902777777777777</v>
      </c>
      <c r="E1251" s="21" t="s">
        <v>9070</v>
      </c>
      <c r="F1251" s="21" t="s">
        <v>6806</v>
      </c>
      <c r="G1251" s="21" t="s">
        <v>6807</v>
      </c>
      <c r="H1251" s="21" t="s">
        <v>1610</v>
      </c>
      <c r="I1251" s="21" t="s">
        <v>1612</v>
      </c>
      <c r="J1251" s="21" t="s">
        <v>1612</v>
      </c>
      <c r="K1251" s="21" t="s">
        <v>143</v>
      </c>
      <c r="L1251" s="21" t="s">
        <v>9071</v>
      </c>
      <c r="M1251" s="21" t="s">
        <v>6808</v>
      </c>
      <c r="N1251" s="21" t="s">
        <v>8693</v>
      </c>
      <c r="O1251" s="48" t="s">
        <v>9072</v>
      </c>
      <c r="P1251" s="21" t="s">
        <v>75</v>
      </c>
      <c r="Q1251" s="24" t="s">
        <v>65</v>
      </c>
      <c r="R1251" s="21" t="s">
        <v>9012</v>
      </c>
      <c r="S1251" s="21" t="s">
        <v>51</v>
      </c>
      <c r="T1251" s="21" t="s">
        <v>52</v>
      </c>
      <c r="U1251" s="21" t="s">
        <v>52</v>
      </c>
      <c r="V1251" s="21" t="s">
        <v>52</v>
      </c>
      <c r="W1251" s="45">
        <v>46017.0</v>
      </c>
      <c r="X1251" s="49">
        <v>0.3333333333333333</v>
      </c>
      <c r="Y1251" s="45">
        <v>46017.0</v>
      </c>
      <c r="Z1251" s="49">
        <v>0.4076388888888889</v>
      </c>
      <c r="AA1251" s="49">
        <v>0.4097222222222222</v>
      </c>
      <c r="AB1251" s="29"/>
      <c r="AC1251" s="29"/>
      <c r="AD1251" s="25">
        <v>0.4583333333333333</v>
      </c>
      <c r="AE1251" s="45">
        <v>46017.0</v>
      </c>
      <c r="AF1251" s="21" t="s">
        <v>2788</v>
      </c>
      <c r="AG1251" s="21" t="s">
        <v>4384</v>
      </c>
      <c r="AH1251" s="21" t="s">
        <v>9073</v>
      </c>
      <c r="AI1251" s="108" t="str">
        <f>IFERROR(__xludf.DUMMYFUNCTION("IF(OR(W1251="""",X1251="""",AE1251="""",AD1251=""""),"""",
   TEXT(
     (
       (AE1251+AD1251 + IF(AE1251+AD1251 &lt; W1251+X1251,1,0)) - (W1251+X1251)
     )
     - IF(AND(AB1251&lt;&gt;"""",AC1251&lt;&gt;""""), 
          SUM(ARRAYFORMULA(SPLIT(AC1251,"","") - SPLI"&amp;"T(AB1251,"",""))), 
          0
       ),
     ""[hh]:mm""
   )
)
"),"03:00")</f>
        <v>03:00</v>
      </c>
      <c r="AJ1251" s="109">
        <f t="shared" si="16"/>
        <v>0</v>
      </c>
      <c r="AK1251" s="110" t="str">
        <f t="shared" si="17"/>
        <v>Pass</v>
      </c>
    </row>
    <row r="1252">
      <c r="A1252" s="45">
        <v>46016.0</v>
      </c>
      <c r="B1252" s="49">
        <v>0.7840277777777778</v>
      </c>
      <c r="C1252" s="45">
        <v>46016.0</v>
      </c>
      <c r="D1252" s="49">
        <v>0.79375</v>
      </c>
      <c r="E1252" s="21" t="s">
        <v>9074</v>
      </c>
      <c r="F1252" s="21" t="s">
        <v>926</v>
      </c>
      <c r="G1252" s="21" t="s">
        <v>927</v>
      </c>
      <c r="H1252" s="21" t="s">
        <v>1610</v>
      </c>
      <c r="I1252" s="21" t="s">
        <v>1612</v>
      </c>
      <c r="J1252" s="21" t="s">
        <v>1612</v>
      </c>
      <c r="K1252" s="21" t="s">
        <v>143</v>
      </c>
      <c r="L1252" s="21" t="s">
        <v>8553</v>
      </c>
      <c r="M1252" s="21" t="s">
        <v>9075</v>
      </c>
      <c r="N1252" s="21" t="s">
        <v>8693</v>
      </c>
      <c r="O1252" s="48" t="s">
        <v>9076</v>
      </c>
      <c r="P1252" s="21" t="s">
        <v>75</v>
      </c>
      <c r="Q1252" s="24" t="s">
        <v>65</v>
      </c>
      <c r="R1252" s="21" t="s">
        <v>9049</v>
      </c>
      <c r="S1252" s="21" t="s">
        <v>51</v>
      </c>
      <c r="T1252" s="21" t="s">
        <v>52</v>
      </c>
      <c r="U1252" s="21" t="s">
        <v>52</v>
      </c>
      <c r="V1252" s="21" t="s">
        <v>52</v>
      </c>
      <c r="W1252" s="45">
        <v>46016.0</v>
      </c>
      <c r="X1252" s="49">
        <v>0.79375</v>
      </c>
      <c r="Y1252" s="45">
        <v>46016.0</v>
      </c>
      <c r="Z1252" s="49">
        <v>0.8159722222222222</v>
      </c>
      <c r="AA1252" s="49">
        <v>0.8173611111111111</v>
      </c>
      <c r="AB1252" s="24" t="s">
        <v>9077</v>
      </c>
      <c r="AC1252" s="24" t="s">
        <v>9078</v>
      </c>
      <c r="AD1252" s="25">
        <v>0.875</v>
      </c>
      <c r="AE1252" s="45">
        <v>46016.0</v>
      </c>
      <c r="AF1252" s="21" t="s">
        <v>2788</v>
      </c>
      <c r="AG1252" s="21" t="s">
        <v>1321</v>
      </c>
      <c r="AH1252" s="21" t="s">
        <v>9079</v>
      </c>
      <c r="AI1252" s="108" t="str">
        <f>IFERROR(__xludf.DUMMYFUNCTION("IF(OR(W1252="""",X1252="""",AE1252="""",AD1252=""""),"""",
   TEXT(
     (
       (AE1252+AD1252 + IF(AE1252+AD1252 &lt; W1252+X1252,1,0)) - (W1252+X1252)
     )
     - IF(AND(AB1252&lt;&gt;"""",AC1252&lt;&gt;""""), 
          SUM(ARRAYFORMULA(SPLIT(AC1252,"","") - SPLI"&amp;"T(AB1252,"",""))), 
          0
       ),
     ""[hh]:mm""
   )
)
"),"01:09")</f>
        <v>01:09</v>
      </c>
      <c r="AJ1252" s="109">
        <f t="shared" si="16"/>
        <v>0</v>
      </c>
      <c r="AK1252" s="110" t="str">
        <f t="shared" si="17"/>
        <v>Pass</v>
      </c>
    </row>
    <row r="1253">
      <c r="A1253" s="45">
        <v>46016.0</v>
      </c>
      <c r="B1253" s="49">
        <v>0.9576388888888889</v>
      </c>
      <c r="C1253" s="45">
        <v>46017.0</v>
      </c>
      <c r="D1253" s="49">
        <v>0.325</v>
      </c>
      <c r="E1253" s="21" t="s">
        <v>9080</v>
      </c>
      <c r="F1253" s="21" t="s">
        <v>9081</v>
      </c>
      <c r="G1253" s="21" t="s">
        <v>9082</v>
      </c>
      <c r="H1253" s="21" t="s">
        <v>1610</v>
      </c>
      <c r="I1253" s="21" t="s">
        <v>1612</v>
      </c>
      <c r="J1253" s="21" t="s">
        <v>1612</v>
      </c>
      <c r="K1253" s="21" t="s">
        <v>143</v>
      </c>
      <c r="L1253" s="21" t="s">
        <v>8553</v>
      </c>
      <c r="M1253" s="21" t="s">
        <v>9083</v>
      </c>
      <c r="N1253" s="21" t="s">
        <v>9084</v>
      </c>
      <c r="O1253" s="48" t="s">
        <v>9085</v>
      </c>
      <c r="P1253" s="21" t="s">
        <v>75</v>
      </c>
      <c r="Q1253" s="24" t="s">
        <v>65</v>
      </c>
      <c r="R1253" s="21" t="s">
        <v>9086</v>
      </c>
      <c r="S1253" s="21" t="s">
        <v>51</v>
      </c>
      <c r="T1253" s="21" t="s">
        <v>52</v>
      </c>
      <c r="U1253" s="21" t="s">
        <v>52</v>
      </c>
      <c r="V1253" s="21" t="s">
        <v>52</v>
      </c>
      <c r="W1253" s="45">
        <v>46017.0</v>
      </c>
      <c r="X1253" s="49">
        <v>0.3333333333333333</v>
      </c>
      <c r="Y1253" s="45">
        <v>46017.0</v>
      </c>
      <c r="Z1253" s="49">
        <v>0.6881944444444444</v>
      </c>
      <c r="AA1253" s="49">
        <v>0.6944444444444444</v>
      </c>
      <c r="AB1253" s="29"/>
      <c r="AC1253" s="29"/>
      <c r="AD1253" s="25">
        <v>0.7791666666666667</v>
      </c>
      <c r="AE1253" s="45">
        <v>46017.0</v>
      </c>
      <c r="AF1253" s="21" t="s">
        <v>2788</v>
      </c>
      <c r="AG1253" s="21" t="s">
        <v>6787</v>
      </c>
      <c r="AH1253" s="21" t="s">
        <v>9087</v>
      </c>
      <c r="AI1253" s="108" t="str">
        <f>IFERROR(__xludf.DUMMYFUNCTION("IF(OR(W1253="""",X1253="""",AE1253="""",AD1253=""""),"""",
   TEXT(
     (
       (AE1253+AD1253 + IF(AE1253+AD1253 &lt; W1253+X1253,1,0)) - (W1253+X1253)
     )
     - IF(AND(AB1253&lt;&gt;"""",AC1253&lt;&gt;""""), 
          SUM(ARRAYFORMULA(SPLIT(AC1253,"","") - SPLI"&amp;"T(AB1253,"",""))), 
          0
       ),
     ""[hh]:mm""
   )
)
"),"10:42")</f>
        <v>10:42</v>
      </c>
      <c r="AJ1253" s="109">
        <f t="shared" si="16"/>
        <v>0</v>
      </c>
      <c r="AK1253" s="110" t="str">
        <f t="shared" si="17"/>
        <v>Pass</v>
      </c>
    </row>
    <row r="1254">
      <c r="A1254" s="45">
        <v>46017.0</v>
      </c>
      <c r="B1254" s="49">
        <v>0.32916666666666666</v>
      </c>
      <c r="C1254" s="45">
        <v>46017.0</v>
      </c>
      <c r="D1254" s="49">
        <v>0.33541666666666664</v>
      </c>
      <c r="E1254" s="21" t="s">
        <v>9088</v>
      </c>
      <c r="F1254" s="21" t="s">
        <v>8480</v>
      </c>
      <c r="G1254" s="21" t="s">
        <v>8481</v>
      </c>
      <c r="H1254" s="21" t="s">
        <v>156</v>
      </c>
      <c r="I1254" s="21" t="s">
        <v>131</v>
      </c>
      <c r="J1254" s="21" t="s">
        <v>3806</v>
      </c>
      <c r="K1254" s="21" t="s">
        <v>43</v>
      </c>
      <c r="L1254" s="21" t="s">
        <v>805</v>
      </c>
      <c r="M1254" s="21" t="s">
        <v>9089</v>
      </c>
      <c r="N1254" s="21" t="s">
        <v>7982</v>
      </c>
      <c r="O1254" s="48" t="s">
        <v>9090</v>
      </c>
      <c r="P1254" s="21" t="s">
        <v>75</v>
      </c>
      <c r="Q1254" s="24" t="s">
        <v>65</v>
      </c>
      <c r="R1254" s="102" t="s">
        <v>9091</v>
      </c>
      <c r="S1254" s="21" t="s">
        <v>51</v>
      </c>
      <c r="T1254" s="21" t="s">
        <v>9027</v>
      </c>
      <c r="U1254" s="21" t="s">
        <v>9092</v>
      </c>
      <c r="V1254" s="21" t="s">
        <v>9089</v>
      </c>
      <c r="W1254" s="45">
        <v>46019.0</v>
      </c>
      <c r="X1254" s="76">
        <v>0.6354166666666666</v>
      </c>
      <c r="Y1254" s="45">
        <v>46019.0</v>
      </c>
      <c r="Z1254" s="49">
        <v>0.6701388888888888</v>
      </c>
      <c r="AA1254" s="49">
        <v>0.6708333333333333</v>
      </c>
      <c r="AB1254" s="25">
        <v>0.6736111111111112</v>
      </c>
      <c r="AC1254" s="25">
        <v>0.7215277777777778</v>
      </c>
      <c r="AD1254" s="25">
        <v>0.7326388888888888</v>
      </c>
      <c r="AE1254" s="45">
        <v>46019.0</v>
      </c>
      <c r="AF1254" s="21" t="s">
        <v>3327</v>
      </c>
      <c r="AG1254" s="21" t="s">
        <v>67</v>
      </c>
      <c r="AH1254" s="21" t="s">
        <v>9093</v>
      </c>
      <c r="AI1254" s="108" t="str">
        <f>IFERROR(__xludf.DUMMYFUNCTION("IF(OR(W1254="""",X1254="""",AE1254="""",AD1254=""""),"""",
   TEXT(
     (
       (AE1254+AD1254 + IF(AE1254+AD1254 &lt; W1254+X1254,1,0)) - (W1254+X1254)
     )
     - IF(AND(AB1254&lt;&gt;"""",AC1254&lt;&gt;""""), 
          SUM(ARRAYFORMULA(SPLIT(AC1254,"","") - SPLI"&amp;"T(AB1254,"",""))), 
          0
       ),
     ""[hh]:mm""
   )
)
"),"01:11")</f>
        <v>01:11</v>
      </c>
      <c r="AJ1254" s="109">
        <f t="shared" si="16"/>
        <v>0</v>
      </c>
      <c r="AK1254" s="110" t="str">
        <f t="shared" si="17"/>
        <v>Pass</v>
      </c>
    </row>
    <row r="1255">
      <c r="A1255" s="45">
        <v>46017.0</v>
      </c>
      <c r="B1255" s="49">
        <v>0.36180555555555555</v>
      </c>
      <c r="C1255" s="45">
        <v>46017.0</v>
      </c>
      <c r="D1255" s="49">
        <v>0.3638888888888889</v>
      </c>
      <c r="E1255" s="21" t="s">
        <v>9094</v>
      </c>
      <c r="F1255" s="21" t="s">
        <v>969</v>
      </c>
      <c r="G1255" s="21" t="s">
        <v>2323</v>
      </c>
      <c r="H1255" s="21" t="s">
        <v>1610</v>
      </c>
      <c r="I1255" s="21" t="s">
        <v>1612</v>
      </c>
      <c r="J1255" s="21" t="s">
        <v>1612</v>
      </c>
      <c r="K1255" s="21" t="s">
        <v>143</v>
      </c>
      <c r="L1255" s="21" t="s">
        <v>8553</v>
      </c>
      <c r="M1255" s="21" t="s">
        <v>9095</v>
      </c>
      <c r="N1255" s="21" t="s">
        <v>8693</v>
      </c>
      <c r="O1255" s="48" t="s">
        <v>9096</v>
      </c>
      <c r="P1255" s="21" t="s">
        <v>75</v>
      </c>
      <c r="Q1255" s="24" t="s">
        <v>65</v>
      </c>
      <c r="R1255" s="21" t="s">
        <v>9097</v>
      </c>
      <c r="S1255" s="21" t="s">
        <v>51</v>
      </c>
      <c r="T1255" s="21" t="s">
        <v>52</v>
      </c>
      <c r="U1255" s="21" t="s">
        <v>52</v>
      </c>
      <c r="V1255" s="21" t="s">
        <v>52</v>
      </c>
      <c r="W1255" s="45">
        <v>46017.0</v>
      </c>
      <c r="X1255" s="49">
        <v>0.3638888888888889</v>
      </c>
      <c r="Y1255" s="45">
        <v>46017.0</v>
      </c>
      <c r="Z1255" s="49">
        <v>0.5138888888888888</v>
      </c>
      <c r="AA1255" s="49">
        <v>0.5145833333333333</v>
      </c>
      <c r="AB1255" s="29"/>
      <c r="AC1255" s="29"/>
      <c r="AD1255" s="25">
        <v>0.61875</v>
      </c>
      <c r="AE1255" s="45">
        <v>46017.0</v>
      </c>
      <c r="AF1255" s="21" t="s">
        <v>7241</v>
      </c>
      <c r="AG1255" s="21" t="s">
        <v>162</v>
      </c>
      <c r="AH1255" s="21" t="s">
        <v>9098</v>
      </c>
      <c r="AI1255" s="108" t="str">
        <f>IFERROR(__xludf.DUMMYFUNCTION("IF(OR(W1255="""",X1255="""",AE1255="""",AD1255=""""),"""",
   TEXT(
     (
       (AE1255+AD1255 + IF(AE1255+AD1255 &lt; W1255+X1255,1,0)) - (W1255+X1255)
     )
     - IF(AND(AB1255&lt;&gt;"""",AC1255&lt;&gt;""""), 
          SUM(ARRAYFORMULA(SPLIT(AC1255,"","") - SPLI"&amp;"T(AB1255,"",""))), 
          0
       ),
     ""[hh]:mm""
   )
)
"),"06:07")</f>
        <v>06:07</v>
      </c>
      <c r="AJ1255" s="109">
        <f t="shared" si="16"/>
        <v>0</v>
      </c>
      <c r="AK1255" s="110" t="str">
        <f t="shared" si="17"/>
        <v>Pass</v>
      </c>
    </row>
    <row r="1256">
      <c r="A1256" s="45">
        <v>46017.0</v>
      </c>
      <c r="B1256" s="49">
        <v>0.3333333333333333</v>
      </c>
      <c r="C1256" s="45">
        <v>46017.0</v>
      </c>
      <c r="D1256" s="49">
        <v>0.3333333333333333</v>
      </c>
      <c r="E1256" s="21" t="s">
        <v>9099</v>
      </c>
      <c r="F1256" s="21" t="s">
        <v>1400</v>
      </c>
      <c r="G1256" s="21" t="s">
        <v>1401</v>
      </c>
      <c r="H1256" s="21" t="s">
        <v>3093</v>
      </c>
      <c r="I1256" s="21" t="s">
        <v>616</v>
      </c>
      <c r="J1256" s="21" t="s">
        <v>2253</v>
      </c>
      <c r="K1256" s="21" t="s">
        <v>43</v>
      </c>
      <c r="L1256" s="21" t="s">
        <v>2714</v>
      </c>
      <c r="M1256" s="21" t="s">
        <v>8718</v>
      </c>
      <c r="N1256" s="21" t="s">
        <v>8067</v>
      </c>
      <c r="O1256" s="48" t="s">
        <v>9100</v>
      </c>
      <c r="P1256" s="21" t="s">
        <v>75</v>
      </c>
      <c r="Q1256" s="24" t="s">
        <v>198</v>
      </c>
      <c r="R1256" s="21" t="s">
        <v>8098</v>
      </c>
      <c r="S1256" s="21" t="s">
        <v>51</v>
      </c>
      <c r="T1256" s="21" t="s">
        <v>52</v>
      </c>
      <c r="U1256" s="21" t="s">
        <v>52</v>
      </c>
      <c r="V1256" s="21" t="s">
        <v>52</v>
      </c>
      <c r="W1256" s="45">
        <v>46017.0</v>
      </c>
      <c r="X1256" s="49">
        <v>0.3333333333333333</v>
      </c>
      <c r="Y1256" s="45">
        <v>46017.0</v>
      </c>
      <c r="Z1256" s="49">
        <v>0.5972222222222222</v>
      </c>
      <c r="AA1256" s="49">
        <v>0.6180555555555556</v>
      </c>
      <c r="AB1256" s="25">
        <v>0.5972222222222222</v>
      </c>
      <c r="AC1256" s="49">
        <v>0.6180555555555556</v>
      </c>
      <c r="AD1256" s="25">
        <v>0.6361111111111111</v>
      </c>
      <c r="AE1256" s="45">
        <v>46017.0</v>
      </c>
      <c r="AF1256" s="21" t="s">
        <v>7901</v>
      </c>
      <c r="AG1256" s="21" t="s">
        <v>293</v>
      </c>
      <c r="AH1256" s="21" t="s">
        <v>9101</v>
      </c>
      <c r="AI1256" s="108" t="str">
        <f>IFERROR(__xludf.DUMMYFUNCTION("IF(OR(W1256="""",X1256="""",AE1256="""",AD1256=""""),"""",
   TEXT(
     (
       (AE1256+AD1256 + IF(AE1256+AD1256 &lt; W1256+X1256,1,0)) - (W1256+X1256)
     )
     - IF(AND(AB1256&lt;&gt;"""",AC1256&lt;&gt;""""), 
          SUM(ARRAYFORMULA(SPLIT(AC1256,"","") - SPLI"&amp;"T(AB1256,"",""))), 
          0
       ),
     ""[hh]:mm""
   )
)
"),"06:46")</f>
        <v>06:46</v>
      </c>
      <c r="AJ1256" s="109">
        <f t="shared" si="16"/>
        <v>0</v>
      </c>
      <c r="AK1256" s="110" t="str">
        <f t="shared" si="17"/>
        <v>Pass</v>
      </c>
    </row>
    <row r="1257">
      <c r="A1257" s="45">
        <v>46017.0</v>
      </c>
      <c r="B1257" s="49">
        <v>0.4027777777777778</v>
      </c>
      <c r="C1257" s="45">
        <v>46017.0</v>
      </c>
      <c r="D1257" s="49">
        <v>0.40694444444444444</v>
      </c>
      <c r="E1257" s="21" t="s">
        <v>9102</v>
      </c>
      <c r="F1257" s="21" t="s">
        <v>1964</v>
      </c>
      <c r="G1257" s="21" t="s">
        <v>1965</v>
      </c>
      <c r="H1257" s="21" t="s">
        <v>182</v>
      </c>
      <c r="I1257" s="21" t="s">
        <v>60</v>
      </c>
      <c r="J1257" s="21" t="s">
        <v>3813</v>
      </c>
      <c r="K1257" s="21" t="s">
        <v>61</v>
      </c>
      <c r="L1257" s="21" t="s">
        <v>183</v>
      </c>
      <c r="M1257" s="21" t="s">
        <v>9103</v>
      </c>
      <c r="N1257" s="21" t="s">
        <v>9104</v>
      </c>
      <c r="O1257" s="48" t="s">
        <v>9105</v>
      </c>
      <c r="P1257" s="21" t="s">
        <v>75</v>
      </c>
      <c r="Q1257" s="24" t="s">
        <v>65</v>
      </c>
      <c r="R1257" s="21" t="s">
        <v>9106</v>
      </c>
      <c r="S1257" s="21" t="s">
        <v>51</v>
      </c>
      <c r="T1257" s="21" t="s">
        <v>52</v>
      </c>
      <c r="U1257" s="21" t="s">
        <v>52</v>
      </c>
      <c r="V1257" s="21" t="s">
        <v>52</v>
      </c>
      <c r="W1257" s="45">
        <v>46017.0</v>
      </c>
      <c r="X1257" s="49">
        <v>0.40694444444444444</v>
      </c>
      <c r="Y1257" s="45">
        <v>46017.0</v>
      </c>
      <c r="Z1257" s="49">
        <v>0.5326388888888889</v>
      </c>
      <c r="AA1257" s="49">
        <v>0.5347222222222222</v>
      </c>
      <c r="AB1257" s="29"/>
      <c r="AC1257" s="29"/>
      <c r="AD1257" s="25">
        <v>0.6666666666666666</v>
      </c>
      <c r="AE1257" s="45">
        <v>46017.0</v>
      </c>
      <c r="AF1257" s="21" t="s">
        <v>3327</v>
      </c>
      <c r="AG1257" s="21" t="s">
        <v>7461</v>
      </c>
      <c r="AH1257" s="21" t="s">
        <v>9107</v>
      </c>
      <c r="AI1257" s="108" t="str">
        <f>IFERROR(__xludf.DUMMYFUNCTION("IF(OR(W1257="""",X1257="""",AE1257="""",AD1257=""""),"""",
   TEXT(
     (
       (AE1257+AD1257 + IF(AE1257+AD1257 &lt; W1257+X1257,1,0)) - (W1257+X1257)
     )
     - IF(AND(AB1257&lt;&gt;"""",AC1257&lt;&gt;""""), 
          SUM(ARRAYFORMULA(SPLIT(AC1257,"","") - SPLI"&amp;"T(AB1257,"",""))), 
          0
       ),
     ""[hh]:mm""
   )
)
"),"06:14")</f>
        <v>06:14</v>
      </c>
      <c r="AJ1257" s="109">
        <f t="shared" si="16"/>
        <v>0</v>
      </c>
      <c r="AK1257" s="110" t="str">
        <f t="shared" si="17"/>
        <v>Pass</v>
      </c>
    </row>
    <row r="1258">
      <c r="A1258" s="45">
        <v>46017.0</v>
      </c>
      <c r="B1258" s="49">
        <v>0.4625</v>
      </c>
      <c r="C1258" s="45">
        <v>46017.0</v>
      </c>
      <c r="D1258" s="49">
        <v>0.42083333333333334</v>
      </c>
      <c r="E1258" s="21" t="s">
        <v>9108</v>
      </c>
      <c r="F1258" s="21" t="s">
        <v>3351</v>
      </c>
      <c r="G1258" s="21" t="s">
        <v>3352</v>
      </c>
      <c r="H1258" s="21" t="s">
        <v>377</v>
      </c>
      <c r="I1258" s="21" t="s">
        <v>95</v>
      </c>
      <c r="J1258" s="21" t="s">
        <v>95</v>
      </c>
      <c r="K1258" s="21" t="s">
        <v>143</v>
      </c>
      <c r="L1258" s="21" t="s">
        <v>1785</v>
      </c>
      <c r="M1258" s="21" t="s">
        <v>9109</v>
      </c>
      <c r="N1258" s="21" t="s">
        <v>9110</v>
      </c>
      <c r="O1258" s="48" t="s">
        <v>9111</v>
      </c>
      <c r="P1258" s="21" t="s">
        <v>75</v>
      </c>
      <c r="Q1258" s="24" t="s">
        <v>49</v>
      </c>
      <c r="R1258" s="21" t="s">
        <v>9112</v>
      </c>
      <c r="S1258" s="21" t="s">
        <v>51</v>
      </c>
      <c r="T1258" s="21" t="s">
        <v>52</v>
      </c>
      <c r="U1258" s="21" t="s">
        <v>52</v>
      </c>
      <c r="V1258" s="21" t="s">
        <v>52</v>
      </c>
      <c r="W1258" s="45">
        <v>46017.0</v>
      </c>
      <c r="X1258" s="49">
        <v>0.4625</v>
      </c>
      <c r="Y1258" s="45">
        <v>46017.0</v>
      </c>
      <c r="Z1258" s="49">
        <v>0.5395833333333333</v>
      </c>
      <c r="AA1258" s="49">
        <v>0.5625</v>
      </c>
      <c r="AB1258" s="25">
        <v>0.6180555555555556</v>
      </c>
      <c r="AC1258" s="25">
        <v>0.6388888888888888</v>
      </c>
      <c r="AD1258" s="25">
        <v>0.6388888888888888</v>
      </c>
      <c r="AE1258" s="45">
        <v>46017.0</v>
      </c>
      <c r="AF1258" s="21" t="s">
        <v>7901</v>
      </c>
      <c r="AG1258" s="21" t="s">
        <v>8573</v>
      </c>
      <c r="AH1258" s="21" t="s">
        <v>5752</v>
      </c>
      <c r="AI1258" s="108" t="str">
        <f>IFERROR(__xludf.DUMMYFUNCTION("IF(OR(W1258="""",X1258="""",AE1258="""",AD1258=""""),"""",
   TEXT(
     (
       (AE1258+AD1258 + IF(AE1258+AD1258 &lt; W1258+X1258,1,0)) - (W1258+X1258)
     )
     - IF(AND(AB1258&lt;&gt;"""",AC1258&lt;&gt;""""), 
          SUM(ARRAYFORMULA(SPLIT(AC1258,"","") - SPLI"&amp;"T(AB1258,"",""))), 
          0
       ),
     ""[hh]:mm""
   )
)
"),"03:44")</f>
        <v>03:44</v>
      </c>
      <c r="AJ1258" s="109">
        <f t="shared" si="16"/>
        <v>0</v>
      </c>
      <c r="AK1258" s="110" t="str">
        <f t="shared" si="17"/>
        <v>Pass</v>
      </c>
    </row>
    <row r="1259">
      <c r="A1259" s="45">
        <v>46017.0</v>
      </c>
      <c r="B1259" s="49">
        <v>0.4583333333333333</v>
      </c>
      <c r="C1259" s="45">
        <v>46017.0</v>
      </c>
      <c r="D1259" s="49">
        <v>0.4583333333333333</v>
      </c>
      <c r="E1259" s="21" t="s">
        <v>9113</v>
      </c>
      <c r="F1259" s="21" t="s">
        <v>3211</v>
      </c>
      <c r="G1259" s="21" t="s">
        <v>3212</v>
      </c>
      <c r="H1259" s="21" t="s">
        <v>3093</v>
      </c>
      <c r="I1259" s="21" t="s">
        <v>131</v>
      </c>
      <c r="J1259" s="21" t="s">
        <v>3806</v>
      </c>
      <c r="K1259" s="21" t="s">
        <v>43</v>
      </c>
      <c r="L1259" s="21" t="s">
        <v>2663</v>
      </c>
      <c r="M1259" s="21" t="s">
        <v>7806</v>
      </c>
      <c r="N1259" s="21" t="s">
        <v>8983</v>
      </c>
      <c r="O1259" s="48" t="s">
        <v>9100</v>
      </c>
      <c r="P1259" s="21" t="s">
        <v>75</v>
      </c>
      <c r="Q1259" s="24" t="s">
        <v>198</v>
      </c>
      <c r="R1259" s="21" t="s">
        <v>8098</v>
      </c>
      <c r="S1259" s="21" t="s">
        <v>51</v>
      </c>
      <c r="T1259" s="21" t="s">
        <v>52</v>
      </c>
      <c r="U1259" s="21" t="s">
        <v>52</v>
      </c>
      <c r="V1259" s="21" t="s">
        <v>52</v>
      </c>
      <c r="W1259" s="45">
        <v>46017.0</v>
      </c>
      <c r="X1259" s="49">
        <v>0.4583333333333333</v>
      </c>
      <c r="Y1259" s="45">
        <v>46017.0</v>
      </c>
      <c r="Z1259" s="49">
        <v>0.6875</v>
      </c>
      <c r="AA1259" s="49">
        <v>0.6881944444444444</v>
      </c>
      <c r="AB1259" s="29"/>
      <c r="AC1259" s="29"/>
      <c r="AD1259" s="25">
        <v>0.7083333333333334</v>
      </c>
      <c r="AE1259" s="45">
        <v>46017.0</v>
      </c>
      <c r="AF1259" s="21" t="s">
        <v>7901</v>
      </c>
      <c r="AG1259" s="21" t="s">
        <v>293</v>
      </c>
      <c r="AH1259" s="21" t="s">
        <v>9114</v>
      </c>
      <c r="AI1259" s="108" t="str">
        <f>IFERROR(__xludf.DUMMYFUNCTION("IF(OR(W1259="""",X1259="""",AE1259="""",AD1259=""""),"""",
   TEXT(
     (
       (AE1259+AD1259 + IF(AE1259+AD1259 &lt; W1259+X1259,1,0)) - (W1259+X1259)
     )
     - IF(AND(AB1259&lt;&gt;"""",AC1259&lt;&gt;""""), 
          SUM(ARRAYFORMULA(SPLIT(AC1259,"","") - SPLI"&amp;"T(AB1259,"",""))), 
          0
       ),
     ""[hh]:mm""
   )
)
"),"06:00")</f>
        <v>06:00</v>
      </c>
      <c r="AJ1259" s="109">
        <f t="shared" si="16"/>
        <v>0</v>
      </c>
      <c r="AK1259" s="110" t="str">
        <f t="shared" si="17"/>
        <v>Pass</v>
      </c>
    </row>
    <row r="1260">
      <c r="A1260" s="45">
        <v>46017.0</v>
      </c>
      <c r="B1260" s="76">
        <v>0.4597222222222222</v>
      </c>
      <c r="C1260" s="45">
        <v>46017.0</v>
      </c>
      <c r="D1260" s="76">
        <v>0.4597222222222222</v>
      </c>
      <c r="E1260" s="21" t="s">
        <v>9115</v>
      </c>
      <c r="F1260" s="21" t="s">
        <v>4300</v>
      </c>
      <c r="G1260" s="21" t="s">
        <v>4301</v>
      </c>
      <c r="H1260" s="21" t="s">
        <v>3093</v>
      </c>
      <c r="I1260" s="21" t="s">
        <v>616</v>
      </c>
      <c r="J1260" s="21" t="s">
        <v>3806</v>
      </c>
      <c r="K1260" s="21" t="s">
        <v>43</v>
      </c>
      <c r="L1260" s="21" t="s">
        <v>2663</v>
      </c>
      <c r="M1260" s="21" t="s">
        <v>8178</v>
      </c>
      <c r="N1260" s="21" t="s">
        <v>9116</v>
      </c>
      <c r="O1260" s="48" t="s">
        <v>9117</v>
      </c>
      <c r="P1260" s="21" t="s">
        <v>75</v>
      </c>
      <c r="Q1260" s="24" t="s">
        <v>198</v>
      </c>
      <c r="R1260" s="21" t="s">
        <v>9118</v>
      </c>
      <c r="S1260" s="21" t="s">
        <v>51</v>
      </c>
      <c r="T1260" s="21" t="s">
        <v>52</v>
      </c>
      <c r="U1260" s="21" t="s">
        <v>52</v>
      </c>
      <c r="V1260" s="21" t="s">
        <v>52</v>
      </c>
      <c r="W1260" s="45">
        <v>46017.0</v>
      </c>
      <c r="X1260" s="76">
        <v>0.4597222222222222</v>
      </c>
      <c r="Y1260" s="45">
        <v>46017.0</v>
      </c>
      <c r="Z1260" s="49">
        <v>0.6409722222222223</v>
      </c>
      <c r="AA1260" s="49">
        <v>0.6423611111111112</v>
      </c>
      <c r="AB1260" s="25">
        <v>0.6423611111111112</v>
      </c>
      <c r="AC1260" s="25">
        <v>0.7152777777777778</v>
      </c>
      <c r="AD1260" s="25">
        <v>0.71875</v>
      </c>
      <c r="AE1260" s="45">
        <v>46017.0</v>
      </c>
      <c r="AF1260" s="21" t="s">
        <v>7901</v>
      </c>
      <c r="AG1260" s="21" t="s">
        <v>239</v>
      </c>
      <c r="AH1260" s="21" t="s">
        <v>9119</v>
      </c>
      <c r="AI1260" s="108" t="str">
        <f>IFERROR(__xludf.DUMMYFUNCTION("IF(OR(W1260="""",X1260="""",AE1260="""",AD1260=""""),"""",
   TEXT(
     (
       (AE1260+AD1260 + IF(AE1260+AD1260 &lt; W1260+X1260,1,0)) - (W1260+X1260)
     )
     - IF(AND(AB1260&lt;&gt;"""",AC1260&lt;&gt;""""), 
          SUM(ARRAYFORMULA(SPLIT(AC1260,"","") - SPLI"&amp;"T(AB1260,"",""))), 
          0
       ),
     ""[hh]:mm""
   )
)
"),"04:28")</f>
        <v>04:28</v>
      </c>
      <c r="AJ1260" s="109">
        <f t="shared" si="16"/>
        <v>0</v>
      </c>
      <c r="AK1260" s="110" t="str">
        <f t="shared" si="17"/>
        <v>Pass</v>
      </c>
    </row>
    <row r="1261">
      <c r="A1261" s="45">
        <v>46017.0</v>
      </c>
      <c r="B1261" s="49">
        <v>0.6770833333333334</v>
      </c>
      <c r="C1261" s="45">
        <v>46017.0</v>
      </c>
      <c r="D1261" s="49">
        <v>0.6875</v>
      </c>
      <c r="E1261" s="21" t="s">
        <v>9120</v>
      </c>
      <c r="F1261" s="21" t="s">
        <v>3344</v>
      </c>
      <c r="G1261" s="21" t="s">
        <v>6464</v>
      </c>
      <c r="H1261" s="21" t="s">
        <v>142</v>
      </c>
      <c r="I1261" s="21" t="s">
        <v>60</v>
      </c>
      <c r="J1261" s="21" t="s">
        <v>3813</v>
      </c>
      <c r="K1261" s="21" t="s">
        <v>61</v>
      </c>
      <c r="L1261" s="21" t="s">
        <v>183</v>
      </c>
      <c r="M1261" s="21" t="s">
        <v>9121</v>
      </c>
      <c r="N1261" s="21" t="s">
        <v>9122</v>
      </c>
      <c r="O1261" s="48" t="s">
        <v>9123</v>
      </c>
      <c r="P1261" s="21" t="s">
        <v>75</v>
      </c>
      <c r="Q1261" s="24" t="s">
        <v>65</v>
      </c>
      <c r="R1261" s="21" t="s">
        <v>9124</v>
      </c>
      <c r="S1261" s="21" t="s">
        <v>51</v>
      </c>
      <c r="T1261" s="21" t="s">
        <v>52</v>
      </c>
      <c r="U1261" s="21" t="s">
        <v>52</v>
      </c>
      <c r="V1261" s="21" t="s">
        <v>52</v>
      </c>
      <c r="W1261" s="45">
        <v>46017.0</v>
      </c>
      <c r="X1261" s="49">
        <v>0.6875</v>
      </c>
      <c r="Y1261" s="45">
        <v>46017.0</v>
      </c>
      <c r="Z1261" s="49">
        <v>0.7826388888888889</v>
      </c>
      <c r="AA1261" s="49">
        <v>0.7881944444444444</v>
      </c>
      <c r="AB1261" s="25">
        <v>0.8611111111111112</v>
      </c>
      <c r="AC1261" s="25">
        <v>0.9027777777777778</v>
      </c>
      <c r="AD1261" s="25">
        <v>0.9027777777777778</v>
      </c>
      <c r="AE1261" s="45">
        <v>46017.0</v>
      </c>
      <c r="AF1261" s="21" t="s">
        <v>8572</v>
      </c>
      <c r="AG1261" s="21" t="s">
        <v>583</v>
      </c>
      <c r="AH1261" s="21" t="s">
        <v>3349</v>
      </c>
      <c r="AI1261" s="108" t="str">
        <f>IFERROR(__xludf.DUMMYFUNCTION("IF(OR(W1261="""",X1261="""",AE1261="""",AD1261=""""),"""",
   TEXT(
     (
       (AE1261+AD1261 + IF(AE1261+AD1261 &lt; W1261+X1261,1,0)) - (W1261+X1261)
     )
     - IF(AND(AB1261&lt;&gt;"""",AC1261&lt;&gt;""""), 
          SUM(ARRAYFORMULA(SPLIT(AC1261,"","") - SPLI"&amp;"T(AB1261,"",""))), 
          0
       ),
     ""[hh]:mm""
   )
)
"),"04:10")</f>
        <v>04:10</v>
      </c>
      <c r="AJ1261" s="109">
        <f t="shared" si="16"/>
        <v>0</v>
      </c>
      <c r="AK1261" s="110" t="str">
        <f t="shared" si="17"/>
        <v>Pass</v>
      </c>
    </row>
    <row r="1262">
      <c r="A1262" s="45">
        <v>46017.0</v>
      </c>
      <c r="B1262" s="49">
        <v>0.6770833333333334</v>
      </c>
      <c r="C1262" s="45">
        <v>46017.0</v>
      </c>
      <c r="D1262" s="49">
        <v>0.6875</v>
      </c>
      <c r="E1262" s="21" t="s">
        <v>9125</v>
      </c>
      <c r="F1262" s="21" t="s">
        <v>3344</v>
      </c>
      <c r="G1262" s="21" t="s">
        <v>6464</v>
      </c>
      <c r="H1262" s="21" t="s">
        <v>142</v>
      </c>
      <c r="I1262" s="21" t="s">
        <v>234</v>
      </c>
      <c r="J1262" s="21" t="s">
        <v>3813</v>
      </c>
      <c r="K1262" s="21" t="s">
        <v>61</v>
      </c>
      <c r="L1262" s="21" t="s">
        <v>757</v>
      </c>
      <c r="M1262" s="21" t="s">
        <v>9126</v>
      </c>
      <c r="N1262" s="21" t="s">
        <v>9127</v>
      </c>
      <c r="O1262" s="48" t="s">
        <v>9123</v>
      </c>
      <c r="P1262" s="21" t="s">
        <v>75</v>
      </c>
      <c r="Q1262" s="24" t="s">
        <v>65</v>
      </c>
      <c r="R1262" s="21" t="s">
        <v>9128</v>
      </c>
      <c r="S1262" s="21" t="s">
        <v>51</v>
      </c>
      <c r="T1262" s="21" t="s">
        <v>52</v>
      </c>
      <c r="U1262" s="21" t="s">
        <v>52</v>
      </c>
      <c r="V1262" s="21" t="s">
        <v>52</v>
      </c>
      <c r="W1262" s="45">
        <v>46017.0</v>
      </c>
      <c r="X1262" s="49">
        <v>0.6875</v>
      </c>
      <c r="Y1262" s="45">
        <v>46017.0</v>
      </c>
      <c r="Z1262" s="49">
        <v>0.7826388888888889</v>
      </c>
      <c r="AA1262" s="49">
        <v>0.7881944444444444</v>
      </c>
      <c r="AB1262" s="25">
        <v>0.8611111111111112</v>
      </c>
      <c r="AC1262" s="25">
        <v>0.9027777777777778</v>
      </c>
      <c r="AD1262" s="25">
        <v>0.9027777777777778</v>
      </c>
      <c r="AE1262" s="45">
        <v>46017.0</v>
      </c>
      <c r="AF1262" s="21" t="s">
        <v>8572</v>
      </c>
      <c r="AG1262" s="21" t="s">
        <v>583</v>
      </c>
      <c r="AH1262" s="21" t="s">
        <v>3349</v>
      </c>
      <c r="AI1262" s="108" t="str">
        <f>IFERROR(__xludf.DUMMYFUNCTION("IF(OR(W1262="""",X1262="""",AE1262="""",AD1262=""""),"""",
   TEXT(
     (
       (AE1262+AD1262 + IF(AE1262+AD1262 &lt; W1262+X1262,1,0)) - (W1262+X1262)
     )
     - IF(AND(AB1262&lt;&gt;"""",AC1262&lt;&gt;""""), 
          SUM(ARRAYFORMULA(SPLIT(AC1262,"","") - SPLI"&amp;"T(AB1262,"",""))), 
          0
       ),
     ""[hh]:mm""
   )
)
"),"04:10")</f>
        <v>04:10</v>
      </c>
      <c r="AJ1262" s="109">
        <f t="shared" si="16"/>
        <v>0</v>
      </c>
      <c r="AK1262" s="110" t="str">
        <f t="shared" si="17"/>
        <v>Pass</v>
      </c>
    </row>
    <row r="1263">
      <c r="A1263" s="45">
        <v>46017.0</v>
      </c>
      <c r="B1263" s="49">
        <v>0.7270833333333333</v>
      </c>
      <c r="C1263" s="45">
        <v>46017.0</v>
      </c>
      <c r="D1263" s="49">
        <v>0.7326388888888888</v>
      </c>
      <c r="E1263" s="21" t="s">
        <v>9129</v>
      </c>
      <c r="F1263" s="21" t="s">
        <v>3603</v>
      </c>
      <c r="G1263" s="21" t="s">
        <v>3604</v>
      </c>
      <c r="H1263" s="21" t="s">
        <v>746</v>
      </c>
      <c r="I1263" s="21" t="s">
        <v>1162</v>
      </c>
      <c r="J1263" s="21" t="s">
        <v>3806</v>
      </c>
      <c r="K1263" s="21" t="s">
        <v>43</v>
      </c>
      <c r="L1263" s="21" t="s">
        <v>204</v>
      </c>
      <c r="M1263" s="21" t="s">
        <v>9130</v>
      </c>
      <c r="N1263" s="21" t="s">
        <v>9131</v>
      </c>
      <c r="O1263" s="48" t="s">
        <v>9132</v>
      </c>
      <c r="P1263" s="21" t="s">
        <v>75</v>
      </c>
      <c r="Q1263" s="24" t="s">
        <v>65</v>
      </c>
      <c r="R1263" s="21" t="s">
        <v>9133</v>
      </c>
      <c r="S1263" s="21" t="s">
        <v>51</v>
      </c>
      <c r="T1263" s="21" t="s">
        <v>2655</v>
      </c>
      <c r="U1263" s="21">
        <v>2.02305260131E11</v>
      </c>
      <c r="V1263" s="21">
        <v>2.0220728324E10</v>
      </c>
      <c r="W1263" s="45">
        <v>46017.0</v>
      </c>
      <c r="X1263" s="49">
        <v>0.7326388888888888</v>
      </c>
      <c r="Y1263" s="45">
        <v>46017.0</v>
      </c>
      <c r="Z1263" s="49">
        <v>0.8381944444444445</v>
      </c>
      <c r="AA1263" s="49">
        <v>0.9638888888888889</v>
      </c>
      <c r="AB1263" s="24" t="s">
        <v>9134</v>
      </c>
      <c r="AC1263" s="24" t="s">
        <v>9135</v>
      </c>
      <c r="AD1263" s="25">
        <v>0.9722222222222222</v>
      </c>
      <c r="AE1263" s="45">
        <v>46017.0</v>
      </c>
      <c r="AF1263" s="21" t="s">
        <v>53</v>
      </c>
      <c r="AG1263" s="21" t="s">
        <v>162</v>
      </c>
      <c r="AH1263" s="21" t="s">
        <v>9136</v>
      </c>
      <c r="AI1263" s="108" t="str">
        <f>IFERROR(__xludf.DUMMYFUNCTION("IF(OR(W1263="""",X1263="""",AE1263="""",AD1263=""""),"""",
   TEXT(
     (
       (AE1263+AD1263 + IF(AE1263+AD1263 &lt; W1263+X1263,1,0)) - (W1263+X1263)
     )
     - IF(AND(AB1263&lt;&gt;"""",AC1263&lt;&gt;""""), 
          SUM(ARRAYFORMULA(SPLIT(AC1263,"","") - SPLI"&amp;"T(AB1263,"",""))), 
          0
       ),
     ""[hh]:mm""
   )
)
"),"02:45")</f>
        <v>02:45</v>
      </c>
      <c r="AJ1263" s="109">
        <f t="shared" si="16"/>
        <v>0</v>
      </c>
      <c r="AK1263" s="110" t="str">
        <f t="shared" si="17"/>
        <v>Pass</v>
      </c>
    </row>
    <row r="1264">
      <c r="A1264" s="45">
        <v>46017.0</v>
      </c>
      <c r="B1264" s="49">
        <v>0.7541666666666667</v>
      </c>
      <c r="C1264" s="45">
        <v>46017.0</v>
      </c>
      <c r="D1264" s="49">
        <v>0.7583333333333333</v>
      </c>
      <c r="E1264" s="21" t="s">
        <v>9137</v>
      </c>
      <c r="F1264" s="21" t="s">
        <v>165</v>
      </c>
      <c r="G1264" s="21" t="s">
        <v>166</v>
      </c>
      <c r="H1264" s="21" t="s">
        <v>6041</v>
      </c>
      <c r="I1264" s="21" t="s">
        <v>616</v>
      </c>
      <c r="J1264" s="21" t="s">
        <v>3806</v>
      </c>
      <c r="K1264" s="21" t="s">
        <v>43</v>
      </c>
      <c r="L1264" s="21" t="s">
        <v>805</v>
      </c>
      <c r="M1264" s="21" t="s">
        <v>9138</v>
      </c>
      <c r="N1264" s="21" t="s">
        <v>9139</v>
      </c>
      <c r="O1264" s="48" t="s">
        <v>9140</v>
      </c>
      <c r="P1264" s="21" t="s">
        <v>75</v>
      </c>
      <c r="Q1264" s="24" t="s">
        <v>65</v>
      </c>
      <c r="R1264" s="21" t="s">
        <v>9141</v>
      </c>
      <c r="S1264" s="21" t="s">
        <v>51</v>
      </c>
      <c r="T1264" s="21" t="s">
        <v>52</v>
      </c>
      <c r="U1264" s="21" t="s">
        <v>52</v>
      </c>
      <c r="V1264" s="21" t="s">
        <v>52</v>
      </c>
      <c r="W1264" s="45">
        <v>46017.0</v>
      </c>
      <c r="X1264" s="49">
        <v>0.7583333333333333</v>
      </c>
      <c r="Y1264" s="45">
        <v>46017.0</v>
      </c>
      <c r="Z1264" s="49">
        <v>0.8333333333333334</v>
      </c>
      <c r="AA1264" s="49">
        <v>0.84375</v>
      </c>
      <c r="AB1264" s="29"/>
      <c r="AC1264" s="29"/>
      <c r="AD1264" s="25">
        <v>0.875</v>
      </c>
      <c r="AE1264" s="45">
        <v>46017.0</v>
      </c>
      <c r="AF1264" s="21" t="s">
        <v>2788</v>
      </c>
      <c r="AG1264" s="21" t="s">
        <v>151</v>
      </c>
      <c r="AH1264" s="21" t="s">
        <v>9142</v>
      </c>
      <c r="AI1264" s="108" t="str">
        <f>IFERROR(__xludf.DUMMYFUNCTION("IF(OR(W1264="""",X1264="""",AE1264="""",AD1264=""""),"""",
   TEXT(
     (
       (AE1264+AD1264 + IF(AE1264+AD1264 &lt; W1264+X1264,1,0)) - (W1264+X1264)
     )
     - IF(AND(AB1264&lt;&gt;"""",AC1264&lt;&gt;""""), 
          SUM(ARRAYFORMULA(SPLIT(AC1264,"","") - SPLI"&amp;"T(AB1264,"",""))), 
          0
       ),
     ""[hh]:mm""
   )
)
"),"02:48")</f>
        <v>02:48</v>
      </c>
      <c r="AJ1264" s="109">
        <f t="shared" si="16"/>
        <v>0</v>
      </c>
      <c r="AK1264" s="110" t="str">
        <f t="shared" si="17"/>
        <v>Pass</v>
      </c>
    </row>
    <row r="1265">
      <c r="A1265" s="45">
        <v>46018.0</v>
      </c>
      <c r="B1265" s="49">
        <v>0.375</v>
      </c>
      <c r="C1265" s="45">
        <v>46018.0</v>
      </c>
      <c r="D1265" s="49">
        <v>0.375</v>
      </c>
      <c r="E1265" s="21" t="s">
        <v>9143</v>
      </c>
      <c r="F1265" s="21" t="s">
        <v>7979</v>
      </c>
      <c r="G1265" s="21" t="s">
        <v>7980</v>
      </c>
      <c r="H1265" s="21" t="s">
        <v>3093</v>
      </c>
      <c r="I1265" s="21" t="s">
        <v>131</v>
      </c>
      <c r="J1265" s="21" t="s">
        <v>3806</v>
      </c>
      <c r="K1265" s="21" t="s">
        <v>43</v>
      </c>
      <c r="L1265" s="21" t="s">
        <v>2663</v>
      </c>
      <c r="M1265" s="21" t="s">
        <v>7985</v>
      </c>
      <c r="N1265" s="21" t="s">
        <v>9144</v>
      </c>
      <c r="O1265" s="48" t="s">
        <v>9145</v>
      </c>
      <c r="P1265" s="21" t="s">
        <v>75</v>
      </c>
      <c r="Q1265" s="24" t="s">
        <v>198</v>
      </c>
      <c r="R1265" s="22" t="s">
        <v>8993</v>
      </c>
      <c r="S1265" s="21" t="s">
        <v>51</v>
      </c>
      <c r="T1265" s="21" t="s">
        <v>52</v>
      </c>
      <c r="U1265" s="21" t="s">
        <v>52</v>
      </c>
      <c r="V1265" s="21" t="s">
        <v>52</v>
      </c>
      <c r="W1265" s="18">
        <v>46018.0</v>
      </c>
      <c r="X1265" s="49">
        <v>0.375</v>
      </c>
      <c r="Y1265" s="18">
        <v>46018.0</v>
      </c>
      <c r="Z1265" s="49">
        <v>0.47708333333333336</v>
      </c>
      <c r="AA1265" s="49">
        <v>0.4777777777777778</v>
      </c>
      <c r="AB1265" s="29"/>
      <c r="AC1265" s="29"/>
      <c r="AD1265" s="25">
        <v>0.48125</v>
      </c>
      <c r="AE1265" s="18">
        <v>46018.0</v>
      </c>
      <c r="AF1265" s="21" t="s">
        <v>7047</v>
      </c>
      <c r="AG1265" s="21" t="s">
        <v>6108</v>
      </c>
      <c r="AH1265" s="21" t="s">
        <v>9146</v>
      </c>
      <c r="AI1265" s="108" t="str">
        <f>IFERROR(__xludf.DUMMYFUNCTION("IF(OR(W1265="""",X1265="""",AE1265="""",AD1265=""""),"""",
   TEXT(
     (
       (AE1265+AD1265 + IF(AE1265+AD1265 &lt; W1265+X1265,1,0)) - (W1265+X1265)
     )
     - IF(AND(AB1265&lt;&gt;"""",AC1265&lt;&gt;""""), 
          SUM(ARRAYFORMULA(SPLIT(AC1265,"","") - SPLI"&amp;"T(AB1265,"",""))), 
          0
       ),
     ""[hh]:mm""
   )
)
"),"02:33")</f>
        <v>02:33</v>
      </c>
      <c r="AJ1265" s="109">
        <f t="shared" si="16"/>
        <v>0</v>
      </c>
      <c r="AK1265" s="110" t="str">
        <f t="shared" si="17"/>
        <v>Pass</v>
      </c>
    </row>
    <row r="1266">
      <c r="A1266" s="18">
        <v>46017.0</v>
      </c>
      <c r="B1266" s="20">
        <v>0.9423611111111111</v>
      </c>
      <c r="C1266" s="18">
        <v>46017.0</v>
      </c>
      <c r="D1266" s="20">
        <v>0.32708333333333334</v>
      </c>
      <c r="E1266" s="22" t="s">
        <v>9147</v>
      </c>
      <c r="F1266" s="22" t="s">
        <v>7457</v>
      </c>
      <c r="G1266" s="22" t="s">
        <v>8789</v>
      </c>
      <c r="H1266" s="22" t="s">
        <v>4256</v>
      </c>
      <c r="I1266" s="22" t="s">
        <v>616</v>
      </c>
      <c r="J1266" s="22" t="s">
        <v>2253</v>
      </c>
      <c r="K1266" s="22" t="s">
        <v>43</v>
      </c>
      <c r="L1266" s="22" t="s">
        <v>805</v>
      </c>
      <c r="M1266" s="22" t="s">
        <v>9148</v>
      </c>
      <c r="N1266" s="22" t="s">
        <v>9149</v>
      </c>
      <c r="O1266" s="23" t="s">
        <v>9150</v>
      </c>
      <c r="P1266" s="22" t="s">
        <v>75</v>
      </c>
      <c r="Q1266" s="50" t="s">
        <v>65</v>
      </c>
      <c r="R1266" s="21" t="s">
        <v>9151</v>
      </c>
      <c r="S1266" s="22" t="s">
        <v>51</v>
      </c>
      <c r="T1266" s="22" t="s">
        <v>6676</v>
      </c>
      <c r="U1266" s="22" t="s">
        <v>7806</v>
      </c>
      <c r="V1266" s="22" t="s">
        <v>9148</v>
      </c>
      <c r="W1266" s="18">
        <v>46018.0</v>
      </c>
      <c r="X1266" s="20">
        <v>0.39861111111111114</v>
      </c>
      <c r="Y1266" s="18">
        <v>46018.0</v>
      </c>
      <c r="Z1266" s="20">
        <v>0.4930555555555556</v>
      </c>
      <c r="AA1266" s="20">
        <v>0.4965277777777778</v>
      </c>
      <c r="AB1266" s="51">
        <v>0.4722222222222222</v>
      </c>
      <c r="AC1266" s="51">
        <v>0.5131944444444444</v>
      </c>
      <c r="AD1266" s="51">
        <v>0.5416666666666666</v>
      </c>
      <c r="AE1266" s="18">
        <v>46018.0</v>
      </c>
      <c r="AF1266" s="22" t="s">
        <v>9152</v>
      </c>
      <c r="AG1266" s="22" t="s">
        <v>67</v>
      </c>
      <c r="AH1266" s="22" t="s">
        <v>9153</v>
      </c>
      <c r="AI1266" s="108" t="str">
        <f>IFERROR(__xludf.DUMMYFUNCTION("IF(OR(W1266="""",X1266="""",AE1266="""",AD1266=""""),"""",
   TEXT(
     (
       (AE1266+AD1266 + IF(AE1266+AD1266 &lt; W1266+X1266,1,0)) - (W1266+X1266)
     )
     - IF(AND(AB1266&lt;&gt;"""",AC1266&lt;&gt;""""), 
          SUM(ARRAYFORMULA(SPLIT(AC1266,"","") - SPLI"&amp;"T(AB1266,"",""))), 
          0
       ),
     ""[hh]:mm""
   )
)
"),"02:27")</f>
        <v>02:27</v>
      </c>
      <c r="AJ1266" s="109">
        <f t="shared" si="16"/>
        <v>0</v>
      </c>
      <c r="AK1266" s="110" t="str">
        <f t="shared" si="17"/>
        <v>Pass</v>
      </c>
    </row>
    <row r="1267">
      <c r="A1267" s="45">
        <v>46018.0</v>
      </c>
      <c r="B1267" s="76">
        <v>0.325</v>
      </c>
      <c r="C1267" s="45">
        <v>46018.0</v>
      </c>
      <c r="D1267" s="49">
        <v>0.3277777777777778</v>
      </c>
      <c r="E1267" s="21" t="s">
        <v>9154</v>
      </c>
      <c r="F1267" s="21" t="s">
        <v>3633</v>
      </c>
      <c r="G1267" s="21" t="s">
        <v>6758</v>
      </c>
      <c r="H1267" s="21" t="s">
        <v>566</v>
      </c>
      <c r="I1267" s="21" t="s">
        <v>95</v>
      </c>
      <c r="J1267" s="21" t="s">
        <v>95</v>
      </c>
      <c r="K1267" s="21" t="s">
        <v>143</v>
      </c>
      <c r="L1267" s="21" t="s">
        <v>8151</v>
      </c>
      <c r="M1267" s="21" t="s">
        <v>9155</v>
      </c>
      <c r="N1267" s="21" t="s">
        <v>9156</v>
      </c>
      <c r="O1267" s="48" t="s">
        <v>9157</v>
      </c>
      <c r="P1267" s="21" t="s">
        <v>48</v>
      </c>
      <c r="Q1267" s="24" t="s">
        <v>49</v>
      </c>
      <c r="R1267" s="21" t="s">
        <v>9158</v>
      </c>
      <c r="S1267" s="21" t="s">
        <v>51</v>
      </c>
      <c r="T1267" s="21" t="s">
        <v>52</v>
      </c>
      <c r="U1267" s="21" t="s">
        <v>52</v>
      </c>
      <c r="V1267" s="21" t="s">
        <v>52</v>
      </c>
      <c r="W1267" s="45">
        <v>46018.0</v>
      </c>
      <c r="X1267" s="49">
        <v>0.375</v>
      </c>
      <c r="Y1267" s="45">
        <v>46018.0</v>
      </c>
      <c r="Z1267" s="49">
        <v>0.4423611111111111</v>
      </c>
      <c r="AA1267" s="49">
        <v>0.4444444444444444</v>
      </c>
      <c r="AB1267" s="24" t="s">
        <v>9159</v>
      </c>
      <c r="AC1267" s="24" t="s">
        <v>9160</v>
      </c>
      <c r="AD1267" s="25">
        <v>0.5972222222222222</v>
      </c>
      <c r="AE1267" s="45">
        <v>46018.0</v>
      </c>
      <c r="AF1267" s="21" t="s">
        <v>4369</v>
      </c>
      <c r="AG1267" s="21" t="s">
        <v>8701</v>
      </c>
      <c r="AH1267" s="21" t="s">
        <v>9161</v>
      </c>
      <c r="AI1267" s="108" t="str">
        <f>IFERROR(__xludf.DUMMYFUNCTION("IF(OR(W1267="""",X1267="""",AE1267="""",AD1267=""""),"""",
   TEXT(
     (
       (AE1267+AD1267 + IF(AE1267+AD1267 &lt; W1267+X1267,1,0)) - (W1267+X1267)
     )
     - IF(AND(AB1267&lt;&gt;"""",AC1267&lt;&gt;""""), 
          SUM(ARRAYFORMULA(SPLIT(AC1267,"","") - SPLI"&amp;"T(AB1267,"",""))), 
          0
       ),
     ""[hh]:mm""
   )
)
"),"03:25")</f>
        <v>03:25</v>
      </c>
      <c r="AJ1267" s="109">
        <f t="shared" si="16"/>
        <v>0</v>
      </c>
      <c r="AK1267" s="110" t="str">
        <f t="shared" si="17"/>
        <v>Pass</v>
      </c>
    </row>
    <row r="1268">
      <c r="A1268" s="45">
        <v>46018.0</v>
      </c>
      <c r="B1268" s="49">
        <v>6.944444444444445E-4</v>
      </c>
      <c r="C1268" s="45">
        <v>46018.0</v>
      </c>
      <c r="D1268" s="49">
        <v>0.33819444444444446</v>
      </c>
      <c r="E1268" s="21" t="s">
        <v>9162</v>
      </c>
      <c r="F1268" s="21" t="s">
        <v>6813</v>
      </c>
      <c r="G1268" s="21" t="s">
        <v>6814</v>
      </c>
      <c r="H1268" s="21" t="s">
        <v>3553</v>
      </c>
      <c r="I1268" s="21" t="s">
        <v>60</v>
      </c>
      <c r="J1268" s="21" t="s">
        <v>3813</v>
      </c>
      <c r="K1268" s="21" t="s">
        <v>61</v>
      </c>
      <c r="L1268" s="21" t="s">
        <v>183</v>
      </c>
      <c r="M1268" s="21" t="s">
        <v>9163</v>
      </c>
      <c r="N1268" s="21" t="s">
        <v>9164</v>
      </c>
      <c r="O1268" s="48" t="s">
        <v>9165</v>
      </c>
      <c r="P1268" s="21" t="s">
        <v>75</v>
      </c>
      <c r="Q1268" s="24" t="s">
        <v>65</v>
      </c>
      <c r="R1268" s="21" t="s">
        <v>9166</v>
      </c>
      <c r="S1268" s="21" t="s">
        <v>51</v>
      </c>
      <c r="T1268" s="21" t="s">
        <v>52</v>
      </c>
      <c r="U1268" s="21" t="s">
        <v>52</v>
      </c>
      <c r="V1268" s="21" t="s">
        <v>52</v>
      </c>
      <c r="W1268" s="45">
        <v>46018.0</v>
      </c>
      <c r="X1268" s="49">
        <v>0.375</v>
      </c>
      <c r="Y1268" s="18">
        <v>46018.0</v>
      </c>
      <c r="Z1268" s="49">
        <v>0.44583333333333336</v>
      </c>
      <c r="AA1268" s="49">
        <v>0.4479166666666667</v>
      </c>
      <c r="AB1268" s="29"/>
      <c r="AC1268" s="29"/>
      <c r="AD1268" s="25">
        <v>0.4548611111111111</v>
      </c>
      <c r="AE1268" s="18">
        <v>46018.0</v>
      </c>
      <c r="AF1268" s="21" t="s">
        <v>2711</v>
      </c>
      <c r="AG1268" s="21" t="s">
        <v>5541</v>
      </c>
      <c r="AH1268" s="21" t="s">
        <v>9167</v>
      </c>
      <c r="AI1268" s="108" t="str">
        <f>IFERROR(__xludf.DUMMYFUNCTION("IF(OR(W1268="""",X1268="""",AE1268="""",AD1268=""""),"""",
   TEXT(
     (
       (AE1268+AD1268 + IF(AE1268+AD1268 &lt; W1268+X1268,1,0)) - (W1268+X1268)
     )
     - IF(AND(AB1268&lt;&gt;"""",AC1268&lt;&gt;""""), 
          SUM(ARRAYFORMULA(SPLIT(AC1268,"","") - SPLI"&amp;"T(AB1268,"",""))), 
          0
       ),
     ""[hh]:mm""
   )
)
"),"01:55")</f>
        <v>01:55</v>
      </c>
      <c r="AJ1268" s="109">
        <f t="shared" si="16"/>
        <v>0</v>
      </c>
      <c r="AK1268" s="110" t="str">
        <f t="shared" si="17"/>
        <v>Pass</v>
      </c>
    </row>
    <row r="1269">
      <c r="A1269" s="45">
        <v>46018.0</v>
      </c>
      <c r="B1269" s="49">
        <v>6.944444444444445E-4</v>
      </c>
      <c r="C1269" s="45">
        <v>46018.0</v>
      </c>
      <c r="D1269" s="49">
        <v>0.33819444444444446</v>
      </c>
      <c r="E1269" s="21" t="s">
        <v>9168</v>
      </c>
      <c r="F1269" s="21" t="s">
        <v>6813</v>
      </c>
      <c r="G1269" s="21" t="s">
        <v>6814</v>
      </c>
      <c r="H1269" s="21" t="s">
        <v>3553</v>
      </c>
      <c r="I1269" s="21" t="s">
        <v>234</v>
      </c>
      <c r="J1269" s="21" t="s">
        <v>3813</v>
      </c>
      <c r="K1269" s="21" t="s">
        <v>61</v>
      </c>
      <c r="L1269" s="21" t="s">
        <v>183</v>
      </c>
      <c r="M1269" s="21" t="s">
        <v>9169</v>
      </c>
      <c r="N1269" s="21" t="s">
        <v>9170</v>
      </c>
      <c r="O1269" s="48" t="s">
        <v>9165</v>
      </c>
      <c r="P1269" s="21" t="s">
        <v>75</v>
      </c>
      <c r="Q1269" s="24" t="s">
        <v>65</v>
      </c>
      <c r="R1269" s="21" t="s">
        <v>9166</v>
      </c>
      <c r="S1269" s="21" t="s">
        <v>51</v>
      </c>
      <c r="T1269" s="21" t="s">
        <v>52</v>
      </c>
      <c r="U1269" s="21" t="s">
        <v>52</v>
      </c>
      <c r="V1269" s="21" t="s">
        <v>52</v>
      </c>
      <c r="W1269" s="45">
        <v>46018.0</v>
      </c>
      <c r="X1269" s="49">
        <v>0.375</v>
      </c>
      <c r="Y1269" s="18">
        <v>46018.0</v>
      </c>
      <c r="Z1269" s="49">
        <v>0.44583333333333336</v>
      </c>
      <c r="AA1269" s="49">
        <v>0.4479166666666667</v>
      </c>
      <c r="AB1269" s="29"/>
      <c r="AC1269" s="29"/>
      <c r="AD1269" s="25">
        <v>0.4548611111111111</v>
      </c>
      <c r="AE1269" s="18">
        <v>46018.0</v>
      </c>
      <c r="AF1269" s="21" t="s">
        <v>2711</v>
      </c>
      <c r="AG1269" s="21" t="s">
        <v>5541</v>
      </c>
      <c r="AH1269" s="21" t="s">
        <v>9167</v>
      </c>
      <c r="AI1269" s="108" t="str">
        <f>IFERROR(__xludf.DUMMYFUNCTION("IF(OR(W1269="""",X1269="""",AE1269="""",AD1269=""""),"""",
   TEXT(
     (
       (AE1269+AD1269 + IF(AE1269+AD1269 &lt; W1269+X1269,1,0)) - (W1269+X1269)
     )
     - IF(AND(AB1269&lt;&gt;"""",AC1269&lt;&gt;""""), 
          SUM(ARRAYFORMULA(SPLIT(AC1269,"","") - SPLI"&amp;"T(AB1269,"",""))), 
          0
       ),
     ""[hh]:mm""
   )
)
"),"01:55")</f>
        <v>01:55</v>
      </c>
      <c r="AJ1269" s="109">
        <f t="shared" si="16"/>
        <v>0</v>
      </c>
      <c r="AK1269" s="110" t="str">
        <f t="shared" si="17"/>
        <v>Pass</v>
      </c>
    </row>
    <row r="1270">
      <c r="A1270" s="18">
        <v>46018.0</v>
      </c>
      <c r="B1270" s="75">
        <v>0.36041666666666666</v>
      </c>
      <c r="C1270" s="18">
        <v>46018.0</v>
      </c>
      <c r="D1270" s="20">
        <v>0.3611111111111111</v>
      </c>
      <c r="E1270" s="22" t="s">
        <v>9171</v>
      </c>
      <c r="F1270" s="22" t="s">
        <v>3351</v>
      </c>
      <c r="G1270" s="22" t="s">
        <v>3352</v>
      </c>
      <c r="H1270" s="22" t="s">
        <v>377</v>
      </c>
      <c r="I1270" s="22" t="s">
        <v>95</v>
      </c>
      <c r="J1270" s="22" t="s">
        <v>95</v>
      </c>
      <c r="K1270" s="22" t="s">
        <v>143</v>
      </c>
      <c r="L1270" s="22" t="s">
        <v>1203</v>
      </c>
      <c r="M1270" s="22" t="s">
        <v>9172</v>
      </c>
      <c r="N1270" s="22" t="s">
        <v>9173</v>
      </c>
      <c r="O1270" s="23" t="s">
        <v>9174</v>
      </c>
      <c r="P1270" s="22" t="s">
        <v>48</v>
      </c>
      <c r="Q1270" s="50" t="s">
        <v>49</v>
      </c>
      <c r="R1270" s="22" t="s">
        <v>9175</v>
      </c>
      <c r="S1270" s="22" t="s">
        <v>51</v>
      </c>
      <c r="T1270" s="22" t="s">
        <v>52</v>
      </c>
      <c r="U1270" s="22" t="s">
        <v>52</v>
      </c>
      <c r="V1270" s="22" t="s">
        <v>52</v>
      </c>
      <c r="W1270" s="18">
        <v>46018.0</v>
      </c>
      <c r="X1270" s="20">
        <v>0.375</v>
      </c>
      <c r="Y1270" s="18">
        <v>46018.0</v>
      </c>
      <c r="Z1270" s="20">
        <v>0.5180555555555556</v>
      </c>
      <c r="AA1270" s="20">
        <v>0.5208333333333334</v>
      </c>
      <c r="AB1270" s="54"/>
      <c r="AC1270" s="54"/>
      <c r="AD1270" s="51">
        <v>0.5368055555555555</v>
      </c>
      <c r="AE1270" s="18">
        <v>46018.0</v>
      </c>
      <c r="AF1270" s="22" t="s">
        <v>4369</v>
      </c>
      <c r="AG1270" s="22" t="s">
        <v>8573</v>
      </c>
      <c r="AH1270" s="22" t="s">
        <v>9176</v>
      </c>
      <c r="AI1270" s="108" t="str">
        <f>IFERROR(__xludf.DUMMYFUNCTION("IF(OR(W1270="""",X1270="""",AE1270="""",AD1270=""""),"""",
   TEXT(
     (
       (AE1270+AD1270 + IF(AE1270+AD1270 &lt; W1270+X1270,1,0)) - (W1270+X1270)
     )
     - IF(AND(AB1270&lt;&gt;"""",AC1270&lt;&gt;""""), 
          SUM(ARRAYFORMULA(SPLIT(AC1270,"","") - SPLI"&amp;"T(AB1270,"",""))), 
          0
       ),
     ""[hh]:mm""
   )
)
"),"03:53")</f>
        <v>03:53</v>
      </c>
      <c r="AJ1270" s="109">
        <f t="shared" si="16"/>
        <v>0</v>
      </c>
      <c r="AK1270" s="110" t="str">
        <f t="shared" si="17"/>
        <v>Pass</v>
      </c>
    </row>
    <row r="1271">
      <c r="A1271" s="45">
        <v>46018.0</v>
      </c>
      <c r="B1271" s="76">
        <v>0.6465277777777778</v>
      </c>
      <c r="C1271" s="45">
        <v>46018.0</v>
      </c>
      <c r="D1271" s="76">
        <v>0.6465277777777778</v>
      </c>
      <c r="E1271" s="21" t="s">
        <v>9177</v>
      </c>
      <c r="F1271" s="21" t="s">
        <v>3024</v>
      </c>
      <c r="G1271" s="21" t="s">
        <v>3025</v>
      </c>
      <c r="H1271" s="21" t="s">
        <v>4040</v>
      </c>
      <c r="I1271" s="21" t="s">
        <v>1153</v>
      </c>
      <c r="J1271" s="21" t="s">
        <v>1056</v>
      </c>
      <c r="K1271" s="21" t="s">
        <v>635</v>
      </c>
      <c r="L1271" s="21" t="s">
        <v>6176</v>
      </c>
      <c r="M1271" s="21" t="s">
        <v>9178</v>
      </c>
      <c r="N1271" s="21" t="s">
        <v>9179</v>
      </c>
      <c r="O1271" s="48" t="s">
        <v>9180</v>
      </c>
      <c r="P1271" s="21" t="s">
        <v>75</v>
      </c>
      <c r="Q1271" s="24" t="s">
        <v>65</v>
      </c>
      <c r="R1271" s="21" t="s">
        <v>9181</v>
      </c>
      <c r="S1271" s="21" t="s">
        <v>51</v>
      </c>
      <c r="T1271" s="21" t="s">
        <v>52</v>
      </c>
      <c r="U1271" s="21" t="s">
        <v>52</v>
      </c>
      <c r="V1271" s="21" t="s">
        <v>52</v>
      </c>
      <c r="W1271" s="45">
        <v>46018.0</v>
      </c>
      <c r="X1271" s="49">
        <v>0.4840277777777778</v>
      </c>
      <c r="Y1271" s="45">
        <v>46018.0</v>
      </c>
      <c r="Z1271" s="49">
        <v>0.5375</v>
      </c>
      <c r="AA1271" s="49">
        <v>0.5416666666666666</v>
      </c>
      <c r="AB1271" s="29"/>
      <c r="AC1271" s="29"/>
      <c r="AD1271" s="25">
        <v>0.6041666666666666</v>
      </c>
      <c r="AE1271" s="45">
        <v>46018.0</v>
      </c>
      <c r="AF1271" s="21" t="s">
        <v>4369</v>
      </c>
      <c r="AG1271" s="21" t="s">
        <v>5541</v>
      </c>
      <c r="AH1271" s="21" t="s">
        <v>9182</v>
      </c>
      <c r="AI1271" s="108" t="str">
        <f>IFERROR(__xludf.DUMMYFUNCTION("IF(OR(W1271="""",X1271="""",AE1271="""",AD1271=""""),"""",
   TEXT(
     (
       (AE1271+AD1271 + IF(AE1271+AD1271 &lt; W1271+X1271,1,0)) - (W1271+X1271)
     )
     - IF(AND(AB1271&lt;&gt;"""",AC1271&lt;&gt;""""), 
          SUM(ARRAYFORMULA(SPLIT(AC1271,"","") - SPLI"&amp;"T(AB1271,"",""))), 
          0
       ),
     ""[hh]:mm""
   )
)
"),"02:53")</f>
        <v>02:53</v>
      </c>
      <c r="AJ1271" s="109">
        <f t="shared" si="16"/>
        <v>0</v>
      </c>
      <c r="AK1271" s="110" t="str">
        <f t="shared" si="17"/>
        <v>Pass</v>
      </c>
    </row>
    <row r="1272">
      <c r="A1272" s="45">
        <v>46018.0</v>
      </c>
      <c r="B1272" s="49">
        <v>0.5368055555555555</v>
      </c>
      <c r="C1272" s="45">
        <v>46018.0</v>
      </c>
      <c r="D1272" s="49">
        <v>0.5576388888888889</v>
      </c>
      <c r="E1272" s="21" t="s">
        <v>9183</v>
      </c>
      <c r="F1272" s="21" t="s">
        <v>2502</v>
      </c>
      <c r="G1272" s="21" t="s">
        <v>2503</v>
      </c>
      <c r="H1272" s="21" t="s">
        <v>566</v>
      </c>
      <c r="I1272" s="21" t="s">
        <v>95</v>
      </c>
      <c r="J1272" s="21" t="s">
        <v>95</v>
      </c>
      <c r="K1272" s="21" t="s">
        <v>333</v>
      </c>
      <c r="L1272" s="21" t="s">
        <v>9184</v>
      </c>
      <c r="M1272" s="21" t="s">
        <v>9185</v>
      </c>
      <c r="N1272" s="21" t="s">
        <v>9186</v>
      </c>
      <c r="O1272" s="48" t="s">
        <v>9187</v>
      </c>
      <c r="P1272" s="21" t="s">
        <v>48</v>
      </c>
      <c r="Q1272" s="24" t="s">
        <v>49</v>
      </c>
      <c r="R1272" s="21" t="s">
        <v>9188</v>
      </c>
      <c r="S1272" s="21" t="s">
        <v>51</v>
      </c>
      <c r="T1272" s="21" t="s">
        <v>52</v>
      </c>
      <c r="U1272" s="21" t="s">
        <v>52</v>
      </c>
      <c r="V1272" s="21" t="s">
        <v>52</v>
      </c>
      <c r="W1272" s="45">
        <v>46018.0</v>
      </c>
      <c r="X1272" s="49">
        <v>0.575</v>
      </c>
      <c r="Y1272" s="45">
        <v>46018.0</v>
      </c>
      <c r="Z1272" s="49">
        <v>0.6118055555555556</v>
      </c>
      <c r="AA1272" s="49">
        <v>0.6145833333333334</v>
      </c>
      <c r="AB1272" s="29"/>
      <c r="AC1272" s="29"/>
      <c r="AD1272" s="25">
        <v>0.7083333333333334</v>
      </c>
      <c r="AE1272" s="45">
        <v>46018.0</v>
      </c>
      <c r="AF1272" s="21" t="s">
        <v>2839</v>
      </c>
      <c r="AG1272" s="21" t="s">
        <v>293</v>
      </c>
      <c r="AH1272" s="21" t="s">
        <v>9189</v>
      </c>
      <c r="AI1272" s="108" t="str">
        <f>IFERROR(__xludf.DUMMYFUNCTION("IF(OR(W1272="""",X1272="""",AE1272="""",AD1272=""""),"""",
   TEXT(
     (
       (AE1272+AD1272 + IF(AE1272+AD1272 &lt; W1272+X1272,1,0)) - (W1272+X1272)
     )
     - IF(AND(AB1272&lt;&gt;"""",AC1272&lt;&gt;""""), 
          SUM(ARRAYFORMULA(SPLIT(AC1272,"","") - SPLI"&amp;"T(AB1272,"",""))), 
          0
       ),
     ""[hh]:mm""
   )
)
"),"03:12")</f>
        <v>03:12</v>
      </c>
      <c r="AJ1272" s="109">
        <f t="shared" si="16"/>
        <v>0</v>
      </c>
      <c r="AK1272" s="110" t="str">
        <f t="shared" si="17"/>
        <v>Pass</v>
      </c>
    </row>
    <row r="1273">
      <c r="A1273" s="45">
        <v>46018.0</v>
      </c>
      <c r="B1273" s="49">
        <v>0.6118055555555556</v>
      </c>
      <c r="C1273" s="45">
        <v>46018.0</v>
      </c>
      <c r="D1273" s="49">
        <v>0.6118055555555556</v>
      </c>
      <c r="E1273" s="21" t="s">
        <v>9190</v>
      </c>
      <c r="F1273" s="21" t="s">
        <v>2502</v>
      </c>
      <c r="G1273" s="21" t="s">
        <v>2503</v>
      </c>
      <c r="H1273" s="21" t="s">
        <v>1450</v>
      </c>
      <c r="I1273" s="21" t="s">
        <v>234</v>
      </c>
      <c r="J1273" s="21" t="s">
        <v>3806</v>
      </c>
      <c r="K1273" s="21" t="s">
        <v>43</v>
      </c>
      <c r="L1273" s="21" t="s">
        <v>52</v>
      </c>
      <c r="M1273" s="21" t="s">
        <v>9185</v>
      </c>
      <c r="N1273" s="21" t="s">
        <v>9191</v>
      </c>
      <c r="O1273" s="48" t="s">
        <v>9192</v>
      </c>
      <c r="P1273" s="21" t="s">
        <v>75</v>
      </c>
      <c r="Q1273" s="24" t="s">
        <v>65</v>
      </c>
      <c r="R1273" s="21" t="s">
        <v>9193</v>
      </c>
      <c r="S1273" s="21" t="s">
        <v>51</v>
      </c>
      <c r="T1273" s="21" t="s">
        <v>52</v>
      </c>
      <c r="U1273" s="21" t="s">
        <v>52</v>
      </c>
      <c r="V1273" s="21" t="s">
        <v>52</v>
      </c>
      <c r="W1273" s="45">
        <v>46018.0</v>
      </c>
      <c r="X1273" s="49">
        <v>0.6118055555555556</v>
      </c>
      <c r="Y1273" s="45">
        <v>46018.0</v>
      </c>
      <c r="Z1273" s="49">
        <v>0.6118055555555556</v>
      </c>
      <c r="AA1273" s="49">
        <v>0.6145833333333334</v>
      </c>
      <c r="AB1273" s="29"/>
      <c r="AC1273" s="29"/>
      <c r="AD1273" s="25">
        <v>0.6666666666666666</v>
      </c>
      <c r="AE1273" s="45">
        <v>46018.0</v>
      </c>
      <c r="AF1273" s="21" t="s">
        <v>33</v>
      </c>
      <c r="AG1273" s="21" t="s">
        <v>293</v>
      </c>
      <c r="AH1273" s="21" t="s">
        <v>9189</v>
      </c>
      <c r="AI1273" s="108" t="str">
        <f>IFERROR(__xludf.DUMMYFUNCTION("IF(OR(W1273="""",X1273="""",AE1273="""",AD1273=""""),"""",
   TEXT(
     (
       (AE1273+AD1273 + IF(AE1273+AD1273 &lt; W1273+X1273,1,0)) - (W1273+X1273)
     )
     - IF(AND(AB1273&lt;&gt;"""",AC1273&lt;&gt;""""), 
          SUM(ARRAYFORMULA(SPLIT(AC1273,"","") - SPLI"&amp;"T(AB1273,"",""))), 
          0
       ),
     ""[hh]:mm""
   )
)
"),"01:19")</f>
        <v>01:19</v>
      </c>
      <c r="AJ1273" s="109">
        <f t="shared" si="16"/>
        <v>0</v>
      </c>
      <c r="AK1273" s="110" t="str">
        <f t="shared" si="17"/>
        <v>Pass</v>
      </c>
    </row>
    <row r="1274">
      <c r="A1274" s="45">
        <v>46018.0</v>
      </c>
      <c r="B1274" s="49">
        <v>0.5659722222222222</v>
      </c>
      <c r="C1274" s="45">
        <v>46018.0</v>
      </c>
      <c r="D1274" s="49">
        <v>0.6013888888888889</v>
      </c>
      <c r="E1274" s="21" t="s">
        <v>9194</v>
      </c>
      <c r="F1274" s="21" t="s">
        <v>998</v>
      </c>
      <c r="G1274" s="21" t="s">
        <v>999</v>
      </c>
      <c r="H1274" s="21" t="s">
        <v>1610</v>
      </c>
      <c r="I1274" s="21" t="s">
        <v>1612</v>
      </c>
      <c r="J1274" s="21" t="s">
        <v>1612</v>
      </c>
      <c r="K1274" s="21" t="s">
        <v>143</v>
      </c>
      <c r="L1274" s="21" t="s">
        <v>1613</v>
      </c>
      <c r="M1274" s="21" t="s">
        <v>9195</v>
      </c>
      <c r="N1274" s="21" t="s">
        <v>9196</v>
      </c>
      <c r="O1274" s="48" t="s">
        <v>9197</v>
      </c>
      <c r="P1274" s="21" t="s">
        <v>187</v>
      </c>
      <c r="Q1274" s="24" t="s">
        <v>65</v>
      </c>
      <c r="R1274" s="21" t="s">
        <v>9198</v>
      </c>
      <c r="S1274" s="21" t="s">
        <v>51</v>
      </c>
      <c r="T1274" s="21" t="s">
        <v>52</v>
      </c>
      <c r="U1274" s="21" t="s">
        <v>52</v>
      </c>
      <c r="V1274" s="21" t="s">
        <v>52</v>
      </c>
      <c r="W1274" s="45">
        <v>46018.0</v>
      </c>
      <c r="X1274" s="49">
        <v>0.6013888888888889</v>
      </c>
      <c r="Y1274" s="45">
        <v>46018.0</v>
      </c>
      <c r="Z1274" s="49">
        <v>0.6243055555555556</v>
      </c>
      <c r="AA1274" s="49">
        <v>0.6423611111111112</v>
      </c>
      <c r="AB1274" s="29"/>
      <c r="AC1274" s="29"/>
      <c r="AD1274" s="25">
        <v>0.6875</v>
      </c>
      <c r="AE1274" s="45">
        <v>46018.0</v>
      </c>
      <c r="AF1274" s="21" t="s">
        <v>2839</v>
      </c>
      <c r="AG1274" s="21" t="s">
        <v>151</v>
      </c>
      <c r="AH1274" s="21" t="s">
        <v>9199</v>
      </c>
      <c r="AI1274" s="108" t="str">
        <f>IFERROR(__xludf.DUMMYFUNCTION("IF(OR(W1274="""",X1274="""",AE1274="""",AD1274=""""),"""",
   TEXT(
     (
       (AE1274+AD1274 + IF(AE1274+AD1274 &lt; W1274+X1274,1,0)) - (W1274+X1274)
     )
     - IF(AND(AB1274&lt;&gt;"""",AC1274&lt;&gt;""""), 
          SUM(ARRAYFORMULA(SPLIT(AC1274,"","") - SPLI"&amp;"T(AB1274,"",""))), 
          0
       ),
     ""[hh]:mm""
   )
)
"),"02:04")</f>
        <v>02:04</v>
      </c>
      <c r="AJ1274" s="109">
        <f t="shared" si="16"/>
        <v>0</v>
      </c>
      <c r="AK1274" s="110" t="str">
        <f t="shared" si="17"/>
        <v>Pass</v>
      </c>
    </row>
    <row r="1275">
      <c r="A1275" s="45">
        <v>46018.0</v>
      </c>
      <c r="B1275" s="76">
        <v>0.7368055555555556</v>
      </c>
      <c r="C1275" s="45">
        <v>46018.0</v>
      </c>
      <c r="D1275" s="49">
        <v>0.7513888888888889</v>
      </c>
      <c r="E1275" s="21" t="s">
        <v>9200</v>
      </c>
      <c r="F1275" s="21" t="s">
        <v>3232</v>
      </c>
      <c r="G1275" s="21" t="s">
        <v>3233</v>
      </c>
      <c r="H1275" s="21" t="s">
        <v>40</v>
      </c>
      <c r="I1275" s="21" t="s">
        <v>60</v>
      </c>
      <c r="J1275" s="21" t="s">
        <v>3806</v>
      </c>
      <c r="K1275" s="21" t="s">
        <v>43</v>
      </c>
      <c r="L1275" s="21" t="s">
        <v>44</v>
      </c>
      <c r="M1275" s="21" t="s">
        <v>9201</v>
      </c>
      <c r="N1275" s="21" t="s">
        <v>2586</v>
      </c>
      <c r="O1275" s="48" t="s">
        <v>9202</v>
      </c>
      <c r="P1275" s="21" t="s">
        <v>48</v>
      </c>
      <c r="Q1275" s="24" t="s">
        <v>65</v>
      </c>
      <c r="R1275" s="21" t="s">
        <v>9203</v>
      </c>
      <c r="S1275" s="21" t="s">
        <v>51</v>
      </c>
      <c r="T1275" s="21" t="s">
        <v>52</v>
      </c>
      <c r="U1275" s="21" t="s">
        <v>52</v>
      </c>
      <c r="V1275" s="21" t="s">
        <v>52</v>
      </c>
      <c r="W1275" s="45">
        <v>46018.0</v>
      </c>
      <c r="X1275" s="49">
        <v>0.7513888888888889</v>
      </c>
      <c r="Y1275" s="45">
        <v>46018.0</v>
      </c>
      <c r="Z1275" s="49">
        <v>0.7798611111111111</v>
      </c>
      <c r="AA1275" s="49">
        <v>0.78125</v>
      </c>
      <c r="AB1275" s="25">
        <v>0.7847222222222222</v>
      </c>
      <c r="AC1275" s="25">
        <v>0.8194444444444444</v>
      </c>
      <c r="AD1275" s="25">
        <v>0.8194444444444444</v>
      </c>
      <c r="AE1275" s="45">
        <v>46018.0</v>
      </c>
      <c r="AF1275" s="21" t="s">
        <v>8572</v>
      </c>
      <c r="AG1275" s="21" t="s">
        <v>6108</v>
      </c>
      <c r="AH1275" s="21" t="s">
        <v>9204</v>
      </c>
      <c r="AI1275" s="108" t="str">
        <f>IFERROR(__xludf.DUMMYFUNCTION("IF(OR(W1275="""",X1275="""",AE1275="""",AD1275=""""),"""",
   TEXT(
     (
       (AE1275+AD1275 + IF(AE1275+AD1275 &lt; W1275+X1275,1,0)) - (W1275+X1275)
     )
     - IF(AND(AB1275&lt;&gt;"""",AC1275&lt;&gt;""""), 
          SUM(ARRAYFORMULA(SPLIT(AC1275,"","") - SPLI"&amp;"T(AB1275,"",""))), 
          0
       ),
     ""[hh]:mm""
   )
)
"),"00:48")</f>
        <v>00:48</v>
      </c>
      <c r="AJ1275" s="109">
        <f t="shared" si="16"/>
        <v>0</v>
      </c>
      <c r="AK1275" s="110" t="str">
        <f t="shared" si="17"/>
        <v>Pass</v>
      </c>
    </row>
    <row r="1276">
      <c r="A1276" s="45">
        <v>46018.0</v>
      </c>
      <c r="B1276" s="49">
        <v>0.8354166666666667</v>
      </c>
      <c r="C1276" s="45">
        <v>46018.0</v>
      </c>
      <c r="D1276" s="49">
        <v>0.8402777777777778</v>
      </c>
      <c r="E1276" s="21" t="s">
        <v>9205</v>
      </c>
      <c r="F1276" s="21" t="s">
        <v>9206</v>
      </c>
      <c r="G1276" s="21" t="s">
        <v>9207</v>
      </c>
      <c r="H1276" s="21" t="s">
        <v>1610</v>
      </c>
      <c r="I1276" s="21" t="s">
        <v>1612</v>
      </c>
      <c r="J1276" s="21" t="s">
        <v>1612</v>
      </c>
      <c r="K1276" s="21" t="s">
        <v>143</v>
      </c>
      <c r="L1276" s="21" t="s">
        <v>9208</v>
      </c>
      <c r="M1276" s="21" t="s">
        <v>9209</v>
      </c>
      <c r="N1276" s="21" t="s">
        <v>9210</v>
      </c>
      <c r="O1276" s="48" t="s">
        <v>9211</v>
      </c>
      <c r="P1276" s="21" t="s">
        <v>75</v>
      </c>
      <c r="Q1276" s="24" t="s">
        <v>65</v>
      </c>
      <c r="R1276" s="21" t="s">
        <v>9212</v>
      </c>
      <c r="S1276" s="21" t="s">
        <v>51</v>
      </c>
      <c r="T1276" s="21" t="s">
        <v>52</v>
      </c>
      <c r="U1276" s="21" t="s">
        <v>52</v>
      </c>
      <c r="V1276" s="21" t="s">
        <v>52</v>
      </c>
      <c r="W1276" s="45">
        <v>46019.0</v>
      </c>
      <c r="X1276" s="49">
        <v>0.375</v>
      </c>
      <c r="Y1276" s="45">
        <v>46019.0</v>
      </c>
      <c r="Z1276" s="49">
        <v>0.4263888888888889</v>
      </c>
      <c r="AA1276" s="49">
        <v>0.4270833333333333</v>
      </c>
      <c r="AB1276" s="29"/>
      <c r="AC1276" s="29"/>
      <c r="AD1276" s="25">
        <v>0.5291666666666667</v>
      </c>
      <c r="AE1276" s="45">
        <v>46019.0</v>
      </c>
      <c r="AF1276" s="21" t="s">
        <v>2711</v>
      </c>
      <c r="AG1276" s="21" t="s">
        <v>8210</v>
      </c>
      <c r="AH1276" s="21" t="s">
        <v>9213</v>
      </c>
      <c r="AI1276" s="108" t="str">
        <f>IFERROR(__xludf.DUMMYFUNCTION("IF(OR(W1276="""",X1276="""",AE1276="""",AD1276=""""),"""",
   TEXT(
     (
       (AE1276+AD1276 + IF(AE1276+AD1276 &lt; W1276+X1276,1,0)) - (W1276+X1276)
     )
     - IF(AND(AB1276&lt;&gt;"""",AC1276&lt;&gt;""""), 
          SUM(ARRAYFORMULA(SPLIT(AC1276,"","") - SPLI"&amp;"T(AB1276,"",""))), 
          0
       ),
     ""[hh]:mm""
   )
)
"),"03:42")</f>
        <v>03:42</v>
      </c>
      <c r="AJ1276" s="109">
        <f t="shared" si="16"/>
        <v>0</v>
      </c>
      <c r="AK1276" s="110" t="str">
        <f t="shared" si="17"/>
        <v>Pass</v>
      </c>
    </row>
    <row r="1277">
      <c r="A1277" s="45">
        <v>46019.0</v>
      </c>
      <c r="B1277" s="49">
        <v>0.03194444444444444</v>
      </c>
      <c r="C1277" s="45">
        <v>46019.0</v>
      </c>
      <c r="D1277" s="49">
        <v>0.375</v>
      </c>
      <c r="E1277" s="21" t="s">
        <v>9214</v>
      </c>
      <c r="F1277" s="21" t="s">
        <v>8965</v>
      </c>
      <c r="G1277" s="21" t="s">
        <v>8966</v>
      </c>
      <c r="H1277" s="21" t="s">
        <v>1610</v>
      </c>
      <c r="I1277" s="21" t="s">
        <v>1612</v>
      </c>
      <c r="J1277" s="21" t="s">
        <v>1612</v>
      </c>
      <c r="K1277" s="21" t="s">
        <v>143</v>
      </c>
      <c r="L1277" s="21" t="s">
        <v>9208</v>
      </c>
      <c r="M1277" s="21" t="s">
        <v>9215</v>
      </c>
      <c r="N1277" s="21" t="s">
        <v>9216</v>
      </c>
      <c r="O1277" s="48" t="s">
        <v>9217</v>
      </c>
      <c r="P1277" s="21" t="s">
        <v>187</v>
      </c>
      <c r="Q1277" s="24" t="s">
        <v>65</v>
      </c>
      <c r="R1277" s="21" t="s">
        <v>9218</v>
      </c>
      <c r="S1277" s="21" t="s">
        <v>51</v>
      </c>
      <c r="T1277" s="21" t="s">
        <v>52</v>
      </c>
      <c r="U1277" s="21" t="s">
        <v>52</v>
      </c>
      <c r="V1277" s="21" t="s">
        <v>52</v>
      </c>
      <c r="W1277" s="45">
        <v>46019.0</v>
      </c>
      <c r="X1277" s="49">
        <v>0.375</v>
      </c>
      <c r="Y1277" s="45">
        <v>46019.0</v>
      </c>
      <c r="Z1277" s="49">
        <v>0.4756944444444444</v>
      </c>
      <c r="AA1277" s="49">
        <v>0.47708333333333336</v>
      </c>
      <c r="AB1277" s="29"/>
      <c r="AC1277" s="29"/>
      <c r="AD1277" s="25">
        <v>0.5729166666666666</v>
      </c>
      <c r="AE1277" s="45">
        <v>46019.0</v>
      </c>
      <c r="AF1277" s="21" t="s">
        <v>2711</v>
      </c>
      <c r="AG1277" s="21" t="s">
        <v>6849</v>
      </c>
      <c r="AH1277" s="21" t="s">
        <v>9219</v>
      </c>
      <c r="AI1277" s="108" t="str">
        <f>IFERROR(__xludf.DUMMYFUNCTION("IF(OR(W1277="""",X1277="""",AE1277="""",AD1277=""""),"""",
   TEXT(
     (
       (AE1277+AD1277 + IF(AE1277+AD1277 &lt; W1277+X1277,1,0)) - (W1277+X1277)
     )
     - IF(AND(AB1277&lt;&gt;"""",AC1277&lt;&gt;""""), 
          SUM(ARRAYFORMULA(SPLIT(AC1277,"","") - SPLI"&amp;"T(AB1277,"",""))), 
          0
       ),
     ""[hh]:mm""
   )
)
"),"04:45")</f>
        <v>04:45</v>
      </c>
      <c r="AJ1277" s="109">
        <f t="shared" si="16"/>
        <v>0</v>
      </c>
      <c r="AK1277" s="110" t="str">
        <f t="shared" si="17"/>
        <v>Pass</v>
      </c>
    </row>
    <row r="1278">
      <c r="A1278" s="45">
        <v>46019.0</v>
      </c>
      <c r="B1278" s="49">
        <v>0.03263888888888889</v>
      </c>
      <c r="C1278" s="45">
        <v>46019.0</v>
      </c>
      <c r="D1278" s="49">
        <v>0.375</v>
      </c>
      <c r="E1278" s="21" t="s">
        <v>9220</v>
      </c>
      <c r="F1278" s="21" t="s">
        <v>8965</v>
      </c>
      <c r="G1278" s="21" t="s">
        <v>8966</v>
      </c>
      <c r="H1278" s="21" t="s">
        <v>1610</v>
      </c>
      <c r="I1278" s="21" t="s">
        <v>1612</v>
      </c>
      <c r="J1278" s="21" t="s">
        <v>1612</v>
      </c>
      <c r="K1278" s="21" t="s">
        <v>143</v>
      </c>
      <c r="L1278" s="21" t="s">
        <v>9208</v>
      </c>
      <c r="M1278" s="21" t="s">
        <v>9221</v>
      </c>
      <c r="N1278" s="21" t="s">
        <v>9222</v>
      </c>
      <c r="O1278" s="48" t="s">
        <v>9223</v>
      </c>
      <c r="P1278" s="21" t="s">
        <v>187</v>
      </c>
      <c r="Q1278" s="24" t="s">
        <v>65</v>
      </c>
      <c r="R1278" s="21" t="s">
        <v>9224</v>
      </c>
      <c r="S1278" s="21" t="s">
        <v>51</v>
      </c>
      <c r="T1278" s="21" t="s">
        <v>52</v>
      </c>
      <c r="U1278" s="21" t="s">
        <v>52</v>
      </c>
      <c r="V1278" s="21" t="s">
        <v>52</v>
      </c>
      <c r="W1278" s="45">
        <v>46019.0</v>
      </c>
      <c r="X1278" s="49">
        <v>0.375</v>
      </c>
      <c r="Y1278" s="45">
        <v>46019.0</v>
      </c>
      <c r="Z1278" s="49">
        <v>0.4756944444444444</v>
      </c>
      <c r="AA1278" s="49">
        <v>0.47708333333333336</v>
      </c>
      <c r="AB1278" s="29"/>
      <c r="AC1278" s="29"/>
      <c r="AD1278" s="25">
        <v>0.5729166666666666</v>
      </c>
      <c r="AE1278" s="45">
        <v>46019.0</v>
      </c>
      <c r="AF1278" s="21" t="s">
        <v>2711</v>
      </c>
      <c r="AG1278" s="21" t="s">
        <v>6849</v>
      </c>
      <c r="AH1278" s="21" t="s">
        <v>9219</v>
      </c>
      <c r="AI1278" s="108" t="str">
        <f>IFERROR(__xludf.DUMMYFUNCTION("IF(OR(W1278="""",X1278="""",AE1278="""",AD1278=""""),"""",
   TEXT(
     (
       (AE1278+AD1278 + IF(AE1278+AD1278 &lt; W1278+X1278,1,0)) - (W1278+X1278)
     )
     - IF(AND(AB1278&lt;&gt;"""",AC1278&lt;&gt;""""), 
          SUM(ARRAYFORMULA(SPLIT(AC1278,"","") - SPLI"&amp;"T(AB1278,"",""))), 
          0
       ),
     ""[hh]:mm""
   )
)
"),"04:45")</f>
        <v>04:45</v>
      </c>
      <c r="AJ1278" s="109">
        <f t="shared" si="16"/>
        <v>0</v>
      </c>
      <c r="AK1278" s="110" t="str">
        <f t="shared" si="17"/>
        <v>Pass</v>
      </c>
    </row>
    <row r="1279">
      <c r="A1279" s="18">
        <v>46019.0</v>
      </c>
      <c r="B1279" s="20">
        <v>0.37916666666666665</v>
      </c>
      <c r="C1279" s="18">
        <v>46019.0</v>
      </c>
      <c r="D1279" s="20">
        <v>0.3958333333333333</v>
      </c>
      <c r="E1279" s="22" t="s">
        <v>9225</v>
      </c>
      <c r="F1279" s="22" t="s">
        <v>596</v>
      </c>
      <c r="G1279" s="22" t="s">
        <v>597</v>
      </c>
      <c r="H1279" s="22" t="s">
        <v>1610</v>
      </c>
      <c r="I1279" s="22" t="s">
        <v>1612</v>
      </c>
      <c r="J1279" s="22" t="s">
        <v>1612</v>
      </c>
      <c r="K1279" s="22" t="s">
        <v>143</v>
      </c>
      <c r="L1279" s="22" t="s">
        <v>9208</v>
      </c>
      <c r="M1279" s="22" t="s">
        <v>9226</v>
      </c>
      <c r="N1279" s="22" t="s">
        <v>9227</v>
      </c>
      <c r="O1279" s="23" t="s">
        <v>9228</v>
      </c>
      <c r="P1279" s="22" t="s">
        <v>187</v>
      </c>
      <c r="Q1279" s="50" t="s">
        <v>65</v>
      </c>
      <c r="R1279" s="22" t="s">
        <v>6093</v>
      </c>
      <c r="S1279" s="22" t="s">
        <v>51</v>
      </c>
      <c r="T1279" s="22" t="s">
        <v>52</v>
      </c>
      <c r="U1279" s="22" t="s">
        <v>52</v>
      </c>
      <c r="V1279" s="22" t="s">
        <v>52</v>
      </c>
      <c r="W1279" s="18">
        <v>46019.0</v>
      </c>
      <c r="X1279" s="20">
        <v>0.3958333333333333</v>
      </c>
      <c r="Y1279" s="18">
        <v>46019.0</v>
      </c>
      <c r="Z1279" s="20">
        <v>0.4444444444444444</v>
      </c>
      <c r="AA1279" s="20">
        <v>0.4479166666666667</v>
      </c>
      <c r="AB1279" s="54"/>
      <c r="AC1279" s="54"/>
      <c r="AD1279" s="51">
        <v>0.4861111111111111</v>
      </c>
      <c r="AE1279" s="18">
        <v>46019.0</v>
      </c>
      <c r="AF1279" s="22" t="s">
        <v>6995</v>
      </c>
      <c r="AG1279" s="22" t="s">
        <v>293</v>
      </c>
      <c r="AH1279" s="22" t="s">
        <v>9229</v>
      </c>
      <c r="AI1279" s="108" t="str">
        <f>IFERROR(__xludf.DUMMYFUNCTION("IF(OR(W1279="""",X1279="""",AE1279="""",AD1279=""""),"""",
   TEXT(
     (
       (AE1279+AD1279 + IF(AE1279+AD1279 &lt; W1279+X1279,1,0)) - (W1279+X1279)
     )
     - IF(AND(AB1279&lt;&gt;"""",AC1279&lt;&gt;""""), 
          SUM(ARRAYFORMULA(SPLIT(AC1279,"","") - SPLI"&amp;"T(AB1279,"",""))), 
          0
       ),
     ""[hh]:mm""
   )
)
"),"02:10")</f>
        <v>02:10</v>
      </c>
      <c r="AJ1279" s="109">
        <f t="shared" si="16"/>
        <v>0</v>
      </c>
      <c r="AK1279" s="110" t="str">
        <f t="shared" si="17"/>
        <v>Pass</v>
      </c>
    </row>
    <row r="1280">
      <c r="A1280" s="45">
        <v>46019.0</v>
      </c>
      <c r="B1280" s="49">
        <v>0.5895833333333333</v>
      </c>
      <c r="C1280" s="45">
        <v>46019.0</v>
      </c>
      <c r="D1280" s="49">
        <v>0.5951388888888889</v>
      </c>
      <c r="E1280" s="21" t="s">
        <v>9230</v>
      </c>
      <c r="F1280" s="21" t="s">
        <v>1344</v>
      </c>
      <c r="G1280" s="21" t="s">
        <v>1345</v>
      </c>
      <c r="H1280" s="21" t="s">
        <v>377</v>
      </c>
      <c r="I1280" s="21" t="s">
        <v>234</v>
      </c>
      <c r="J1280" s="21" t="s">
        <v>3813</v>
      </c>
      <c r="K1280" s="21" t="s">
        <v>61</v>
      </c>
      <c r="L1280" s="21" t="s">
        <v>183</v>
      </c>
      <c r="M1280" s="21" t="s">
        <v>9231</v>
      </c>
      <c r="N1280" s="21" t="s">
        <v>9232</v>
      </c>
      <c r="O1280" s="48" t="s">
        <v>9233</v>
      </c>
      <c r="P1280" s="21" t="s">
        <v>75</v>
      </c>
      <c r="Q1280" s="24" t="s">
        <v>65</v>
      </c>
      <c r="R1280" s="21" t="s">
        <v>9234</v>
      </c>
      <c r="S1280" s="21" t="s">
        <v>51</v>
      </c>
      <c r="T1280" s="21" t="s">
        <v>52</v>
      </c>
      <c r="U1280" s="21" t="s">
        <v>52</v>
      </c>
      <c r="V1280" s="21" t="s">
        <v>52</v>
      </c>
      <c r="W1280" s="45">
        <v>46019.0</v>
      </c>
      <c r="X1280" s="49">
        <v>0.5951388888888889</v>
      </c>
      <c r="Y1280" s="45">
        <v>46019.0</v>
      </c>
      <c r="Z1280" s="49">
        <v>0.7138888888888889</v>
      </c>
      <c r="AA1280" s="49">
        <v>0.73125</v>
      </c>
      <c r="AB1280" s="24" t="s">
        <v>9235</v>
      </c>
      <c r="AC1280" s="24" t="s">
        <v>9236</v>
      </c>
      <c r="AD1280" s="25">
        <v>0.8402777777777778</v>
      </c>
      <c r="AE1280" s="45">
        <v>46019.0</v>
      </c>
      <c r="AF1280" s="21" t="s">
        <v>2788</v>
      </c>
      <c r="AG1280" s="21" t="s">
        <v>8701</v>
      </c>
      <c r="AH1280" s="21" t="s">
        <v>9237</v>
      </c>
      <c r="AI1280" s="108" t="str">
        <f>IFERROR(__xludf.DUMMYFUNCTION("IF(OR(W1280="""",X1280="""",AE1280="""",AD1280=""""),"""",
   TEXT(
     (
       (AE1280+AD1280 + IF(AE1280+AD1280 &lt; W1280+X1280,1,0)) - (W1280+X1280)
     )
     - IF(AND(AB1280&lt;&gt;"""",AC1280&lt;&gt;""""), 
          SUM(ARRAYFORMULA(SPLIT(AC1280,"","") - SPLI"&amp;"T(AB1280,"",""))), 
          0
       ),
     ""[hh]:mm""
   )
)
"),"04:25")</f>
        <v>04:25</v>
      </c>
      <c r="AJ1280" s="109">
        <f t="shared" si="16"/>
        <v>0</v>
      </c>
      <c r="AK1280" s="110" t="str">
        <f t="shared" si="17"/>
        <v>Pass</v>
      </c>
    </row>
    <row r="1281">
      <c r="A1281" s="45">
        <v>46019.0</v>
      </c>
      <c r="B1281" s="49">
        <v>0.5993055555555555</v>
      </c>
      <c r="C1281" s="45">
        <v>46019.0</v>
      </c>
      <c r="D1281" s="49">
        <v>0.6166666666666667</v>
      </c>
      <c r="E1281" s="21" t="s">
        <v>9238</v>
      </c>
      <c r="F1281" s="21" t="s">
        <v>2502</v>
      </c>
      <c r="G1281" s="21" t="s">
        <v>2503</v>
      </c>
      <c r="H1281" s="21" t="s">
        <v>3093</v>
      </c>
      <c r="I1281" s="21" t="s">
        <v>131</v>
      </c>
      <c r="J1281" s="21" t="s">
        <v>3806</v>
      </c>
      <c r="K1281" s="21" t="s">
        <v>43</v>
      </c>
      <c r="L1281" s="22" t="s">
        <v>2663</v>
      </c>
      <c r="M1281" s="21" t="s">
        <v>8476</v>
      </c>
      <c r="N1281" s="21" t="s">
        <v>9239</v>
      </c>
      <c r="O1281" s="48" t="s">
        <v>9240</v>
      </c>
      <c r="P1281" s="21" t="s">
        <v>75</v>
      </c>
      <c r="Q1281" s="24" t="s">
        <v>65</v>
      </c>
      <c r="R1281" s="21" t="s">
        <v>9241</v>
      </c>
      <c r="S1281" s="21" t="s">
        <v>51</v>
      </c>
      <c r="T1281" s="21" t="s">
        <v>52</v>
      </c>
      <c r="U1281" s="21" t="s">
        <v>52</v>
      </c>
      <c r="V1281" s="21" t="s">
        <v>52</v>
      </c>
      <c r="W1281" s="45">
        <v>46019.0</v>
      </c>
      <c r="X1281" s="49">
        <v>0.6381944444444444</v>
      </c>
      <c r="Y1281" s="45">
        <v>46019.0</v>
      </c>
      <c r="Z1281" s="49">
        <v>0.7083333333333334</v>
      </c>
      <c r="AA1281" s="49">
        <v>0.7118055555555556</v>
      </c>
      <c r="AB1281" s="29"/>
      <c r="AC1281" s="29"/>
      <c r="AD1281" s="25">
        <v>0.7291666666666666</v>
      </c>
      <c r="AE1281" s="45">
        <v>46019.0</v>
      </c>
      <c r="AF1281" s="21" t="s">
        <v>7901</v>
      </c>
      <c r="AG1281" s="21" t="s">
        <v>54</v>
      </c>
      <c r="AH1281" s="21" t="s">
        <v>9242</v>
      </c>
      <c r="AI1281" s="108" t="str">
        <f>IFERROR(__xludf.DUMMYFUNCTION("IF(OR(W1281="""",X1281="""",AE1281="""",AD1281=""""),"""",
   TEXT(
     (
       (AE1281+AD1281 + IF(AE1281+AD1281 &lt; W1281+X1281,1,0)) - (W1281+X1281)
     )
     - IF(AND(AB1281&lt;&gt;"""",AC1281&lt;&gt;""""), 
          SUM(ARRAYFORMULA(SPLIT(AC1281,"","") - SPLI"&amp;"T(AB1281,"",""))), 
          0
       ),
     ""[hh]:mm""
   )
)
"),"02:11")</f>
        <v>02:11</v>
      </c>
      <c r="AJ1281" s="109">
        <f t="shared" si="16"/>
        <v>0</v>
      </c>
      <c r="AK1281" s="110" t="str">
        <f t="shared" si="17"/>
        <v>Pass</v>
      </c>
    </row>
    <row r="1282">
      <c r="A1282" s="45">
        <v>46019.0</v>
      </c>
      <c r="B1282" s="49">
        <v>0.5993055555555555</v>
      </c>
      <c r="C1282" s="45">
        <v>46019.0</v>
      </c>
      <c r="D1282" s="49">
        <v>0.6166666666666667</v>
      </c>
      <c r="E1282" s="21" t="s">
        <v>7590</v>
      </c>
      <c r="F1282" s="21" t="s">
        <v>2502</v>
      </c>
      <c r="G1282" s="21" t="s">
        <v>2503</v>
      </c>
      <c r="H1282" s="21" t="s">
        <v>3093</v>
      </c>
      <c r="I1282" s="21" t="s">
        <v>616</v>
      </c>
      <c r="J1282" s="21" t="s">
        <v>3806</v>
      </c>
      <c r="K1282" s="21" t="s">
        <v>43</v>
      </c>
      <c r="L1282" s="22" t="s">
        <v>2663</v>
      </c>
      <c r="M1282" s="21" t="s">
        <v>7701</v>
      </c>
      <c r="N1282" s="21" t="s">
        <v>9243</v>
      </c>
      <c r="O1282" s="48" t="s">
        <v>9240</v>
      </c>
      <c r="P1282" s="21" t="s">
        <v>75</v>
      </c>
      <c r="Q1282" s="24" t="s">
        <v>65</v>
      </c>
      <c r="R1282" s="21" t="s">
        <v>9241</v>
      </c>
      <c r="S1282" s="21" t="s">
        <v>51</v>
      </c>
      <c r="T1282" s="21" t="s">
        <v>52</v>
      </c>
      <c r="U1282" s="21" t="s">
        <v>52</v>
      </c>
      <c r="V1282" s="21" t="s">
        <v>52</v>
      </c>
      <c r="W1282" s="45">
        <v>46019.0</v>
      </c>
      <c r="X1282" s="49">
        <v>0.6381944444444444</v>
      </c>
      <c r="Y1282" s="45">
        <v>46019.0</v>
      </c>
      <c r="Z1282" s="49">
        <v>0.7083333333333334</v>
      </c>
      <c r="AA1282" s="49">
        <v>0.7118055555555556</v>
      </c>
      <c r="AB1282" s="29"/>
      <c r="AC1282" s="29"/>
      <c r="AD1282" s="25">
        <v>0.7291666666666666</v>
      </c>
      <c r="AE1282" s="45">
        <v>46019.0</v>
      </c>
      <c r="AF1282" s="21" t="s">
        <v>7901</v>
      </c>
      <c r="AG1282" s="21" t="s">
        <v>54</v>
      </c>
      <c r="AH1282" s="21" t="s">
        <v>9242</v>
      </c>
      <c r="AI1282" s="108" t="str">
        <f>IFERROR(__xludf.DUMMYFUNCTION("IF(OR(W1282="""",X1282="""",AE1282="""",AD1282=""""),"""",
   TEXT(
     (
       (AE1282+AD1282 + IF(AE1282+AD1282 &lt; W1282+X1282,1,0)) - (W1282+X1282)
     )
     - IF(AND(AB1282&lt;&gt;"""",AC1282&lt;&gt;""""), 
          SUM(ARRAYFORMULA(SPLIT(AC1282,"","") - SPLI"&amp;"T(AB1282,"",""))), 
          0
       ),
     ""[hh]:mm""
   )
)
"),"02:11")</f>
        <v>02:11</v>
      </c>
      <c r="AJ1282" s="109">
        <f t="shared" si="16"/>
        <v>0</v>
      </c>
      <c r="AK1282" s="110" t="str">
        <f t="shared" si="17"/>
        <v>Pass</v>
      </c>
    </row>
    <row r="1283">
      <c r="A1283" s="45">
        <v>46019.0</v>
      </c>
      <c r="B1283" s="49">
        <v>0.5993055555555555</v>
      </c>
      <c r="C1283" s="45">
        <v>46019.0</v>
      </c>
      <c r="D1283" s="49">
        <v>0.6166666666666667</v>
      </c>
      <c r="E1283" s="21" t="s">
        <v>9244</v>
      </c>
      <c r="F1283" s="21" t="s">
        <v>812</v>
      </c>
      <c r="G1283" s="21" t="s">
        <v>813</v>
      </c>
      <c r="H1283" s="21" t="s">
        <v>3093</v>
      </c>
      <c r="I1283" s="21" t="s">
        <v>131</v>
      </c>
      <c r="J1283" s="21" t="s">
        <v>3806</v>
      </c>
      <c r="K1283" s="21" t="s">
        <v>43</v>
      </c>
      <c r="L1283" s="22" t="s">
        <v>2663</v>
      </c>
      <c r="M1283" s="21" t="s">
        <v>7884</v>
      </c>
      <c r="N1283" s="21" t="s">
        <v>9239</v>
      </c>
      <c r="O1283" s="48" t="s">
        <v>9245</v>
      </c>
      <c r="P1283" s="21" t="s">
        <v>75</v>
      </c>
      <c r="Q1283" s="24" t="s">
        <v>65</v>
      </c>
      <c r="R1283" s="21" t="s">
        <v>9246</v>
      </c>
      <c r="S1283" s="21" t="s">
        <v>51</v>
      </c>
      <c r="T1283" s="21" t="s">
        <v>52</v>
      </c>
      <c r="U1283" s="21" t="s">
        <v>52</v>
      </c>
      <c r="V1283" s="21" t="s">
        <v>52</v>
      </c>
      <c r="W1283" s="45">
        <v>46019.0</v>
      </c>
      <c r="X1283" s="49">
        <v>0.6388888888888888</v>
      </c>
      <c r="Y1283" s="45">
        <v>46019.0</v>
      </c>
      <c r="Z1283" s="49">
        <v>0.7083333333333334</v>
      </c>
      <c r="AA1283" s="49">
        <v>0.7291666666666666</v>
      </c>
      <c r="AB1283" s="25">
        <v>0.7097222222222223</v>
      </c>
      <c r="AC1283" s="25">
        <v>0.7291666666666666</v>
      </c>
      <c r="AD1283" s="25">
        <v>0.7361111111111112</v>
      </c>
      <c r="AE1283" s="45">
        <v>46019.0</v>
      </c>
      <c r="AF1283" s="21" t="s">
        <v>7901</v>
      </c>
      <c r="AG1283" s="21" t="s">
        <v>5541</v>
      </c>
      <c r="AH1283" s="21" t="s">
        <v>9247</v>
      </c>
      <c r="AI1283" s="108" t="str">
        <f>IFERROR(__xludf.DUMMYFUNCTION("IF(OR(W1283="""",X1283="""",AE1283="""",AD1283=""""),"""",
   TEXT(
     (
       (AE1283+AD1283 + IF(AE1283+AD1283 &lt; W1283+X1283,1,0)) - (W1283+X1283)
     )
     - IF(AND(AB1283&lt;&gt;"""",AC1283&lt;&gt;""""), 
          SUM(ARRAYFORMULA(SPLIT(AC1283,"","") - SPLI"&amp;"T(AB1283,"",""))), 
          0
       ),
     ""[hh]:mm""
   )
)
"),"01:52")</f>
        <v>01:52</v>
      </c>
      <c r="AJ1283" s="109">
        <f t="shared" si="16"/>
        <v>0</v>
      </c>
      <c r="AK1283" s="110" t="str">
        <f t="shared" si="17"/>
        <v>Pass</v>
      </c>
    </row>
    <row r="1284">
      <c r="A1284" s="45">
        <v>46019.0</v>
      </c>
      <c r="B1284" s="49">
        <v>0.5993055555555555</v>
      </c>
      <c r="C1284" s="45">
        <v>46019.0</v>
      </c>
      <c r="D1284" s="49">
        <v>0.6166666666666667</v>
      </c>
      <c r="E1284" s="21" t="s">
        <v>9248</v>
      </c>
      <c r="F1284" s="21" t="s">
        <v>4300</v>
      </c>
      <c r="G1284" s="21" t="s">
        <v>4301</v>
      </c>
      <c r="H1284" s="21" t="s">
        <v>3093</v>
      </c>
      <c r="I1284" s="21" t="s">
        <v>616</v>
      </c>
      <c r="J1284" s="21" t="s">
        <v>3806</v>
      </c>
      <c r="K1284" s="21" t="s">
        <v>43</v>
      </c>
      <c r="L1284" s="22" t="s">
        <v>2663</v>
      </c>
      <c r="M1284" s="21" t="s">
        <v>8178</v>
      </c>
      <c r="N1284" s="21" t="s">
        <v>9243</v>
      </c>
      <c r="O1284" s="48" t="s">
        <v>9249</v>
      </c>
      <c r="P1284" s="21" t="s">
        <v>75</v>
      </c>
      <c r="Q1284" s="24" t="s">
        <v>65</v>
      </c>
      <c r="R1284" s="21" t="s">
        <v>9250</v>
      </c>
      <c r="S1284" s="21" t="s">
        <v>51</v>
      </c>
      <c r="T1284" s="21" t="s">
        <v>52</v>
      </c>
      <c r="U1284" s="21" t="s">
        <v>52</v>
      </c>
      <c r="V1284" s="21" t="s">
        <v>52</v>
      </c>
      <c r="W1284" s="45">
        <v>46019.0</v>
      </c>
      <c r="X1284" s="49">
        <v>0.6395833333333333</v>
      </c>
      <c r="Y1284" s="45">
        <v>46019.0</v>
      </c>
      <c r="Z1284" s="49">
        <v>0.7527777777777778</v>
      </c>
      <c r="AA1284" s="49">
        <v>0.7548611111111111</v>
      </c>
      <c r="AB1284" s="29"/>
      <c r="AC1284" s="29"/>
      <c r="AD1284" s="25">
        <v>0.7638888888888888</v>
      </c>
      <c r="AE1284" s="45">
        <v>46019.0</v>
      </c>
      <c r="AF1284" s="21" t="s">
        <v>7901</v>
      </c>
      <c r="AG1284" s="21" t="s">
        <v>239</v>
      </c>
      <c r="AH1284" s="21" t="s">
        <v>9119</v>
      </c>
      <c r="AI1284" s="108" t="str">
        <f>IFERROR(__xludf.DUMMYFUNCTION("IF(OR(W1284="""",X1284="""",AE1284="""",AD1284=""""),"""",
   TEXT(
     (
       (AE1284+AD1284 + IF(AE1284+AD1284 &lt; W1284+X1284,1,0)) - (W1284+X1284)
     )
     - IF(AND(AB1284&lt;&gt;"""",AC1284&lt;&gt;""""), 
          SUM(ARRAYFORMULA(SPLIT(AC1284,"","") - SPLI"&amp;"T(AB1284,"",""))), 
          0
       ),
     ""[hh]:mm""
   )
)
"),"02:59")</f>
        <v>02:59</v>
      </c>
      <c r="AJ1284" s="109">
        <f t="shared" si="16"/>
        <v>0</v>
      </c>
      <c r="AK1284" s="110" t="str">
        <f t="shared" si="17"/>
        <v>Pass</v>
      </c>
    </row>
    <row r="1285">
      <c r="A1285" s="18">
        <v>46019.0</v>
      </c>
      <c r="B1285" s="49">
        <v>0.5993055555555555</v>
      </c>
      <c r="C1285" s="18">
        <v>46019.0</v>
      </c>
      <c r="D1285" s="49">
        <v>0.6166666666666667</v>
      </c>
      <c r="E1285" s="22" t="s">
        <v>9251</v>
      </c>
      <c r="F1285" s="22" t="s">
        <v>9252</v>
      </c>
      <c r="G1285" s="22" t="s">
        <v>9253</v>
      </c>
      <c r="H1285" s="22" t="s">
        <v>3093</v>
      </c>
      <c r="I1285" s="22" t="s">
        <v>131</v>
      </c>
      <c r="J1285" s="22" t="s">
        <v>3806</v>
      </c>
      <c r="K1285" s="22" t="s">
        <v>43</v>
      </c>
      <c r="L1285" s="22" t="s">
        <v>2663</v>
      </c>
      <c r="M1285" s="22" t="s">
        <v>9254</v>
      </c>
      <c r="N1285" s="22" t="s">
        <v>9239</v>
      </c>
      <c r="O1285" s="23" t="s">
        <v>9255</v>
      </c>
      <c r="P1285" s="22" t="s">
        <v>75</v>
      </c>
      <c r="Q1285" s="50" t="s">
        <v>65</v>
      </c>
      <c r="R1285" s="22" t="s">
        <v>9241</v>
      </c>
      <c r="S1285" s="22" t="s">
        <v>51</v>
      </c>
      <c r="T1285" s="22" t="s">
        <v>52</v>
      </c>
      <c r="U1285" s="22" t="s">
        <v>52</v>
      </c>
      <c r="V1285" s="22" t="s">
        <v>52</v>
      </c>
      <c r="W1285" s="18">
        <v>46019.0</v>
      </c>
      <c r="X1285" s="20">
        <v>0.9013888888888889</v>
      </c>
      <c r="Y1285" s="18">
        <v>46019.0</v>
      </c>
      <c r="Z1285" s="20">
        <v>0.9013888888888889</v>
      </c>
      <c r="AA1285" s="20">
        <v>0.9027777777777778</v>
      </c>
      <c r="AB1285" s="54"/>
      <c r="AC1285" s="54"/>
      <c r="AD1285" s="51">
        <v>0.9166666666666666</v>
      </c>
      <c r="AE1285" s="18">
        <v>46019.0</v>
      </c>
      <c r="AF1285" s="22" t="s">
        <v>7901</v>
      </c>
      <c r="AG1285" s="22" t="s">
        <v>9256</v>
      </c>
      <c r="AH1285" s="22" t="s">
        <v>9257</v>
      </c>
      <c r="AI1285" s="108" t="str">
        <f>IFERROR(__xludf.DUMMYFUNCTION("IF(OR(W1285="""",X1285="""",AE1285="""",AD1285=""""),"""",
   TEXT(
     (
       (AE1285+AD1285 + IF(AE1285+AD1285 &lt; W1285+X1285,1,0)) - (W1285+X1285)
     )
     - IF(AND(AB1285&lt;&gt;"""",AC1285&lt;&gt;""""), 
          SUM(ARRAYFORMULA(SPLIT(AC1285,"","") - SPLI"&amp;"T(AB1285,"",""))), 
          0
       ),
     ""[hh]:mm""
   )
)
"),"00:22")</f>
        <v>00:22</v>
      </c>
      <c r="AJ1285" s="109">
        <f t="shared" si="16"/>
        <v>0</v>
      </c>
      <c r="AK1285" s="110" t="str">
        <f t="shared" si="17"/>
        <v>Pass</v>
      </c>
    </row>
    <row r="1286">
      <c r="A1286" s="45">
        <v>46019.0</v>
      </c>
      <c r="B1286" s="49">
        <v>0.7493055555555556</v>
      </c>
      <c r="C1286" s="45">
        <v>46019.0</v>
      </c>
      <c r="D1286" s="49">
        <v>0.7541666666666667</v>
      </c>
      <c r="E1286" s="21" t="s">
        <v>9258</v>
      </c>
      <c r="F1286" s="21" t="s">
        <v>882</v>
      </c>
      <c r="G1286" s="21" t="s">
        <v>2225</v>
      </c>
      <c r="H1286" s="21" t="s">
        <v>566</v>
      </c>
      <c r="I1286" s="21" t="s">
        <v>95</v>
      </c>
      <c r="J1286" s="21" t="s">
        <v>95</v>
      </c>
      <c r="K1286" s="21" t="s">
        <v>143</v>
      </c>
      <c r="L1286" s="21" t="s">
        <v>606</v>
      </c>
      <c r="M1286" s="21" t="s">
        <v>9259</v>
      </c>
      <c r="N1286" s="21" t="s">
        <v>9260</v>
      </c>
      <c r="O1286" s="48" t="s">
        <v>9261</v>
      </c>
      <c r="P1286" s="21" t="s">
        <v>48</v>
      </c>
      <c r="Q1286" s="24" t="s">
        <v>49</v>
      </c>
      <c r="R1286" s="21" t="s">
        <v>9262</v>
      </c>
      <c r="S1286" s="21" t="s">
        <v>51</v>
      </c>
      <c r="T1286" s="21" t="s">
        <v>52</v>
      </c>
      <c r="U1286" s="21" t="s">
        <v>52</v>
      </c>
      <c r="V1286" s="21" t="s">
        <v>52</v>
      </c>
      <c r="W1286" s="45">
        <v>46019.0</v>
      </c>
      <c r="X1286" s="49">
        <v>0.7541666666666667</v>
      </c>
      <c r="Y1286" s="45">
        <v>46019.0</v>
      </c>
      <c r="Z1286" s="49">
        <v>0.8229166666666666</v>
      </c>
      <c r="AA1286" s="49">
        <v>0.8229166666666666</v>
      </c>
      <c r="AB1286" s="29"/>
      <c r="AC1286" s="29"/>
      <c r="AD1286" s="25">
        <v>0.8541666666666666</v>
      </c>
      <c r="AE1286" s="45">
        <v>46019.0</v>
      </c>
      <c r="AF1286" s="21" t="s">
        <v>9263</v>
      </c>
      <c r="AG1286" s="21" t="s">
        <v>8187</v>
      </c>
      <c r="AH1286" s="21" t="s">
        <v>9264</v>
      </c>
      <c r="AI1286" s="108" t="str">
        <f>IFERROR(__xludf.DUMMYFUNCTION("IF(OR(W1286="""",X1286="""",AE1286="""",AD1286=""""),"""",
   TEXT(
     (
       (AE1286+AD1286 + IF(AE1286+AD1286 &lt; W1286+X1286,1,0)) - (W1286+X1286)
     )
     - IF(AND(AB1286&lt;&gt;"""",AC1286&lt;&gt;""""), 
          SUM(ARRAYFORMULA(SPLIT(AC1286,"","") - SPLI"&amp;"T(AB1286,"",""))), 
          0
       ),
     ""[hh]:mm""
   )
)
"),"02:24")</f>
        <v>02:24</v>
      </c>
      <c r="AJ1286" s="109">
        <f t="shared" si="16"/>
        <v>0</v>
      </c>
      <c r="AK1286" s="110" t="str">
        <f t="shared" si="17"/>
        <v>Pass</v>
      </c>
    </row>
    <row r="1287">
      <c r="A1287" s="18">
        <v>46019.0</v>
      </c>
      <c r="B1287" s="20">
        <v>0.3576388888888889</v>
      </c>
      <c r="C1287" s="18">
        <v>46019.0</v>
      </c>
      <c r="D1287" s="20">
        <v>0.38333333333333336</v>
      </c>
      <c r="E1287" s="22" t="s">
        <v>9265</v>
      </c>
      <c r="F1287" s="22" t="s">
        <v>6394</v>
      </c>
      <c r="G1287" s="22" t="s">
        <v>6395</v>
      </c>
      <c r="H1287" s="22" t="s">
        <v>156</v>
      </c>
      <c r="I1287" s="22" t="s">
        <v>616</v>
      </c>
      <c r="J1287" s="22" t="s">
        <v>2253</v>
      </c>
      <c r="K1287" s="22" t="s">
        <v>43</v>
      </c>
      <c r="L1287" s="22" t="s">
        <v>805</v>
      </c>
      <c r="M1287" s="22" t="s">
        <v>9266</v>
      </c>
      <c r="N1287" s="22" t="s">
        <v>8604</v>
      </c>
      <c r="O1287" s="23" t="s">
        <v>9267</v>
      </c>
      <c r="P1287" s="22" t="s">
        <v>75</v>
      </c>
      <c r="Q1287" s="50" t="s">
        <v>65</v>
      </c>
      <c r="R1287" s="102" t="s">
        <v>8751</v>
      </c>
      <c r="S1287" s="22" t="s">
        <v>51</v>
      </c>
      <c r="T1287" s="22" t="s">
        <v>6676</v>
      </c>
      <c r="U1287" s="22" t="s">
        <v>7926</v>
      </c>
      <c r="V1287" s="22" t="s">
        <v>9266</v>
      </c>
      <c r="W1287" s="18">
        <v>46020.0</v>
      </c>
      <c r="X1287" s="20">
        <v>0.2673611111111111</v>
      </c>
      <c r="Y1287" s="18">
        <v>46020.0</v>
      </c>
      <c r="Z1287" s="20">
        <v>0.2673611111111111</v>
      </c>
      <c r="AA1287" s="20">
        <v>0.2986111111111111</v>
      </c>
      <c r="AB1287" s="54"/>
      <c r="AC1287" s="54"/>
      <c r="AD1287" s="51">
        <v>0.3472222222222222</v>
      </c>
      <c r="AE1287" s="18">
        <v>46020.0</v>
      </c>
      <c r="AF1287" s="22" t="s">
        <v>6995</v>
      </c>
      <c r="AG1287" s="22" t="s">
        <v>583</v>
      </c>
      <c r="AH1287" s="22" t="s">
        <v>9268</v>
      </c>
      <c r="AI1287" s="108" t="str">
        <f>IFERROR(__xludf.DUMMYFUNCTION("IF(OR(W1287="""",X1287="""",AE1287="""",AD1287=""""),"""",
   TEXT(
     (
       (AE1287+AD1287 + IF(AE1287+AD1287 &lt; W1287+X1287,1,0)) - (W1287+X1287)
     )
     - IF(AND(AB1287&lt;&gt;"""",AC1287&lt;&gt;""""), 
          SUM(ARRAYFORMULA(SPLIT(AC1287,"","") - SPLI"&amp;"T(AB1287,"",""))), 
          0
       ),
     ""[hh]:mm""
   )
)
"),"01:55")</f>
        <v>01:55</v>
      </c>
      <c r="AJ1287" s="109">
        <f t="shared" si="16"/>
        <v>0</v>
      </c>
      <c r="AK1287" s="110" t="str">
        <f t="shared" si="17"/>
        <v>Pass</v>
      </c>
    </row>
    <row r="1288">
      <c r="A1288" s="18">
        <v>46019.0</v>
      </c>
      <c r="B1288" s="20">
        <v>0.6819444444444445</v>
      </c>
      <c r="C1288" s="18">
        <v>46019.0</v>
      </c>
      <c r="D1288" s="20">
        <v>0.6868055555555556</v>
      </c>
      <c r="E1288" s="22" t="s">
        <v>9269</v>
      </c>
      <c r="F1288" s="22" t="s">
        <v>989</v>
      </c>
      <c r="G1288" s="22" t="s">
        <v>990</v>
      </c>
      <c r="H1288" s="22" t="s">
        <v>1610</v>
      </c>
      <c r="I1288" s="22" t="s">
        <v>1612</v>
      </c>
      <c r="J1288" s="22" t="s">
        <v>1612</v>
      </c>
      <c r="K1288" s="22" t="s">
        <v>143</v>
      </c>
      <c r="L1288" s="22" t="s">
        <v>1613</v>
      </c>
      <c r="M1288" s="22" t="s">
        <v>9270</v>
      </c>
      <c r="N1288" s="22" t="s">
        <v>8693</v>
      </c>
      <c r="O1288" s="23" t="s">
        <v>9271</v>
      </c>
      <c r="P1288" s="22" t="s">
        <v>75</v>
      </c>
      <c r="Q1288" s="50" t="s">
        <v>65</v>
      </c>
      <c r="R1288" s="22" t="s">
        <v>9272</v>
      </c>
      <c r="S1288" s="22" t="s">
        <v>51</v>
      </c>
      <c r="T1288" s="22" t="s">
        <v>52</v>
      </c>
      <c r="U1288" s="22" t="s">
        <v>52</v>
      </c>
      <c r="V1288" s="22" t="s">
        <v>52</v>
      </c>
      <c r="W1288" s="18">
        <v>46020.0</v>
      </c>
      <c r="X1288" s="20">
        <v>0.375</v>
      </c>
      <c r="Y1288" s="18">
        <v>46020.0</v>
      </c>
      <c r="Z1288" s="20">
        <v>0.6625</v>
      </c>
      <c r="AA1288" s="20">
        <v>0.6666666666666666</v>
      </c>
      <c r="AB1288" s="51">
        <v>0.6701388888888888</v>
      </c>
      <c r="AC1288" s="51">
        <v>0.6979166666666666</v>
      </c>
      <c r="AD1288" s="51">
        <v>0.7430555555555556</v>
      </c>
      <c r="AE1288" s="18">
        <v>46020.0</v>
      </c>
      <c r="AF1288" s="22" t="s">
        <v>2711</v>
      </c>
      <c r="AG1288" s="22" t="s">
        <v>6108</v>
      </c>
      <c r="AH1288" s="22" t="s">
        <v>6707</v>
      </c>
      <c r="AI1288" s="108" t="str">
        <f>IFERROR(__xludf.DUMMYFUNCTION("IF(OR(W1288="""",X1288="""",AE1288="""",AD1288=""""),"""",
   TEXT(
     (
       (AE1288+AD1288 + IF(AE1288+AD1288 &lt; W1288+X1288,1,0)) - (W1288+X1288)
     )
     - IF(AND(AB1288&lt;&gt;"""",AC1288&lt;&gt;""""), 
          SUM(ARRAYFORMULA(SPLIT(AC1288,"","") - SPLI"&amp;"T(AB1288,"",""))), 
          0
       ),
     ""[hh]:mm""
   )
)
"),"08:10")</f>
        <v>08:10</v>
      </c>
      <c r="AJ1288" s="109">
        <f t="shared" si="16"/>
        <v>0</v>
      </c>
      <c r="AK1288" s="110" t="str">
        <f t="shared" si="17"/>
        <v>Pass</v>
      </c>
    </row>
    <row r="1289">
      <c r="A1289" s="18">
        <v>46020.0</v>
      </c>
      <c r="B1289" s="20">
        <v>0.3993055555555556</v>
      </c>
      <c r="C1289" s="18">
        <v>46020.0</v>
      </c>
      <c r="D1289" s="20">
        <v>0.4111111111111111</v>
      </c>
      <c r="E1289" s="22" t="s">
        <v>9273</v>
      </c>
      <c r="F1289" s="22" t="s">
        <v>650</v>
      </c>
      <c r="G1289" s="22" t="s">
        <v>651</v>
      </c>
      <c r="H1289" s="22" t="s">
        <v>566</v>
      </c>
      <c r="I1289" s="22" t="s">
        <v>95</v>
      </c>
      <c r="J1289" s="22" t="s">
        <v>95</v>
      </c>
      <c r="K1289" s="22" t="s">
        <v>143</v>
      </c>
      <c r="L1289" s="22" t="s">
        <v>52</v>
      </c>
      <c r="M1289" s="22" t="s">
        <v>9274</v>
      </c>
      <c r="N1289" s="22" t="s">
        <v>9275</v>
      </c>
      <c r="O1289" s="23" t="s">
        <v>9276</v>
      </c>
      <c r="P1289" s="22" t="s">
        <v>48</v>
      </c>
      <c r="Q1289" s="50" t="s">
        <v>49</v>
      </c>
      <c r="R1289" s="22" t="s">
        <v>9277</v>
      </c>
      <c r="S1289" s="22" t="s">
        <v>51</v>
      </c>
      <c r="T1289" s="22" t="s">
        <v>52</v>
      </c>
      <c r="U1289" s="22" t="s">
        <v>52</v>
      </c>
      <c r="V1289" s="22" t="s">
        <v>52</v>
      </c>
      <c r="W1289" s="18">
        <v>46020.0</v>
      </c>
      <c r="X1289" s="20">
        <v>0.4111111111111111</v>
      </c>
      <c r="Y1289" s="18">
        <v>46020.0</v>
      </c>
      <c r="Z1289" s="20">
        <v>0.5243055555555556</v>
      </c>
      <c r="AA1289" s="20">
        <v>0.5555555555555556</v>
      </c>
      <c r="AB1289" s="51">
        <v>0.5243055555555556</v>
      </c>
      <c r="AC1289" s="51">
        <v>0.5555555555555556</v>
      </c>
      <c r="AD1289" s="51">
        <v>0.5972222222222222</v>
      </c>
      <c r="AE1289" s="18">
        <v>46020.0</v>
      </c>
      <c r="AF1289" s="22" t="s">
        <v>2931</v>
      </c>
      <c r="AG1289" s="22" t="s">
        <v>54</v>
      </c>
      <c r="AH1289" s="22" t="s">
        <v>9278</v>
      </c>
      <c r="AI1289" s="108" t="str">
        <f>IFERROR(__xludf.DUMMYFUNCTION("IF(OR(W1289="""",X1289="""",AE1289="""",AD1289=""""),"""",
   TEXT(
     (
       (AE1289+AD1289 + IF(AE1289+AD1289 &lt; W1289+X1289,1,0)) - (W1289+X1289)
     )
     - IF(AND(AB1289&lt;&gt;"""",AC1289&lt;&gt;""""), 
          SUM(ARRAYFORMULA(SPLIT(AC1289,"","") - SPLI"&amp;"T(AB1289,"",""))), 
          0
       ),
     ""[hh]:mm""
   )
)
"),"03:43")</f>
        <v>03:43</v>
      </c>
      <c r="AJ1289" s="109">
        <f t="shared" si="16"/>
        <v>0</v>
      </c>
      <c r="AK1289" s="110" t="str">
        <f t="shared" si="17"/>
        <v>Pass</v>
      </c>
    </row>
    <row r="1290">
      <c r="A1290" s="18">
        <v>46020.0</v>
      </c>
      <c r="B1290" s="20">
        <v>0.40069444444444446</v>
      </c>
      <c r="C1290" s="18">
        <v>46020.0</v>
      </c>
      <c r="D1290" s="20">
        <v>0.4041666666666667</v>
      </c>
      <c r="E1290" s="22" t="s">
        <v>9279</v>
      </c>
      <c r="F1290" s="22" t="s">
        <v>1362</v>
      </c>
      <c r="G1290" s="22" t="s">
        <v>1363</v>
      </c>
      <c r="H1290" s="22" t="s">
        <v>566</v>
      </c>
      <c r="I1290" s="22" t="s">
        <v>815</v>
      </c>
      <c r="J1290" s="22" t="s">
        <v>1084</v>
      </c>
      <c r="K1290" s="22" t="s">
        <v>9280</v>
      </c>
      <c r="L1290" s="22" t="s">
        <v>3759</v>
      </c>
      <c r="M1290" s="22" t="s">
        <v>9281</v>
      </c>
      <c r="N1290" s="22" t="s">
        <v>7025</v>
      </c>
      <c r="O1290" s="23" t="s">
        <v>9282</v>
      </c>
      <c r="P1290" s="22" t="s">
        <v>48</v>
      </c>
      <c r="Q1290" s="50" t="s">
        <v>198</v>
      </c>
      <c r="R1290" s="22" t="s">
        <v>9283</v>
      </c>
      <c r="S1290" s="22" t="s">
        <v>51</v>
      </c>
      <c r="T1290" s="22" t="s">
        <v>52</v>
      </c>
      <c r="U1290" s="22" t="s">
        <v>52</v>
      </c>
      <c r="V1290" s="22" t="s">
        <v>52</v>
      </c>
      <c r="W1290" s="18">
        <v>46020.0</v>
      </c>
      <c r="X1290" s="20">
        <v>0.5416666666666666</v>
      </c>
      <c r="Y1290" s="18">
        <v>46020.0</v>
      </c>
      <c r="Z1290" s="20">
        <v>0.5569444444444445</v>
      </c>
      <c r="AA1290" s="20">
        <v>0.5625</v>
      </c>
      <c r="AB1290" s="54"/>
      <c r="AC1290" s="54"/>
      <c r="AD1290" s="77">
        <v>0.6041666666666666</v>
      </c>
      <c r="AE1290" s="18">
        <v>46020.0</v>
      </c>
      <c r="AF1290" s="22" t="s">
        <v>4360</v>
      </c>
      <c r="AG1290" s="22" t="s">
        <v>5541</v>
      </c>
      <c r="AH1290" s="22" t="s">
        <v>9284</v>
      </c>
      <c r="AI1290" s="108" t="str">
        <f>IFERROR(__xludf.DUMMYFUNCTION("IF(OR(W1290="""",X1290="""",AE1290="""",AD1290=""""),"""",
   TEXT(
     (
       (AE1290+AD1290 + IF(AE1290+AD1290 &lt; W1290+X1290,1,0)) - (W1290+X1290)
     )
     - IF(AND(AB1290&lt;&gt;"""",AC1290&lt;&gt;""""), 
          SUM(ARRAYFORMULA(SPLIT(AC1290,"","") - SPLI"&amp;"T(AB1290,"",""))), 
          0
       ),
     ""[hh]:mm""
   )
)
"),"01:30")</f>
        <v>01:30</v>
      </c>
      <c r="AJ1290" s="109">
        <f t="shared" si="16"/>
        <v>0</v>
      </c>
      <c r="AK1290" s="110" t="str">
        <f t="shared" si="17"/>
        <v>Pass</v>
      </c>
    </row>
    <row r="1291">
      <c r="A1291" s="18">
        <v>46020.0</v>
      </c>
      <c r="B1291" s="20">
        <v>0.5243055555555556</v>
      </c>
      <c r="C1291" s="18">
        <v>46020.0</v>
      </c>
      <c r="D1291" s="20">
        <v>0.5243055555555556</v>
      </c>
      <c r="E1291" s="22" t="s">
        <v>9285</v>
      </c>
      <c r="F1291" s="22" t="s">
        <v>650</v>
      </c>
      <c r="G1291" s="22" t="s">
        <v>651</v>
      </c>
      <c r="H1291" s="22" t="s">
        <v>156</v>
      </c>
      <c r="I1291" s="22" t="s">
        <v>616</v>
      </c>
      <c r="J1291" s="22" t="s">
        <v>2253</v>
      </c>
      <c r="K1291" s="22" t="s">
        <v>43</v>
      </c>
      <c r="L1291" s="22" t="s">
        <v>2663</v>
      </c>
      <c r="M1291" s="22" t="s">
        <v>658</v>
      </c>
      <c r="N1291" s="22" t="s">
        <v>9286</v>
      </c>
      <c r="O1291" s="23" t="s">
        <v>9287</v>
      </c>
      <c r="P1291" s="22" t="s">
        <v>75</v>
      </c>
      <c r="Q1291" s="50" t="s">
        <v>65</v>
      </c>
      <c r="R1291" s="102" t="s">
        <v>8751</v>
      </c>
      <c r="S1291" s="22" t="s">
        <v>51</v>
      </c>
      <c r="T1291" s="22" t="s">
        <v>6676</v>
      </c>
      <c r="U1291" s="22" t="s">
        <v>7611</v>
      </c>
      <c r="V1291" s="22" t="s">
        <v>658</v>
      </c>
      <c r="W1291" s="18">
        <v>46020.0</v>
      </c>
      <c r="X1291" s="20">
        <v>0.5243055555555556</v>
      </c>
      <c r="Y1291" s="18">
        <v>46020.0</v>
      </c>
      <c r="Z1291" s="20">
        <v>0.5243055555555556</v>
      </c>
      <c r="AA1291" s="20">
        <v>0.5972222222222222</v>
      </c>
      <c r="AB1291" s="51">
        <v>0.5243055555555556</v>
      </c>
      <c r="AC1291" s="51">
        <v>0.5972222222222222</v>
      </c>
      <c r="AD1291" s="51">
        <v>0.6180555555555556</v>
      </c>
      <c r="AE1291" s="18">
        <v>46020.0</v>
      </c>
      <c r="AF1291" s="22" t="s">
        <v>33</v>
      </c>
      <c r="AG1291" s="22" t="s">
        <v>54</v>
      </c>
      <c r="AH1291" s="22" t="s">
        <v>9278</v>
      </c>
      <c r="AI1291" s="108" t="str">
        <f>IFERROR(__xludf.DUMMYFUNCTION("IF(OR(W1291="""",X1291="""",AE1291="""",AD1291=""""),"""",
   TEXT(
     (
       (AE1291+AD1291 + IF(AE1291+AD1291 &lt; W1291+X1291,1,0)) - (W1291+X1291)
     )
     - IF(AND(AB1291&lt;&gt;"""",AC1291&lt;&gt;""""), 
          SUM(ARRAYFORMULA(SPLIT(AC1291,"","") - SPLI"&amp;"T(AB1291,"",""))), 
          0
       ),
     ""[hh]:mm""
   )
)
"),"00:30")</f>
        <v>00:30</v>
      </c>
      <c r="AJ1291" s="109">
        <f t="shared" si="16"/>
        <v>0</v>
      </c>
      <c r="AK1291" s="110" t="str">
        <f t="shared" si="17"/>
        <v>Pass</v>
      </c>
    </row>
    <row r="1292">
      <c r="A1292" s="18">
        <v>46020.0</v>
      </c>
      <c r="B1292" s="20">
        <v>0.6041666666666666</v>
      </c>
      <c r="C1292" s="18">
        <v>46020.0</v>
      </c>
      <c r="D1292" s="20">
        <v>0.6145833333333334</v>
      </c>
      <c r="E1292" s="22" t="s">
        <v>9288</v>
      </c>
      <c r="F1292" s="22" t="s">
        <v>2369</v>
      </c>
      <c r="G1292" s="22" t="s">
        <v>6599</v>
      </c>
      <c r="H1292" s="22" t="s">
        <v>59</v>
      </c>
      <c r="I1292" s="22" t="s">
        <v>118</v>
      </c>
      <c r="J1292" s="22" t="s">
        <v>4198</v>
      </c>
      <c r="K1292" s="22" t="s">
        <v>72</v>
      </c>
      <c r="L1292" s="22" t="s">
        <v>1815</v>
      </c>
      <c r="M1292" s="22" t="s">
        <v>9289</v>
      </c>
      <c r="N1292" s="22" t="s">
        <v>9290</v>
      </c>
      <c r="O1292" s="23" t="s">
        <v>9291</v>
      </c>
      <c r="P1292" s="22" t="s">
        <v>75</v>
      </c>
      <c r="Q1292" s="50" t="s">
        <v>65</v>
      </c>
      <c r="R1292" s="22" t="s">
        <v>9292</v>
      </c>
      <c r="S1292" s="22" t="s">
        <v>51</v>
      </c>
      <c r="T1292" s="22" t="s">
        <v>4198</v>
      </c>
      <c r="U1292" s="22" t="s">
        <v>9293</v>
      </c>
      <c r="V1292" s="22" t="s">
        <v>9289</v>
      </c>
      <c r="W1292" s="18">
        <v>46020.0</v>
      </c>
      <c r="X1292" s="20">
        <v>0.6145833333333334</v>
      </c>
      <c r="Y1292" s="18">
        <v>46020.0</v>
      </c>
      <c r="Z1292" s="20">
        <v>0.6493055555555556</v>
      </c>
      <c r="AA1292" s="20">
        <v>0.6493055555555556</v>
      </c>
      <c r="AB1292" s="51">
        <v>0.6597222222222222</v>
      </c>
      <c r="AC1292" s="77">
        <v>0.7152777777777778</v>
      </c>
      <c r="AD1292" s="51">
        <v>0.7465277777777778</v>
      </c>
      <c r="AE1292" s="18">
        <v>46020.0</v>
      </c>
      <c r="AF1292" s="22" t="s">
        <v>2744</v>
      </c>
      <c r="AG1292" s="22" t="s">
        <v>5541</v>
      </c>
      <c r="AH1292" s="22" t="s">
        <v>9294</v>
      </c>
      <c r="AI1292" s="108" t="str">
        <f>IFERROR(__xludf.DUMMYFUNCTION("IF(OR(W1292="""",X1292="""",AE1292="""",AD1292=""""),"""",
   TEXT(
     (
       (AE1292+AD1292 + IF(AE1292+AD1292 &lt; W1292+X1292,1,0)) - (W1292+X1292)
     )
     - IF(AND(AB1292&lt;&gt;"""",AC1292&lt;&gt;""""), 
          SUM(ARRAYFORMULA(SPLIT(AC1292,"","") - SPLI"&amp;"T(AB1292,"",""))), 
          0
       ),
     ""[hh]:mm""
   )
)
"),"01:50")</f>
        <v>01:50</v>
      </c>
      <c r="AJ1292" s="109">
        <f t="shared" si="16"/>
        <v>0</v>
      </c>
      <c r="AK1292" s="110" t="str">
        <f t="shared" si="17"/>
        <v>Pass</v>
      </c>
    </row>
    <row r="1293">
      <c r="A1293" s="18">
        <v>46020.0</v>
      </c>
      <c r="B1293" s="20">
        <v>0.6326388888888889</v>
      </c>
      <c r="C1293" s="18">
        <v>46020.0</v>
      </c>
      <c r="D1293" s="20">
        <v>0.65625</v>
      </c>
      <c r="E1293" s="22" t="s">
        <v>9295</v>
      </c>
      <c r="F1293" s="22" t="s">
        <v>8203</v>
      </c>
      <c r="G1293" s="22" t="s">
        <v>8204</v>
      </c>
      <c r="H1293" s="22" t="s">
        <v>1881</v>
      </c>
      <c r="I1293" s="22" t="s">
        <v>95</v>
      </c>
      <c r="J1293" s="22" t="s">
        <v>95</v>
      </c>
      <c r="K1293" s="22" t="s">
        <v>143</v>
      </c>
      <c r="L1293" s="22" t="s">
        <v>606</v>
      </c>
      <c r="M1293" s="22" t="s">
        <v>8854</v>
      </c>
      <c r="N1293" s="22" t="s">
        <v>9296</v>
      </c>
      <c r="O1293" s="23" t="s">
        <v>9297</v>
      </c>
      <c r="P1293" s="22" t="s">
        <v>187</v>
      </c>
      <c r="Q1293" s="50" t="s">
        <v>65</v>
      </c>
      <c r="R1293" s="22" t="s">
        <v>9298</v>
      </c>
      <c r="S1293" s="22" t="s">
        <v>51</v>
      </c>
      <c r="T1293" s="22" t="s">
        <v>52</v>
      </c>
      <c r="U1293" s="22" t="s">
        <v>52</v>
      </c>
      <c r="V1293" s="22" t="s">
        <v>52</v>
      </c>
      <c r="W1293" s="18">
        <v>46020.0</v>
      </c>
      <c r="X1293" s="20">
        <v>0.65625</v>
      </c>
      <c r="Y1293" s="18">
        <v>46020.0</v>
      </c>
      <c r="Z1293" s="20">
        <v>0.65625</v>
      </c>
      <c r="AA1293" s="20">
        <v>0.65625</v>
      </c>
      <c r="AB1293" s="54"/>
      <c r="AC1293" s="54"/>
      <c r="AD1293" s="51">
        <v>0.6763888888888889</v>
      </c>
      <c r="AE1293" s="18">
        <v>46020.0</v>
      </c>
      <c r="AF1293" s="22" t="s">
        <v>2839</v>
      </c>
      <c r="AG1293" s="22" t="s">
        <v>5610</v>
      </c>
      <c r="AH1293" s="22" t="s">
        <v>52</v>
      </c>
      <c r="AI1293" s="108" t="str">
        <f>IFERROR(__xludf.DUMMYFUNCTION("IF(OR(W1293="""",X1293="""",AE1293="""",AD1293=""""),"""",
   TEXT(
     (
       (AE1293+AD1293 + IF(AE1293+AD1293 &lt; W1293+X1293,1,0)) - (W1293+X1293)
     )
     - IF(AND(AB1293&lt;&gt;"""",AC1293&lt;&gt;""""), 
          SUM(ARRAYFORMULA(SPLIT(AC1293,"","") - SPLI"&amp;"T(AB1293,"",""))), 
          0
       ),
     ""[hh]:mm""
   )
)
"),"00:29")</f>
        <v>00:29</v>
      </c>
      <c r="AJ1293" s="109">
        <f t="shared" si="16"/>
        <v>0</v>
      </c>
      <c r="AK1293" s="110" t="str">
        <f t="shared" si="17"/>
        <v>Pass</v>
      </c>
    </row>
    <row r="1294">
      <c r="A1294" s="45">
        <v>46020.0</v>
      </c>
      <c r="B1294" s="49">
        <v>0.6895833333333333</v>
      </c>
      <c r="C1294" s="45">
        <v>46020.0</v>
      </c>
      <c r="D1294" s="49">
        <v>0.6930555555555555</v>
      </c>
      <c r="E1294" s="21" t="s">
        <v>9299</v>
      </c>
      <c r="F1294" s="21" t="s">
        <v>8203</v>
      </c>
      <c r="G1294" s="21" t="s">
        <v>8204</v>
      </c>
      <c r="H1294" s="21" t="s">
        <v>566</v>
      </c>
      <c r="I1294" s="21" t="s">
        <v>95</v>
      </c>
      <c r="J1294" s="21" t="s">
        <v>95</v>
      </c>
      <c r="K1294" s="21" t="s">
        <v>143</v>
      </c>
      <c r="L1294" s="21" t="s">
        <v>606</v>
      </c>
      <c r="M1294" s="21" t="s">
        <v>8854</v>
      </c>
      <c r="N1294" s="21" t="s">
        <v>9300</v>
      </c>
      <c r="O1294" s="48" t="s">
        <v>9301</v>
      </c>
      <c r="P1294" s="21" t="s">
        <v>48</v>
      </c>
      <c r="Q1294" s="24" t="s">
        <v>65</v>
      </c>
      <c r="R1294" s="21" t="s">
        <v>9302</v>
      </c>
      <c r="S1294" s="21" t="s">
        <v>51</v>
      </c>
      <c r="T1294" s="21" t="s">
        <v>52</v>
      </c>
      <c r="U1294" s="21" t="s">
        <v>52</v>
      </c>
      <c r="V1294" s="21" t="s">
        <v>52</v>
      </c>
      <c r="W1294" s="45">
        <v>46021.0</v>
      </c>
      <c r="X1294" s="49">
        <v>0.375</v>
      </c>
      <c r="Y1294" s="45">
        <v>46021.0</v>
      </c>
      <c r="Z1294" s="49">
        <v>0.5638888888888889</v>
      </c>
      <c r="AA1294" s="49">
        <v>0.5631944444444444</v>
      </c>
      <c r="AB1294" s="29"/>
      <c r="AC1294" s="29"/>
      <c r="AD1294" s="25">
        <v>0.5916666666666667</v>
      </c>
      <c r="AE1294" s="45">
        <v>46021.0</v>
      </c>
      <c r="AF1294" s="21" t="s">
        <v>2839</v>
      </c>
      <c r="AG1294" s="21" t="s">
        <v>6893</v>
      </c>
      <c r="AH1294" s="21" t="s">
        <v>9303</v>
      </c>
      <c r="AI1294" s="108" t="str">
        <f>IFERROR(__xludf.DUMMYFUNCTION("IF(OR(W1294="""",X1294="""",AE1294="""",AD1294=""""),"""",
   TEXT(
     (
       (AE1294+AD1294 + IF(AE1294+AD1294 &lt; W1294+X1294,1,0)) - (W1294+X1294)
     )
     - IF(AND(AB1294&lt;&gt;"""",AC1294&lt;&gt;""""), 
          SUM(ARRAYFORMULA(SPLIT(AC1294,"","") - SPLI"&amp;"T(AB1294,"",""))), 
          0
       ),
     ""[hh]:mm""
   )
)
"),"05:12")</f>
        <v>05:12</v>
      </c>
      <c r="AJ1294" s="109">
        <f t="shared" si="16"/>
        <v>0</v>
      </c>
      <c r="AK1294" s="110" t="str">
        <f t="shared" si="17"/>
        <v>Pass</v>
      </c>
    </row>
    <row r="1295">
      <c r="A1295" s="45">
        <v>45975.0</v>
      </c>
      <c r="B1295" s="49">
        <v>0.8548611111111111</v>
      </c>
      <c r="C1295" s="45">
        <v>45975.0</v>
      </c>
      <c r="D1295" s="49">
        <v>0.8597222222222223</v>
      </c>
      <c r="E1295" s="21" t="s">
        <v>9304</v>
      </c>
      <c r="F1295" s="21" t="s">
        <v>9305</v>
      </c>
      <c r="G1295" s="21" t="s">
        <v>9306</v>
      </c>
      <c r="H1295" s="21" t="s">
        <v>156</v>
      </c>
      <c r="I1295" s="21" t="s">
        <v>6422</v>
      </c>
      <c r="J1295" s="21" t="s">
        <v>482</v>
      </c>
      <c r="K1295" s="21" t="s">
        <v>411</v>
      </c>
      <c r="L1295" s="21" t="s">
        <v>9307</v>
      </c>
      <c r="M1295" s="21" t="s">
        <v>9308</v>
      </c>
      <c r="N1295" s="21" t="s">
        <v>9309</v>
      </c>
      <c r="O1295" s="48" t="s">
        <v>9310</v>
      </c>
      <c r="P1295" s="21" t="s">
        <v>75</v>
      </c>
      <c r="Q1295" s="24" t="s">
        <v>65</v>
      </c>
      <c r="R1295" s="21" t="s">
        <v>9311</v>
      </c>
      <c r="S1295" s="21" t="s">
        <v>51</v>
      </c>
      <c r="T1295" s="21" t="s">
        <v>9312</v>
      </c>
      <c r="U1295" s="21" t="s">
        <v>9313</v>
      </c>
      <c r="V1295" s="21" t="s">
        <v>9314</v>
      </c>
      <c r="W1295" s="45">
        <v>46021.0</v>
      </c>
      <c r="X1295" s="49">
        <v>0.4618055555555556</v>
      </c>
      <c r="Y1295" s="45">
        <v>46021.0</v>
      </c>
      <c r="Z1295" s="49">
        <v>0.6923611111111111</v>
      </c>
      <c r="AA1295" s="49">
        <v>0.6979166666666666</v>
      </c>
      <c r="AB1295" s="25">
        <v>0.8125</v>
      </c>
      <c r="AC1295" s="25">
        <v>0.8645833333333334</v>
      </c>
      <c r="AD1295" s="25">
        <v>0.8958333333333334</v>
      </c>
      <c r="AE1295" s="45">
        <v>46021.0</v>
      </c>
      <c r="AF1295" s="21" t="s">
        <v>9315</v>
      </c>
      <c r="AG1295" s="21" t="s">
        <v>9316</v>
      </c>
      <c r="AH1295" s="21" t="s">
        <v>9317</v>
      </c>
      <c r="AI1295" s="62" t="str">
        <f>IFERROR(__xludf.DUMMYFUNCTION("IF(OR(W1295="""",X1295="""",AE1295="""",AD1295=""""),"""",
   TEXT(
     (
       (AE1295+AD1295 + IF(AE1295+AD1295 &lt; W1295+X1295,1,0)) - (W1295+X1295)
     )
     - IF(AND(AB1295&lt;&gt;"""",AC1295&lt;&gt;""""), 
          SUM(ARRAYFORMULA(SPLIT(AC1295,"","") - SPLI"&amp;"T(AB1295,"",""))), 
          0
       ),
     ""[hh]:mm""
   )
)
"),"09:10")</f>
        <v>09:10</v>
      </c>
      <c r="AJ1295" s="27">
        <f t="shared" si="16"/>
        <v>0</v>
      </c>
      <c r="AK1295" s="63" t="str">
        <f t="shared" si="17"/>
        <v>Pass</v>
      </c>
    </row>
    <row r="1296">
      <c r="A1296" s="45">
        <v>46020.0</v>
      </c>
      <c r="B1296" s="49">
        <v>0.8770833333333333</v>
      </c>
      <c r="C1296" s="45">
        <v>46021.0</v>
      </c>
      <c r="D1296" s="49">
        <v>0.31805555555555554</v>
      </c>
      <c r="E1296" s="21" t="s">
        <v>9318</v>
      </c>
      <c r="F1296" s="21" t="s">
        <v>7854</v>
      </c>
      <c r="G1296" s="21" t="s">
        <v>7855</v>
      </c>
      <c r="H1296" s="21" t="s">
        <v>1422</v>
      </c>
      <c r="I1296" s="21" t="s">
        <v>1326</v>
      </c>
      <c r="J1296" s="21" t="s">
        <v>768</v>
      </c>
      <c r="K1296" s="21" t="s">
        <v>769</v>
      </c>
      <c r="L1296" s="21" t="s">
        <v>769</v>
      </c>
      <c r="M1296" s="21" t="s">
        <v>9319</v>
      </c>
      <c r="N1296" s="21" t="s">
        <v>9320</v>
      </c>
      <c r="O1296" s="48" t="s">
        <v>9321</v>
      </c>
      <c r="P1296" s="21" t="s">
        <v>187</v>
      </c>
      <c r="Q1296" s="24" t="s">
        <v>65</v>
      </c>
      <c r="R1296" s="21" t="s">
        <v>9322</v>
      </c>
      <c r="S1296" s="21" t="s">
        <v>51</v>
      </c>
      <c r="T1296" s="21" t="s">
        <v>52</v>
      </c>
      <c r="U1296" s="21" t="s">
        <v>52</v>
      </c>
      <c r="V1296" s="21" t="s">
        <v>52</v>
      </c>
      <c r="W1296" s="45">
        <v>46021.0</v>
      </c>
      <c r="X1296" s="49">
        <v>0.31805555555555554</v>
      </c>
      <c r="Y1296" s="45">
        <v>46021.0</v>
      </c>
      <c r="Z1296" s="49">
        <v>0.4479166666666667</v>
      </c>
      <c r="AA1296" s="49">
        <v>0.4583333333333333</v>
      </c>
      <c r="AB1296" s="29"/>
      <c r="AC1296" s="29"/>
      <c r="AD1296" s="25">
        <v>0.5111111111111111</v>
      </c>
      <c r="AE1296" s="45">
        <v>46021.0</v>
      </c>
      <c r="AF1296" s="21" t="s">
        <v>2839</v>
      </c>
      <c r="AG1296" s="21" t="s">
        <v>293</v>
      </c>
      <c r="AH1296" s="21" t="s">
        <v>9323</v>
      </c>
      <c r="AI1296" s="62" t="str">
        <f>IFERROR(__xludf.DUMMYFUNCTION("IF(OR(W1296="""",X1296="""",AE1296="""",AD1296=""""),"""",
   TEXT(
     (
       (AE1296+AD1296 + IF(AE1296+AD1296 &lt; W1296+X1296,1,0)) - (W1296+X1296)
     )
     - IF(AND(AB1296&lt;&gt;"""",AC1296&lt;&gt;""""), 
          SUM(ARRAYFORMULA(SPLIT(AC1296,"","") - SPLI"&amp;"T(AB1296,"",""))), 
          0
       ),
     ""[hh]:mm""
   )
)
"),"04:38")</f>
        <v>04:38</v>
      </c>
      <c r="AJ1296" s="27">
        <f t="shared" si="16"/>
        <v>0</v>
      </c>
      <c r="AK1296" s="63" t="str">
        <f t="shared" si="17"/>
        <v>Pass</v>
      </c>
    </row>
    <row r="1297">
      <c r="A1297" s="45">
        <v>46021.0</v>
      </c>
      <c r="B1297" s="49">
        <v>0.08055555555555556</v>
      </c>
      <c r="C1297" s="45">
        <v>46021.0</v>
      </c>
      <c r="D1297" s="49">
        <v>0.3277777777777778</v>
      </c>
      <c r="E1297" s="21" t="s">
        <v>9324</v>
      </c>
      <c r="F1297" s="21" t="s">
        <v>3756</v>
      </c>
      <c r="G1297" s="21" t="s">
        <v>3757</v>
      </c>
      <c r="H1297" s="21" t="s">
        <v>156</v>
      </c>
      <c r="I1297" s="21" t="s">
        <v>131</v>
      </c>
      <c r="J1297" s="21" t="s">
        <v>2253</v>
      </c>
      <c r="K1297" s="21" t="s">
        <v>43</v>
      </c>
      <c r="L1297" s="21" t="s">
        <v>617</v>
      </c>
      <c r="M1297" s="21" t="s">
        <v>9325</v>
      </c>
      <c r="N1297" s="21" t="s">
        <v>9326</v>
      </c>
      <c r="O1297" s="48" t="s">
        <v>9327</v>
      </c>
      <c r="P1297" s="21" t="s">
        <v>75</v>
      </c>
      <c r="Q1297" s="24" t="s">
        <v>65</v>
      </c>
      <c r="R1297" s="21" t="s">
        <v>9328</v>
      </c>
      <c r="S1297" s="21" t="s">
        <v>51</v>
      </c>
      <c r="T1297" s="21" t="s">
        <v>52</v>
      </c>
      <c r="U1297" s="21" t="s">
        <v>52</v>
      </c>
      <c r="V1297" s="21" t="s">
        <v>52</v>
      </c>
      <c r="W1297" s="45">
        <v>46021.0</v>
      </c>
      <c r="X1297" s="49">
        <v>0.3277777777777778</v>
      </c>
      <c r="Y1297" s="45">
        <v>46021.0</v>
      </c>
      <c r="Z1297" s="49">
        <v>0.5277777777777778</v>
      </c>
      <c r="AA1297" s="49">
        <v>0.5416666666666666</v>
      </c>
      <c r="AB1297" s="25">
        <v>0.5416666666666666</v>
      </c>
      <c r="AC1297" s="25">
        <v>0.5833333333333334</v>
      </c>
      <c r="AD1297" s="25">
        <v>0.5972222222222222</v>
      </c>
      <c r="AE1297" s="45">
        <v>46021.0</v>
      </c>
      <c r="AF1297" s="21" t="s">
        <v>3218</v>
      </c>
      <c r="AG1297" s="21" t="s">
        <v>3191</v>
      </c>
      <c r="AH1297" s="21" t="s">
        <v>9329</v>
      </c>
      <c r="AI1297" s="62" t="str">
        <f>IFERROR(__xludf.DUMMYFUNCTION("IF(OR(W1297="""",X1297="""",AE1297="""",AD1297=""""),"""",
   TEXT(
     (
       (AE1297+AD1297 + IF(AE1297+AD1297 &lt; W1297+X1297,1,0)) - (W1297+X1297)
     )
     - IF(AND(AB1297&lt;&gt;"""",AC1297&lt;&gt;""""), 
          SUM(ARRAYFORMULA(SPLIT(AC1297,"","") - SPLI"&amp;"T(AB1297,"",""))), 
          0
       ),
     ""[hh]:mm""
   )
)
"),"05:28")</f>
        <v>05:28</v>
      </c>
      <c r="AJ1297" s="27">
        <f t="shared" si="16"/>
        <v>0</v>
      </c>
      <c r="AK1297" s="63" t="str">
        <f t="shared" si="17"/>
        <v>Pass</v>
      </c>
    </row>
    <row r="1298">
      <c r="A1298" s="45">
        <v>46020.0</v>
      </c>
      <c r="B1298" s="49">
        <v>0.6854166666666667</v>
      </c>
      <c r="C1298" s="45">
        <v>46020.0</v>
      </c>
      <c r="D1298" s="49">
        <v>0.6875</v>
      </c>
      <c r="E1298" s="21" t="s">
        <v>9330</v>
      </c>
      <c r="F1298" s="21" t="s">
        <v>778</v>
      </c>
      <c r="G1298" s="21" t="s">
        <v>779</v>
      </c>
      <c r="H1298" s="21" t="s">
        <v>9331</v>
      </c>
      <c r="I1298" s="21" t="s">
        <v>234</v>
      </c>
      <c r="J1298" s="21" t="s">
        <v>3813</v>
      </c>
      <c r="K1298" s="21" t="s">
        <v>61</v>
      </c>
      <c r="L1298" s="21" t="s">
        <v>757</v>
      </c>
      <c r="M1298" s="21" t="s">
        <v>9332</v>
      </c>
      <c r="N1298" s="21" t="s">
        <v>9333</v>
      </c>
      <c r="O1298" s="48" t="s">
        <v>9334</v>
      </c>
      <c r="P1298" s="21" t="s">
        <v>75</v>
      </c>
      <c r="Q1298" s="24" t="s">
        <v>65</v>
      </c>
      <c r="R1298" s="21" t="s">
        <v>9335</v>
      </c>
      <c r="S1298" s="21" t="s">
        <v>51</v>
      </c>
      <c r="T1298" s="21" t="s">
        <v>52</v>
      </c>
      <c r="U1298" s="21" t="s">
        <v>52</v>
      </c>
      <c r="V1298" s="21" t="s">
        <v>52</v>
      </c>
      <c r="W1298" s="45">
        <v>46021.0</v>
      </c>
      <c r="X1298" s="49">
        <v>0.3326388888888889</v>
      </c>
      <c r="Y1298" s="45">
        <v>46021.0</v>
      </c>
      <c r="Z1298" s="49">
        <v>0.625</v>
      </c>
      <c r="AA1298" s="49">
        <v>0.6319444444444444</v>
      </c>
      <c r="AB1298" s="29"/>
      <c r="AC1298" s="29"/>
      <c r="AD1298" s="25">
        <v>0.6597222222222222</v>
      </c>
      <c r="AE1298" s="45">
        <v>46021.0</v>
      </c>
      <c r="AF1298" s="21" t="s">
        <v>2931</v>
      </c>
      <c r="AG1298" s="21" t="s">
        <v>3191</v>
      </c>
      <c r="AH1298" s="21" t="s">
        <v>9336</v>
      </c>
      <c r="AI1298" s="62" t="str">
        <f>IFERROR(__xludf.DUMMYFUNCTION("IF(OR(W1298="""",X1298="""",AE1298="""",AD1298=""""),"""",
   TEXT(
     (
       (AE1298+AD1298 + IF(AE1298+AD1298 &lt; W1298+X1298,1,0)) - (W1298+X1298)
     )
     - IF(AND(AB1298&lt;&gt;"""",AC1298&lt;&gt;""""), 
          SUM(ARRAYFORMULA(SPLIT(AC1298,"","") - SPLI"&amp;"T(AB1298,"",""))), 
          0
       ),
     ""[hh]:mm""
   )
)
"),"07:51")</f>
        <v>07:51</v>
      </c>
      <c r="AJ1298" s="27">
        <f t="shared" si="16"/>
        <v>0</v>
      </c>
      <c r="AK1298" s="63" t="str">
        <f t="shared" si="17"/>
        <v>Pass</v>
      </c>
    </row>
    <row r="1299">
      <c r="A1299" s="45">
        <v>46021.0</v>
      </c>
      <c r="B1299" s="49">
        <v>0.25277777777777777</v>
      </c>
      <c r="C1299" s="45">
        <v>46021.0</v>
      </c>
      <c r="D1299" s="49">
        <v>0.34097222222222223</v>
      </c>
      <c r="E1299" s="21" t="s">
        <v>9337</v>
      </c>
      <c r="F1299" s="21" t="s">
        <v>1734</v>
      </c>
      <c r="G1299" s="21" t="s">
        <v>5720</v>
      </c>
      <c r="H1299" s="21" t="s">
        <v>318</v>
      </c>
      <c r="I1299" s="21" t="s">
        <v>60</v>
      </c>
      <c r="J1299" s="21" t="s">
        <v>3813</v>
      </c>
      <c r="K1299" s="21" t="s">
        <v>61</v>
      </c>
      <c r="L1299" s="21" t="s">
        <v>757</v>
      </c>
      <c r="M1299" s="21" t="s">
        <v>9338</v>
      </c>
      <c r="N1299" s="21" t="s">
        <v>9339</v>
      </c>
      <c r="O1299" s="48" t="s">
        <v>9340</v>
      </c>
      <c r="P1299" s="21" t="s">
        <v>75</v>
      </c>
      <c r="Q1299" s="24" t="s">
        <v>65</v>
      </c>
      <c r="R1299" s="21" t="s">
        <v>1271</v>
      </c>
      <c r="S1299" s="21" t="s">
        <v>51</v>
      </c>
      <c r="T1299" s="21" t="s">
        <v>324</v>
      </c>
      <c r="U1299" s="21" t="s">
        <v>9341</v>
      </c>
      <c r="V1299" s="21" t="s">
        <v>9342</v>
      </c>
      <c r="W1299" s="45">
        <v>46021.0</v>
      </c>
      <c r="X1299" s="49">
        <v>0.34097222222222223</v>
      </c>
      <c r="Y1299" s="45">
        <v>46021.0</v>
      </c>
      <c r="Z1299" s="49">
        <v>0.51875</v>
      </c>
      <c r="AA1299" s="49">
        <v>0.7472222222222222</v>
      </c>
      <c r="AB1299" s="24" t="s">
        <v>9343</v>
      </c>
      <c r="AC1299" s="24" t="s">
        <v>9344</v>
      </c>
      <c r="AD1299" s="25">
        <v>0.775</v>
      </c>
      <c r="AE1299" s="45">
        <v>46021.0</v>
      </c>
      <c r="AF1299" s="21" t="s">
        <v>3218</v>
      </c>
      <c r="AG1299" s="21" t="s">
        <v>162</v>
      </c>
      <c r="AH1299" s="21" t="s">
        <v>9345</v>
      </c>
      <c r="AI1299" s="62" t="str">
        <f>IFERROR(__xludf.DUMMYFUNCTION("IF(OR(W1299="""",X1299="""",AE1299="""",AD1299=""""),"""",
   TEXT(
     (
       (AE1299+AD1299 + IF(AE1299+AD1299 &lt; W1299+X1299,1,0)) - (W1299+X1299)
     )
     - IF(AND(AB1299&lt;&gt;"""",AC1299&lt;&gt;""""), 
          SUM(ARRAYFORMULA(SPLIT(AC1299,"","") - SPLI"&amp;"T(AB1299,"",""))), 
          0
       ),
     ""[hh]:mm""
   )
)
"),"05:18")</f>
        <v>05:18</v>
      </c>
      <c r="AJ1299" s="27">
        <f t="shared" si="16"/>
        <v>0</v>
      </c>
      <c r="AK1299" s="63" t="str">
        <f t="shared" si="17"/>
        <v>Pass</v>
      </c>
    </row>
    <row r="1300">
      <c r="A1300" s="45">
        <v>46021.0</v>
      </c>
      <c r="B1300" s="49">
        <v>0.33819444444444446</v>
      </c>
      <c r="C1300" s="45">
        <v>46021.0</v>
      </c>
      <c r="D1300" s="49">
        <v>0.34305555555555556</v>
      </c>
      <c r="E1300" s="21" t="s">
        <v>9346</v>
      </c>
      <c r="F1300" s="21" t="s">
        <v>9347</v>
      </c>
      <c r="G1300" s="21" t="s">
        <v>9348</v>
      </c>
      <c r="H1300" s="21" t="s">
        <v>377</v>
      </c>
      <c r="I1300" s="21" t="s">
        <v>60</v>
      </c>
      <c r="J1300" s="21" t="s">
        <v>3813</v>
      </c>
      <c r="K1300" s="21" t="s">
        <v>61</v>
      </c>
      <c r="L1300" s="21" t="s">
        <v>757</v>
      </c>
      <c r="M1300" s="21" t="s">
        <v>9349</v>
      </c>
      <c r="N1300" s="21" t="s">
        <v>9350</v>
      </c>
      <c r="O1300" s="48" t="s">
        <v>9351</v>
      </c>
      <c r="P1300" s="21" t="s">
        <v>75</v>
      </c>
      <c r="Q1300" s="24" t="s">
        <v>65</v>
      </c>
      <c r="R1300" s="21" t="s">
        <v>9352</v>
      </c>
      <c r="S1300" s="21" t="s">
        <v>51</v>
      </c>
      <c r="T1300" s="21" t="s">
        <v>52</v>
      </c>
      <c r="U1300" s="21" t="s">
        <v>52</v>
      </c>
      <c r="V1300" s="21" t="s">
        <v>52</v>
      </c>
      <c r="W1300" s="45">
        <v>46021.0</v>
      </c>
      <c r="X1300" s="49">
        <v>0.34097222222222223</v>
      </c>
      <c r="Y1300" s="45">
        <v>46021.0</v>
      </c>
      <c r="Z1300" s="49">
        <v>0.4479166666666667</v>
      </c>
      <c r="AA1300" s="49">
        <v>0.4513888888888889</v>
      </c>
      <c r="AB1300" s="29"/>
      <c r="AC1300" s="29"/>
      <c r="AD1300" s="25">
        <v>0.4722222222222222</v>
      </c>
      <c r="AE1300" s="45">
        <v>46021.0</v>
      </c>
      <c r="AF1300" s="21" t="s">
        <v>2931</v>
      </c>
      <c r="AG1300" s="21" t="s">
        <v>54</v>
      </c>
      <c r="AH1300" s="21" t="s">
        <v>9353</v>
      </c>
      <c r="AI1300" s="62" t="str">
        <f>IFERROR(__xludf.DUMMYFUNCTION("IF(OR(W1300="""",X1300="""",AE1300="""",AD1300=""""),"""",
   TEXT(
     (
       (AE1300+AD1300 + IF(AE1300+AD1300 &lt; W1300+X1300,1,0)) - (W1300+X1300)
     )
     - IF(AND(AB1300&lt;&gt;"""",AC1300&lt;&gt;""""), 
          SUM(ARRAYFORMULA(SPLIT(AC1300,"","") - SPLI"&amp;"T(AB1300,"",""))), 
          0
       ),
     ""[hh]:mm""
   )
)
"),"03:09")</f>
        <v>03:09</v>
      </c>
      <c r="AJ1300" s="27">
        <f t="shared" si="16"/>
        <v>0</v>
      </c>
      <c r="AK1300" s="63" t="str">
        <f t="shared" si="17"/>
        <v>Pass</v>
      </c>
    </row>
    <row r="1301">
      <c r="A1301" s="45">
        <v>46021.0</v>
      </c>
      <c r="B1301" s="49">
        <v>0.3402777777777778</v>
      </c>
      <c r="C1301" s="45">
        <v>46021.0</v>
      </c>
      <c r="D1301" s="49">
        <v>0.3458333333333333</v>
      </c>
      <c r="E1301" s="21" t="s">
        <v>9354</v>
      </c>
      <c r="F1301" s="21" t="s">
        <v>9355</v>
      </c>
      <c r="G1301" s="21" t="s">
        <v>9356</v>
      </c>
      <c r="H1301" s="21" t="s">
        <v>130</v>
      </c>
      <c r="I1301" s="21" t="s">
        <v>991</v>
      </c>
      <c r="J1301" s="21" t="s">
        <v>3991</v>
      </c>
      <c r="K1301" s="21" t="s">
        <v>43</v>
      </c>
      <c r="L1301" s="21" t="s">
        <v>120</v>
      </c>
      <c r="M1301" s="21" t="s">
        <v>9357</v>
      </c>
      <c r="N1301" s="21" t="s">
        <v>9358</v>
      </c>
      <c r="O1301" s="48" t="s">
        <v>9359</v>
      </c>
      <c r="P1301" s="21" t="s">
        <v>75</v>
      </c>
      <c r="Q1301" s="24" t="s">
        <v>49</v>
      </c>
      <c r="R1301" s="21" t="s">
        <v>9360</v>
      </c>
      <c r="S1301" s="21" t="s">
        <v>51</v>
      </c>
      <c r="T1301" s="21" t="s">
        <v>52</v>
      </c>
      <c r="U1301" s="21" t="s">
        <v>52</v>
      </c>
      <c r="V1301" s="21" t="s">
        <v>52</v>
      </c>
      <c r="W1301" s="45">
        <v>46021.0</v>
      </c>
      <c r="X1301" s="49">
        <v>0.36180555555555555</v>
      </c>
      <c r="Y1301" s="45">
        <v>46021.0</v>
      </c>
      <c r="Z1301" s="49">
        <v>0.4777777777777778</v>
      </c>
      <c r="AA1301" s="49">
        <v>0.4777777777777778</v>
      </c>
      <c r="AB1301" s="25">
        <v>0.4791666666666667</v>
      </c>
      <c r="AC1301" s="25">
        <v>0.4930555555555556</v>
      </c>
      <c r="AD1301" s="25">
        <v>0.5138888888888888</v>
      </c>
      <c r="AE1301" s="45">
        <v>46021.0</v>
      </c>
      <c r="AF1301" s="21" t="s">
        <v>2828</v>
      </c>
      <c r="AG1301" s="21" t="s">
        <v>583</v>
      </c>
      <c r="AH1301" s="21" t="s">
        <v>9361</v>
      </c>
      <c r="AI1301" s="62" t="str">
        <f>IFERROR(__xludf.DUMMYFUNCTION("IF(OR(W1301="""",X1301="""",AE1301="""",AD1301=""""),"""",
   TEXT(
     (
       (AE1301+AD1301 + IF(AE1301+AD1301 &lt; W1301+X1301,1,0)) - (W1301+X1301)
     )
     - IF(AND(AB1301&lt;&gt;"""",AC1301&lt;&gt;""""), 
          SUM(ARRAYFORMULA(SPLIT(AC1301,"","") - SPLI"&amp;"T(AB1301,"",""))), 
          0
       ),
     ""[hh]:mm""
   )
)
"),"03:19")</f>
        <v>03:19</v>
      </c>
      <c r="AJ1301" s="27">
        <f t="shared" si="16"/>
        <v>0</v>
      </c>
      <c r="AK1301" s="63" t="str">
        <f t="shared" si="17"/>
        <v>Pass</v>
      </c>
    </row>
    <row r="1302">
      <c r="A1302" s="45">
        <v>46017.0</v>
      </c>
      <c r="B1302" s="49">
        <v>0.8236111111111111</v>
      </c>
      <c r="C1302" s="45">
        <v>46017.0</v>
      </c>
      <c r="D1302" s="49">
        <v>0.8347222222222223</v>
      </c>
      <c r="E1302" s="21" t="s">
        <v>9362</v>
      </c>
      <c r="F1302" s="21" t="s">
        <v>9363</v>
      </c>
      <c r="G1302" s="21" t="s">
        <v>9364</v>
      </c>
      <c r="H1302" s="21" t="s">
        <v>2337</v>
      </c>
      <c r="I1302" s="21" t="s">
        <v>168</v>
      </c>
      <c r="J1302" s="21" t="s">
        <v>169</v>
      </c>
      <c r="K1302" s="21" t="s">
        <v>61</v>
      </c>
      <c r="L1302" s="21" t="s">
        <v>183</v>
      </c>
      <c r="M1302" s="21" t="s">
        <v>9365</v>
      </c>
      <c r="N1302" s="21" t="s">
        <v>9366</v>
      </c>
      <c r="O1302" s="48" t="s">
        <v>9367</v>
      </c>
      <c r="P1302" s="21" t="s">
        <v>75</v>
      </c>
      <c r="Q1302" s="24" t="s">
        <v>65</v>
      </c>
      <c r="R1302" s="21" t="s">
        <v>9368</v>
      </c>
      <c r="S1302" s="21" t="s">
        <v>51</v>
      </c>
      <c r="T1302" s="21" t="s">
        <v>169</v>
      </c>
      <c r="U1302" s="21" t="s">
        <v>9369</v>
      </c>
      <c r="V1302" s="21" t="s">
        <v>9370</v>
      </c>
      <c r="W1302" s="45">
        <v>46021.0</v>
      </c>
      <c r="X1302" s="49">
        <v>0.4388888888888889</v>
      </c>
      <c r="Y1302" s="45">
        <v>46021.0</v>
      </c>
      <c r="Z1302" s="49">
        <v>0.6034722222222222</v>
      </c>
      <c r="AA1302" s="49">
        <v>0.6041666666666666</v>
      </c>
      <c r="AB1302" s="25">
        <v>0.6125</v>
      </c>
      <c r="AC1302" s="25">
        <v>0.6506944444444445</v>
      </c>
      <c r="AD1302" s="25">
        <v>0.6666666666666666</v>
      </c>
      <c r="AE1302" s="45">
        <v>46021.0</v>
      </c>
      <c r="AF1302" s="21" t="s">
        <v>2788</v>
      </c>
      <c r="AG1302" s="21" t="s">
        <v>5541</v>
      </c>
      <c r="AH1302" s="21" t="s">
        <v>9371</v>
      </c>
      <c r="AI1302" s="62" t="str">
        <f>IFERROR(__xludf.DUMMYFUNCTION("IF(OR(W1302="""",X1302="""",AE1302="""",AD1302=""""),"""",
   TEXT(
     (
       (AE1302+AD1302 + IF(AE1302+AD1302 &lt; W1302+X1302,1,0)) - (W1302+X1302)
     )
     - IF(AND(AB1302&lt;&gt;"""",AC1302&lt;&gt;""""), 
          SUM(ARRAYFORMULA(SPLIT(AC1302,"","") - SPLI"&amp;"T(AB1302,"",""))), 
          0
       ),
     ""[hh]:mm""
   )
)
"),"04:33")</f>
        <v>04:33</v>
      </c>
      <c r="AJ1302" s="27">
        <f t="shared" si="16"/>
        <v>0</v>
      </c>
      <c r="AK1302" s="63" t="str">
        <f t="shared" si="17"/>
        <v>Pass</v>
      </c>
    </row>
    <row r="1303">
      <c r="A1303" s="45">
        <v>46021.0</v>
      </c>
      <c r="B1303" s="49">
        <v>0.4701388888888889</v>
      </c>
      <c r="C1303" s="45">
        <v>46021.0</v>
      </c>
      <c r="D1303" s="49">
        <v>0.49583333333333335</v>
      </c>
      <c r="E1303" s="21" t="s">
        <v>9372</v>
      </c>
      <c r="F1303" s="21" t="s">
        <v>564</v>
      </c>
      <c r="G1303" s="21" t="s">
        <v>565</v>
      </c>
      <c r="H1303" s="21" t="s">
        <v>1881</v>
      </c>
      <c r="I1303" s="21" t="s">
        <v>1497</v>
      </c>
      <c r="J1303" s="21" t="s">
        <v>95</v>
      </c>
      <c r="K1303" s="21" t="s">
        <v>386</v>
      </c>
      <c r="L1303" s="21" t="s">
        <v>386</v>
      </c>
      <c r="M1303" s="21" t="s">
        <v>9373</v>
      </c>
      <c r="N1303" s="21" t="s">
        <v>9374</v>
      </c>
      <c r="O1303" s="48" t="s">
        <v>9375</v>
      </c>
      <c r="P1303" s="21" t="s">
        <v>187</v>
      </c>
      <c r="Q1303" s="24" t="s">
        <v>198</v>
      </c>
      <c r="R1303" s="21" t="s">
        <v>9376</v>
      </c>
      <c r="S1303" s="21" t="s">
        <v>51</v>
      </c>
      <c r="T1303" s="21" t="s">
        <v>52</v>
      </c>
      <c r="U1303" s="21" t="s">
        <v>52</v>
      </c>
      <c r="V1303" s="21" t="s">
        <v>52</v>
      </c>
      <c r="W1303" s="45">
        <v>46021.0</v>
      </c>
      <c r="X1303" s="49">
        <v>0.49583333333333335</v>
      </c>
      <c r="Y1303" s="45">
        <v>46021.0</v>
      </c>
      <c r="Z1303" s="49">
        <v>0.6111111111111112</v>
      </c>
      <c r="AA1303" s="21" t="s">
        <v>9377</v>
      </c>
      <c r="AB1303" s="29"/>
      <c r="AC1303" s="29"/>
      <c r="AD1303" s="25">
        <v>0.6458333333333334</v>
      </c>
      <c r="AE1303" s="45">
        <v>46021.0</v>
      </c>
      <c r="AF1303" s="21" t="s">
        <v>2931</v>
      </c>
      <c r="AG1303" s="21" t="s">
        <v>54</v>
      </c>
      <c r="AH1303" s="21" t="s">
        <v>9378</v>
      </c>
      <c r="AI1303" s="62" t="str">
        <f>IFERROR(__xludf.DUMMYFUNCTION("IF(OR(W1303="""",X1303="""",AE1303="""",AD1303=""""),"""",
   TEXT(
     (
       (AE1303+AD1303 + IF(AE1303+AD1303 &lt; W1303+X1303,1,0)) - (W1303+X1303)
     )
     - IF(AND(AB1303&lt;&gt;"""",AC1303&lt;&gt;""""), 
          SUM(ARRAYFORMULA(SPLIT(AC1303,"","") - SPLI"&amp;"T(AB1303,"",""))), 
          0
       ),
     ""[hh]:mm""
   )
)
"),"03:36")</f>
        <v>03:36</v>
      </c>
      <c r="AJ1303" s="27">
        <f t="shared" si="16"/>
        <v>0</v>
      </c>
      <c r="AK1303" s="63" t="str">
        <f t="shared" si="17"/>
        <v>Pass</v>
      </c>
    </row>
    <row r="1304">
      <c r="A1304" s="45">
        <v>46021.0</v>
      </c>
      <c r="B1304" s="49">
        <v>0.4444444444444444</v>
      </c>
      <c r="C1304" s="45">
        <v>46021.0</v>
      </c>
      <c r="D1304" s="49">
        <v>0.4444444444444444</v>
      </c>
      <c r="E1304" s="21" t="s">
        <v>9379</v>
      </c>
      <c r="F1304" s="21" t="s">
        <v>1344</v>
      </c>
      <c r="G1304" s="21" t="s">
        <v>1345</v>
      </c>
      <c r="H1304" s="21" t="s">
        <v>156</v>
      </c>
      <c r="I1304" s="21" t="s">
        <v>131</v>
      </c>
      <c r="J1304" s="21" t="s">
        <v>2253</v>
      </c>
      <c r="K1304" s="21" t="s">
        <v>43</v>
      </c>
      <c r="L1304" s="21" t="s">
        <v>9380</v>
      </c>
      <c r="M1304" s="21" t="s">
        <v>9381</v>
      </c>
      <c r="N1304" s="21" t="s">
        <v>9382</v>
      </c>
      <c r="O1304" s="48" t="s">
        <v>9383</v>
      </c>
      <c r="P1304" s="21" t="s">
        <v>75</v>
      </c>
      <c r="Q1304" s="24" t="s">
        <v>65</v>
      </c>
      <c r="R1304" s="21" t="s">
        <v>9384</v>
      </c>
      <c r="S1304" s="21" t="s">
        <v>51</v>
      </c>
      <c r="T1304" s="21" t="s">
        <v>52</v>
      </c>
      <c r="U1304" s="21" t="s">
        <v>52</v>
      </c>
      <c r="V1304" s="21" t="s">
        <v>52</v>
      </c>
      <c r="W1304" s="45">
        <v>46021.0</v>
      </c>
      <c r="X1304" s="49">
        <v>0.4444444444444444</v>
      </c>
      <c r="Y1304" s="45">
        <v>46021.0</v>
      </c>
      <c r="Z1304" s="49">
        <v>0.4444444444444444</v>
      </c>
      <c r="AA1304" s="49">
        <v>0.5208333333333334</v>
      </c>
      <c r="AB1304" s="24" t="s">
        <v>9385</v>
      </c>
      <c r="AC1304" s="24" t="s">
        <v>9386</v>
      </c>
      <c r="AD1304" s="25">
        <v>0.5875</v>
      </c>
      <c r="AE1304" s="45">
        <v>46021.0</v>
      </c>
      <c r="AF1304" s="21" t="s">
        <v>9387</v>
      </c>
      <c r="AG1304" s="21" t="s">
        <v>113</v>
      </c>
      <c r="AH1304" s="21" t="s">
        <v>9388</v>
      </c>
      <c r="AI1304" s="62" t="str">
        <f>IFERROR(__xludf.DUMMYFUNCTION("IF(OR(W1304="""",X1304="""",AE1304="""",AD1304=""""),"""",
   TEXT(
     (
       (AE1304+AD1304 + IF(AE1304+AD1304 &lt; W1304+X1304,1,0)) - (W1304+X1304)
     )
     - IF(AND(AB1304&lt;&gt;"""",AC1304&lt;&gt;""""), 
          SUM(ARRAYFORMULA(SPLIT(AC1304,"","") - SPLI"&amp;"T(AB1304,"",""))), 
          0
       ),
     ""[hh]:mm""
   )
)
"),"02:51")</f>
        <v>02:51</v>
      </c>
      <c r="AJ1304" s="27">
        <f t="shared" si="16"/>
        <v>0</v>
      </c>
      <c r="AK1304" s="63" t="str">
        <f t="shared" si="17"/>
        <v>Pass</v>
      </c>
    </row>
    <row r="1305">
      <c r="A1305" s="45">
        <v>46019.0</v>
      </c>
      <c r="B1305" s="49">
        <v>0.5993055555555555</v>
      </c>
      <c r="C1305" s="45">
        <v>46019.0</v>
      </c>
      <c r="D1305" s="49">
        <v>0.6166666666666667</v>
      </c>
      <c r="E1305" s="21" t="s">
        <v>9389</v>
      </c>
      <c r="F1305" s="21" t="s">
        <v>8803</v>
      </c>
      <c r="G1305" s="21" t="s">
        <v>8804</v>
      </c>
      <c r="H1305" s="21" t="s">
        <v>3093</v>
      </c>
      <c r="I1305" s="21" t="s">
        <v>2026</v>
      </c>
      <c r="J1305" s="21" t="s">
        <v>2253</v>
      </c>
      <c r="K1305" s="21" t="s">
        <v>43</v>
      </c>
      <c r="L1305" s="21" t="s">
        <v>6144</v>
      </c>
      <c r="M1305" s="21" t="s">
        <v>8762</v>
      </c>
      <c r="N1305" s="21" t="s">
        <v>9390</v>
      </c>
      <c r="O1305" s="48" t="s">
        <v>9391</v>
      </c>
      <c r="P1305" s="21" t="s">
        <v>75</v>
      </c>
      <c r="Q1305" s="24" t="s">
        <v>65</v>
      </c>
      <c r="R1305" s="21" t="s">
        <v>9392</v>
      </c>
      <c r="S1305" s="21" t="s">
        <v>51</v>
      </c>
      <c r="T1305" s="21" t="s">
        <v>52</v>
      </c>
      <c r="U1305" s="21" t="s">
        <v>52</v>
      </c>
      <c r="V1305" s="21" t="s">
        <v>52</v>
      </c>
      <c r="W1305" s="45">
        <v>46021.0</v>
      </c>
      <c r="X1305" s="49">
        <v>0.6166666666666667</v>
      </c>
      <c r="Y1305" s="45">
        <v>46021.0</v>
      </c>
      <c r="Z1305" s="49">
        <v>0.6701388888888888</v>
      </c>
      <c r="AA1305" s="49">
        <v>0.6805555555555556</v>
      </c>
      <c r="AB1305" s="29"/>
      <c r="AC1305" s="29"/>
      <c r="AD1305" s="25">
        <v>0.7013888888888888</v>
      </c>
      <c r="AE1305" s="45">
        <v>46021.0</v>
      </c>
      <c r="AF1305" s="21" t="s">
        <v>7901</v>
      </c>
      <c r="AG1305" s="21" t="s">
        <v>583</v>
      </c>
      <c r="AH1305" s="21" t="s">
        <v>9393</v>
      </c>
      <c r="AI1305" s="62" t="str">
        <f>IFERROR(__xludf.DUMMYFUNCTION("IF(OR(W1305="""",X1305="""",AE1305="""",AD1305=""""),"""",
   TEXT(
     (
       (AE1305+AD1305 + IF(AE1305+AD1305 &lt; W1305+X1305,1,0)) - (W1305+X1305)
     )
     - IF(AND(AB1305&lt;&gt;"""",AC1305&lt;&gt;""""), 
          SUM(ARRAYFORMULA(SPLIT(AC1305,"","") - SPLI"&amp;"T(AB1305,"",""))), 
          0
       ),
     ""[hh]:mm""
   )
)
"),"02:02")</f>
        <v>02:02</v>
      </c>
      <c r="AJ1305" s="27">
        <f t="shared" si="16"/>
        <v>0</v>
      </c>
      <c r="AK1305" s="63" t="str">
        <f t="shared" si="17"/>
        <v>Pass</v>
      </c>
    </row>
    <row r="1306">
      <c r="A1306" s="45">
        <v>46019.0</v>
      </c>
      <c r="B1306" s="49">
        <v>0.5993055555555555</v>
      </c>
      <c r="C1306" s="45">
        <v>46019.0</v>
      </c>
      <c r="D1306" s="49">
        <v>0.6166666666666667</v>
      </c>
      <c r="E1306" s="21" t="s">
        <v>9394</v>
      </c>
      <c r="F1306" s="21" t="s">
        <v>2900</v>
      </c>
      <c r="G1306" s="21" t="s">
        <v>2901</v>
      </c>
      <c r="H1306" s="21" t="s">
        <v>3093</v>
      </c>
      <c r="I1306" s="21" t="s">
        <v>616</v>
      </c>
      <c r="J1306" s="21" t="s">
        <v>2253</v>
      </c>
      <c r="K1306" s="21" t="s">
        <v>43</v>
      </c>
      <c r="L1306" s="21" t="s">
        <v>6144</v>
      </c>
      <c r="M1306" s="21" t="s">
        <v>7935</v>
      </c>
      <c r="N1306" s="21" t="s">
        <v>9243</v>
      </c>
      <c r="O1306" s="48" t="s">
        <v>9391</v>
      </c>
      <c r="P1306" s="21" t="s">
        <v>75</v>
      </c>
      <c r="Q1306" s="24" t="s">
        <v>65</v>
      </c>
      <c r="R1306" s="21" t="s">
        <v>9392</v>
      </c>
      <c r="S1306" s="21" t="s">
        <v>51</v>
      </c>
      <c r="T1306" s="21" t="s">
        <v>52</v>
      </c>
      <c r="U1306" s="21" t="s">
        <v>52</v>
      </c>
      <c r="V1306" s="21" t="s">
        <v>52</v>
      </c>
      <c r="W1306" s="45">
        <v>46021.0</v>
      </c>
      <c r="X1306" s="49">
        <v>0.5833333333333334</v>
      </c>
      <c r="Y1306" s="45">
        <v>46021.0</v>
      </c>
      <c r="Z1306" s="49">
        <v>0.5833333333333334</v>
      </c>
      <c r="AA1306" s="49">
        <v>0.5902777777777778</v>
      </c>
      <c r="AB1306" s="29"/>
      <c r="AC1306" s="29"/>
      <c r="AD1306" s="25">
        <v>0.6111111111111112</v>
      </c>
      <c r="AE1306" s="45">
        <v>46021.0</v>
      </c>
      <c r="AF1306" s="21" t="s">
        <v>7901</v>
      </c>
      <c r="AG1306" s="21" t="s">
        <v>583</v>
      </c>
      <c r="AH1306" s="21" t="s">
        <v>8781</v>
      </c>
      <c r="AI1306" s="62" t="str">
        <f>IFERROR(__xludf.DUMMYFUNCTION("IF(OR(W1306="""",X1306="""",AE1306="""",AD1306=""""),"""",
   TEXT(
     (
       (AE1306+AD1306 + IF(AE1306+AD1306 &lt; W1306+X1306,1,0)) - (W1306+X1306)
     )
     - IF(AND(AB1306&lt;&gt;"""",AC1306&lt;&gt;""""), 
          SUM(ARRAYFORMULA(SPLIT(AC1306,"","") - SPLI"&amp;"T(AB1306,"",""))), 
          0
       ),
     ""[hh]:mm""
   )
)
"),"00:40")</f>
        <v>00:40</v>
      </c>
      <c r="AJ1306" s="27">
        <f t="shared" si="16"/>
        <v>0</v>
      </c>
      <c r="AK1306" s="63" t="str">
        <f t="shared" si="17"/>
        <v>Pass</v>
      </c>
    </row>
    <row r="1307">
      <c r="A1307" s="45">
        <v>46021.0</v>
      </c>
      <c r="B1307" s="49">
        <v>0.7166666666666667</v>
      </c>
      <c r="C1307" s="45">
        <v>46021.0</v>
      </c>
      <c r="D1307" s="49">
        <v>0.7236111111111111</v>
      </c>
      <c r="E1307" s="21" t="s">
        <v>9395</v>
      </c>
      <c r="F1307" s="21" t="s">
        <v>3461</v>
      </c>
      <c r="G1307" s="21" t="s">
        <v>3462</v>
      </c>
      <c r="H1307" s="21" t="s">
        <v>1610</v>
      </c>
      <c r="I1307" s="21" t="s">
        <v>1612</v>
      </c>
      <c r="J1307" s="21" t="s">
        <v>1612</v>
      </c>
      <c r="K1307" s="21" t="s">
        <v>143</v>
      </c>
      <c r="L1307" s="21" t="s">
        <v>1613</v>
      </c>
      <c r="M1307" s="21" t="s">
        <v>9396</v>
      </c>
      <c r="N1307" s="21" t="s">
        <v>9397</v>
      </c>
      <c r="O1307" s="48" t="s">
        <v>9398</v>
      </c>
      <c r="P1307" s="21" t="s">
        <v>187</v>
      </c>
      <c r="Q1307" s="24" t="s">
        <v>65</v>
      </c>
      <c r="R1307" s="21" t="s">
        <v>9042</v>
      </c>
      <c r="S1307" s="21" t="s">
        <v>51</v>
      </c>
      <c r="T1307" s="21" t="s">
        <v>52</v>
      </c>
      <c r="U1307" s="21" t="s">
        <v>52</v>
      </c>
      <c r="V1307" s="21" t="s">
        <v>52</v>
      </c>
      <c r="W1307" s="45">
        <v>46022.0</v>
      </c>
      <c r="X1307" s="49">
        <v>0.375</v>
      </c>
      <c r="Y1307" s="45">
        <v>46022.0</v>
      </c>
      <c r="Z1307" s="49">
        <v>0.4076388888888889</v>
      </c>
      <c r="AA1307" s="49">
        <v>0.4097222222222222</v>
      </c>
      <c r="AB1307" s="29"/>
      <c r="AC1307" s="29"/>
      <c r="AD1307" s="25">
        <v>0.4444444444444444</v>
      </c>
      <c r="AE1307" s="45">
        <v>46022.0</v>
      </c>
      <c r="AF1307" s="21" t="s">
        <v>3358</v>
      </c>
      <c r="AG1307" s="21" t="s">
        <v>162</v>
      </c>
      <c r="AH1307" s="21" t="s">
        <v>9399</v>
      </c>
      <c r="AI1307" s="62" t="str">
        <f>IFERROR(__xludf.DUMMYFUNCTION("IF(OR(W1307="""",X1307="""",AE1307="""",AD1307=""""),"""",
   TEXT(
     (
       (AE1307+AD1307 + IF(AE1307+AD1307 &lt; W1307+X1307,1,0)) - (W1307+X1307)
     )
     - IF(AND(AB1307&lt;&gt;"""",AC1307&lt;&gt;""""), 
          SUM(ARRAYFORMULA(SPLIT(AC1307,"","") - SPLI"&amp;"T(AB1307,"",""))), 
          0
       ),
     ""[hh]:mm""
   )
)
"),"01:40")</f>
        <v>01:40</v>
      </c>
      <c r="AJ1307" s="27">
        <f t="shared" si="16"/>
        <v>0</v>
      </c>
      <c r="AK1307" s="63" t="str">
        <f t="shared" si="17"/>
        <v>Pass</v>
      </c>
    </row>
    <row r="1308">
      <c r="A1308" s="45">
        <v>46021.0</v>
      </c>
      <c r="B1308" s="49">
        <v>0.7326388888888888</v>
      </c>
      <c r="C1308" s="45">
        <v>46021.0</v>
      </c>
      <c r="D1308" s="49">
        <v>0.7458333333333333</v>
      </c>
      <c r="E1308" s="21" t="s">
        <v>9400</v>
      </c>
      <c r="F1308" s="21" t="s">
        <v>1336</v>
      </c>
      <c r="G1308" s="21" t="s">
        <v>9401</v>
      </c>
      <c r="H1308" s="21" t="s">
        <v>1610</v>
      </c>
      <c r="I1308" s="21" t="s">
        <v>1612</v>
      </c>
      <c r="J1308" s="21" t="s">
        <v>1612</v>
      </c>
      <c r="K1308" s="21" t="s">
        <v>143</v>
      </c>
      <c r="L1308" s="21" t="s">
        <v>1613</v>
      </c>
      <c r="M1308" s="21" t="s">
        <v>9402</v>
      </c>
      <c r="N1308" s="21" t="s">
        <v>9403</v>
      </c>
      <c r="O1308" s="48" t="s">
        <v>9404</v>
      </c>
      <c r="P1308" s="21" t="s">
        <v>187</v>
      </c>
      <c r="Q1308" s="24" t="s">
        <v>65</v>
      </c>
      <c r="R1308" s="21" t="s">
        <v>9405</v>
      </c>
      <c r="S1308" s="21" t="s">
        <v>51</v>
      </c>
      <c r="T1308" s="21" t="s">
        <v>52</v>
      </c>
      <c r="U1308" s="21" t="s">
        <v>52</v>
      </c>
      <c r="V1308" s="21" t="s">
        <v>52</v>
      </c>
      <c r="W1308" s="45">
        <v>46022.0</v>
      </c>
      <c r="X1308" s="49">
        <v>0.2916666666666667</v>
      </c>
      <c r="Y1308" s="45">
        <v>46022.0</v>
      </c>
      <c r="Z1308" s="49">
        <v>0.4638888888888889</v>
      </c>
      <c r="AA1308" s="49">
        <v>0.4652777777777778</v>
      </c>
      <c r="AB1308" s="25">
        <v>0.5</v>
      </c>
      <c r="AC1308" s="25">
        <v>0.5416666666666666</v>
      </c>
      <c r="AD1308" s="25">
        <v>0.5555555555555556</v>
      </c>
      <c r="AE1308" s="45">
        <v>46022.0</v>
      </c>
      <c r="AF1308" s="21" t="s">
        <v>2839</v>
      </c>
      <c r="AG1308" s="21" t="s">
        <v>775</v>
      </c>
      <c r="AH1308" s="21" t="s">
        <v>9406</v>
      </c>
      <c r="AI1308" s="62" t="str">
        <f>IFERROR(__xludf.DUMMYFUNCTION("IF(OR(W1308="""",X1308="""",AE1308="""",AD1308=""""),"""",
   TEXT(
     (
       (AE1308+AD1308 + IF(AE1308+AD1308 &lt; W1308+X1308,1,0)) - (W1308+X1308)
     )
     - IF(AND(AB1308&lt;&gt;"""",AC1308&lt;&gt;""""), 
          SUM(ARRAYFORMULA(SPLIT(AC1308,"","") - SPLI"&amp;"T(AB1308,"",""))), 
          0
       ),
     ""[hh]:mm""
   )
)
"),"05:20")</f>
        <v>05:20</v>
      </c>
      <c r="AJ1308" s="27">
        <f t="shared" si="16"/>
        <v>0</v>
      </c>
      <c r="AK1308" s="63" t="str">
        <f t="shared" si="17"/>
        <v>Pass</v>
      </c>
    </row>
    <row r="1309">
      <c r="A1309" s="45">
        <v>46021.0</v>
      </c>
      <c r="B1309" s="49">
        <v>0.73125</v>
      </c>
      <c r="C1309" s="45">
        <v>46021.0</v>
      </c>
      <c r="D1309" s="49">
        <v>0.7458333333333333</v>
      </c>
      <c r="E1309" s="21" t="s">
        <v>9407</v>
      </c>
      <c r="F1309" s="21" t="s">
        <v>1336</v>
      </c>
      <c r="G1309" s="21" t="s">
        <v>9401</v>
      </c>
      <c r="H1309" s="21" t="s">
        <v>1610</v>
      </c>
      <c r="I1309" s="21" t="s">
        <v>1612</v>
      </c>
      <c r="J1309" s="21" t="s">
        <v>1612</v>
      </c>
      <c r="K1309" s="21" t="s">
        <v>143</v>
      </c>
      <c r="L1309" s="21" t="s">
        <v>1613</v>
      </c>
      <c r="M1309" s="21" t="s">
        <v>9408</v>
      </c>
      <c r="N1309" s="21" t="s">
        <v>9403</v>
      </c>
      <c r="O1309" s="48" t="s">
        <v>9404</v>
      </c>
      <c r="P1309" s="21" t="s">
        <v>187</v>
      </c>
      <c r="Q1309" s="24" t="s">
        <v>65</v>
      </c>
      <c r="R1309" s="21" t="s">
        <v>9405</v>
      </c>
      <c r="S1309" s="21" t="s">
        <v>51</v>
      </c>
      <c r="T1309" s="21" t="s">
        <v>52</v>
      </c>
      <c r="U1309" s="21" t="s">
        <v>52</v>
      </c>
      <c r="V1309" s="21" t="s">
        <v>52</v>
      </c>
      <c r="W1309" s="45">
        <v>46022.0</v>
      </c>
      <c r="X1309" s="49">
        <v>0.2916666666666667</v>
      </c>
      <c r="Y1309" s="45">
        <v>46022.0</v>
      </c>
      <c r="Z1309" s="49">
        <v>0.4638888888888889</v>
      </c>
      <c r="AA1309" s="49">
        <v>0.4652777777777778</v>
      </c>
      <c r="AB1309" s="25">
        <v>0.5</v>
      </c>
      <c r="AC1309" s="25">
        <v>0.5416666666666666</v>
      </c>
      <c r="AD1309" s="25">
        <v>0.5555555555555556</v>
      </c>
      <c r="AE1309" s="45">
        <v>46022.0</v>
      </c>
      <c r="AF1309" s="21" t="s">
        <v>2839</v>
      </c>
      <c r="AG1309" s="21" t="s">
        <v>775</v>
      </c>
      <c r="AH1309" s="21" t="s">
        <v>9406</v>
      </c>
      <c r="AI1309" s="62" t="str">
        <f>IFERROR(__xludf.DUMMYFUNCTION("IF(OR(W1309="""",X1309="""",AE1309="""",AD1309=""""),"""",
   TEXT(
     (
       (AE1309+AD1309 + IF(AE1309+AD1309 &lt; W1309+X1309,1,0)) - (W1309+X1309)
     )
     - IF(AND(AB1309&lt;&gt;"""",AC1309&lt;&gt;""""), 
          SUM(ARRAYFORMULA(SPLIT(AC1309,"","") - SPLI"&amp;"T(AB1309,"",""))), 
          0
       ),
     ""[hh]:mm""
   )
)
"),"05:20")</f>
        <v>05:20</v>
      </c>
      <c r="AJ1309" s="27">
        <f t="shared" si="16"/>
        <v>0</v>
      </c>
      <c r="AK1309" s="63" t="str">
        <f t="shared" si="17"/>
        <v>Pass</v>
      </c>
    </row>
    <row r="1310">
      <c r="A1310" s="45">
        <v>46021.0</v>
      </c>
      <c r="B1310" s="49">
        <v>0.51875</v>
      </c>
      <c r="C1310" s="45">
        <v>46021.0</v>
      </c>
      <c r="D1310" s="49">
        <v>0.51875</v>
      </c>
      <c r="E1310" s="21" t="s">
        <v>9409</v>
      </c>
      <c r="F1310" s="21" t="s">
        <v>1734</v>
      </c>
      <c r="G1310" s="21" t="s">
        <v>5720</v>
      </c>
      <c r="H1310" s="21" t="s">
        <v>9410</v>
      </c>
      <c r="I1310" s="21" t="s">
        <v>234</v>
      </c>
      <c r="J1310" s="21" t="s">
        <v>3813</v>
      </c>
      <c r="K1310" s="21" t="s">
        <v>61</v>
      </c>
      <c r="L1310" s="21" t="s">
        <v>183</v>
      </c>
      <c r="M1310" s="21" t="s">
        <v>9411</v>
      </c>
      <c r="N1310" s="21" t="s">
        <v>9412</v>
      </c>
      <c r="O1310" s="48" t="s">
        <v>9413</v>
      </c>
      <c r="P1310" s="21" t="s">
        <v>187</v>
      </c>
      <c r="Q1310" s="24" t="s">
        <v>65</v>
      </c>
      <c r="R1310" s="21" t="s">
        <v>9414</v>
      </c>
      <c r="S1310" s="21" t="s">
        <v>51</v>
      </c>
      <c r="T1310" s="21" t="s">
        <v>52</v>
      </c>
      <c r="U1310" s="21" t="s">
        <v>52</v>
      </c>
      <c r="V1310" s="21" t="s">
        <v>52</v>
      </c>
      <c r="W1310" s="45">
        <v>46021.0</v>
      </c>
      <c r="X1310" s="49">
        <v>0.51875</v>
      </c>
      <c r="Y1310" s="45">
        <v>46021.0</v>
      </c>
      <c r="Z1310" s="49">
        <v>0.51875</v>
      </c>
      <c r="AA1310" s="49">
        <v>0.775</v>
      </c>
      <c r="AB1310" s="29"/>
      <c r="AC1310" s="29"/>
      <c r="AD1310" s="25">
        <v>0.8236111111111111</v>
      </c>
      <c r="AE1310" s="45">
        <v>46021.0</v>
      </c>
      <c r="AF1310" s="21" t="s">
        <v>9415</v>
      </c>
      <c r="AG1310" s="21" t="s">
        <v>6503</v>
      </c>
      <c r="AH1310" s="21" t="s">
        <v>9416</v>
      </c>
      <c r="AI1310" s="62" t="str">
        <f>IFERROR(__xludf.DUMMYFUNCTION("IF(OR(W1310="""",X1310="""",AE1310="""",AD1310=""""),"""",
   TEXT(
     (
       (AE1310+AD1310 + IF(AE1310+AD1310 &lt; W1310+X1310,1,0)) - (W1310+X1310)
     )
     - IF(AND(AB1310&lt;&gt;"""",AC1310&lt;&gt;""""), 
          SUM(ARRAYFORMULA(SPLIT(AC1310,"","") - SPLI"&amp;"T(AB1310,"",""))), 
          0
       ),
     ""[hh]:mm""
   )
)
"),"07:19")</f>
        <v>07:19</v>
      </c>
      <c r="AJ1310" s="27">
        <f t="shared" si="16"/>
        <v>0</v>
      </c>
      <c r="AK1310" s="63" t="str">
        <f t="shared" si="17"/>
        <v>Pass</v>
      </c>
    </row>
    <row r="1311">
      <c r="A1311" s="45">
        <v>46022.0</v>
      </c>
      <c r="B1311" s="49">
        <v>0.36875</v>
      </c>
      <c r="C1311" s="45">
        <v>46022.0</v>
      </c>
      <c r="D1311" s="49">
        <v>0.3736111111111111</v>
      </c>
      <c r="E1311" s="21" t="s">
        <v>9417</v>
      </c>
      <c r="F1311" s="21" t="s">
        <v>1792</v>
      </c>
      <c r="G1311" s="21" t="s">
        <v>1793</v>
      </c>
      <c r="H1311" s="21" t="s">
        <v>377</v>
      </c>
      <c r="I1311" s="21" t="s">
        <v>234</v>
      </c>
      <c r="J1311" s="21" t="s">
        <v>3813</v>
      </c>
      <c r="K1311" s="21" t="s">
        <v>61</v>
      </c>
      <c r="L1311" s="21" t="s">
        <v>183</v>
      </c>
      <c r="M1311" s="21" t="s">
        <v>9418</v>
      </c>
      <c r="N1311" s="21" t="s">
        <v>9419</v>
      </c>
      <c r="O1311" s="48" t="s">
        <v>9420</v>
      </c>
      <c r="P1311" s="21" t="s">
        <v>75</v>
      </c>
      <c r="Q1311" s="24" t="s">
        <v>65</v>
      </c>
      <c r="R1311" s="21" t="s">
        <v>9421</v>
      </c>
      <c r="S1311" s="21" t="s">
        <v>51</v>
      </c>
      <c r="T1311" s="21" t="s">
        <v>52</v>
      </c>
      <c r="U1311" s="21" t="s">
        <v>52</v>
      </c>
      <c r="V1311" s="21" t="s">
        <v>52</v>
      </c>
      <c r="W1311" s="45">
        <v>46022.0</v>
      </c>
      <c r="X1311" s="49">
        <v>0.3736111111111111</v>
      </c>
      <c r="Y1311" s="45">
        <v>46022.0</v>
      </c>
      <c r="Z1311" s="49">
        <v>0.4583333333333333</v>
      </c>
      <c r="AA1311" s="49">
        <v>0.4652777777777778</v>
      </c>
      <c r="AB1311" s="29"/>
      <c r="AC1311" s="29"/>
      <c r="AD1311" s="25">
        <v>0.5069444444444444</v>
      </c>
      <c r="AE1311" s="45">
        <v>46022.0</v>
      </c>
      <c r="AF1311" s="21" t="s">
        <v>2931</v>
      </c>
      <c r="AG1311" s="21" t="s">
        <v>293</v>
      </c>
      <c r="AH1311" s="21" t="s">
        <v>9422</v>
      </c>
      <c r="AI1311" s="62" t="str">
        <f>IFERROR(__xludf.DUMMYFUNCTION("IF(OR(W1311="""",X1311="""",AE1311="""",AD1311=""""),"""",
   TEXT(
     (
       (AE1311+AD1311 + IF(AE1311+AD1311 &lt; W1311+X1311,1,0)) - (W1311+X1311)
     )
     - IF(AND(AB1311&lt;&gt;"""",AC1311&lt;&gt;""""), 
          SUM(ARRAYFORMULA(SPLIT(AC1311,"","") - SPLI"&amp;"T(AB1311,"",""))), 
          0
       ),
     ""[hh]:mm""
   )
)
"),"03:12")</f>
        <v>03:12</v>
      </c>
      <c r="AJ1311" s="27">
        <f t="shared" si="16"/>
        <v>0</v>
      </c>
      <c r="AK1311" s="63" t="str">
        <f t="shared" si="17"/>
        <v>Pass</v>
      </c>
    </row>
    <row r="1312">
      <c r="A1312" s="45">
        <v>46022.0</v>
      </c>
      <c r="B1312" s="49">
        <v>0.4701388888888889</v>
      </c>
      <c r="C1312" s="45">
        <v>46022.0</v>
      </c>
      <c r="D1312" s="49">
        <v>0.48333333333333334</v>
      </c>
      <c r="E1312" s="21" t="s">
        <v>9423</v>
      </c>
      <c r="F1312" s="21" t="s">
        <v>3024</v>
      </c>
      <c r="G1312" s="21" t="s">
        <v>3025</v>
      </c>
      <c r="H1312" s="21" t="s">
        <v>1610</v>
      </c>
      <c r="I1312" s="21" t="s">
        <v>1612</v>
      </c>
      <c r="J1312" s="21" t="s">
        <v>1612</v>
      </c>
      <c r="K1312" s="21" t="s">
        <v>143</v>
      </c>
      <c r="L1312" s="21" t="s">
        <v>1613</v>
      </c>
      <c r="M1312" s="21" t="s">
        <v>9424</v>
      </c>
      <c r="N1312" s="21" t="s">
        <v>9425</v>
      </c>
      <c r="O1312" s="48" t="s">
        <v>9426</v>
      </c>
      <c r="P1312" s="21" t="s">
        <v>187</v>
      </c>
      <c r="Q1312" s="24" t="s">
        <v>65</v>
      </c>
      <c r="R1312" s="21" t="s">
        <v>9427</v>
      </c>
      <c r="S1312" s="21" t="s">
        <v>51</v>
      </c>
      <c r="T1312" s="21" t="s">
        <v>52</v>
      </c>
      <c r="U1312" s="21" t="s">
        <v>52</v>
      </c>
      <c r="V1312" s="21" t="s">
        <v>52</v>
      </c>
      <c r="W1312" s="45">
        <v>46022.0</v>
      </c>
      <c r="X1312" s="49">
        <v>0.48333333333333334</v>
      </c>
      <c r="Y1312" s="45">
        <v>46022.0</v>
      </c>
      <c r="Z1312" s="49">
        <v>0.6208333333333333</v>
      </c>
      <c r="AA1312" s="49">
        <v>0.6215277777777778</v>
      </c>
      <c r="AB1312" s="29"/>
      <c r="AC1312" s="29"/>
      <c r="AD1312" s="25">
        <v>0.7430555555555556</v>
      </c>
      <c r="AE1312" s="45">
        <v>46022.0</v>
      </c>
      <c r="AF1312" s="21" t="s">
        <v>2931</v>
      </c>
      <c r="AG1312" s="21" t="s">
        <v>9428</v>
      </c>
      <c r="AH1312" s="21" t="s">
        <v>9429</v>
      </c>
      <c r="AI1312" s="62" t="str">
        <f>IFERROR(__xludf.DUMMYFUNCTION("IF(OR(W1312="""",X1312="""",AE1312="""",AD1312=""""),"""",
   TEXT(
     (
       (AE1312+AD1312 + IF(AE1312+AD1312 &lt; W1312+X1312,1,0)) - (W1312+X1312)
     )
     - IF(AND(AB1312&lt;&gt;"""",AC1312&lt;&gt;""""), 
          SUM(ARRAYFORMULA(SPLIT(AC1312,"","") - SPLI"&amp;"T(AB1312,"",""))), 
          0
       ),
     ""[hh]:mm""
   )
)
"),"06:14")</f>
        <v>06:14</v>
      </c>
      <c r="AJ1312" s="27">
        <f t="shared" si="16"/>
        <v>0</v>
      </c>
      <c r="AK1312" s="63" t="str">
        <f t="shared" si="17"/>
        <v>Pass</v>
      </c>
    </row>
    <row r="1313">
      <c r="A1313" s="45">
        <v>46022.0</v>
      </c>
      <c r="B1313" s="49">
        <v>0.4701388888888889</v>
      </c>
      <c r="C1313" s="45">
        <v>46022.0</v>
      </c>
      <c r="D1313" s="49">
        <v>0.48333333333333334</v>
      </c>
      <c r="E1313" s="21" t="s">
        <v>9430</v>
      </c>
      <c r="F1313" s="21" t="s">
        <v>3024</v>
      </c>
      <c r="G1313" s="21" t="s">
        <v>3025</v>
      </c>
      <c r="H1313" s="21" t="s">
        <v>1610</v>
      </c>
      <c r="I1313" s="21" t="s">
        <v>1612</v>
      </c>
      <c r="J1313" s="21" t="s">
        <v>1612</v>
      </c>
      <c r="K1313" s="21" t="s">
        <v>143</v>
      </c>
      <c r="L1313" s="21" t="s">
        <v>1613</v>
      </c>
      <c r="M1313" s="21" t="s">
        <v>9431</v>
      </c>
      <c r="N1313" s="21" t="s">
        <v>9425</v>
      </c>
      <c r="O1313" s="48" t="s">
        <v>9426</v>
      </c>
      <c r="P1313" s="21" t="s">
        <v>187</v>
      </c>
      <c r="Q1313" s="24" t="s">
        <v>65</v>
      </c>
      <c r="R1313" s="21" t="s">
        <v>9427</v>
      </c>
      <c r="S1313" s="21" t="s">
        <v>51</v>
      </c>
      <c r="T1313" s="21" t="s">
        <v>52</v>
      </c>
      <c r="U1313" s="21" t="s">
        <v>52</v>
      </c>
      <c r="V1313" s="21" t="s">
        <v>52</v>
      </c>
      <c r="W1313" s="45">
        <v>46022.0</v>
      </c>
      <c r="X1313" s="49">
        <v>0.48333333333333334</v>
      </c>
      <c r="Y1313" s="45">
        <v>46022.0</v>
      </c>
      <c r="Z1313" s="49">
        <v>0.6208333333333333</v>
      </c>
      <c r="AA1313" s="49">
        <v>0.6215277777777778</v>
      </c>
      <c r="AB1313" s="29"/>
      <c r="AC1313" s="29"/>
      <c r="AD1313" s="25">
        <v>0.7430555555555556</v>
      </c>
      <c r="AE1313" s="45">
        <v>46022.0</v>
      </c>
      <c r="AF1313" s="21" t="s">
        <v>2931</v>
      </c>
      <c r="AG1313" s="21" t="s">
        <v>9428</v>
      </c>
      <c r="AH1313" s="21" t="s">
        <v>9429</v>
      </c>
      <c r="AI1313" s="62" t="str">
        <f>IFERROR(__xludf.DUMMYFUNCTION("IF(OR(W1313="""",X1313="""",AE1313="""",AD1313=""""),"""",
   TEXT(
     (
       (AE1313+AD1313 + IF(AE1313+AD1313 &lt; W1313+X1313,1,0)) - (W1313+X1313)
     )
     - IF(AND(AB1313&lt;&gt;"""",AC1313&lt;&gt;""""), 
          SUM(ARRAYFORMULA(SPLIT(AC1313,"","") - SPLI"&amp;"T(AB1313,"",""))), 
          0
       ),
     ""[hh]:mm""
   )
)
"),"06:14")</f>
        <v>06:14</v>
      </c>
      <c r="AJ1313" s="27">
        <f t="shared" si="16"/>
        <v>0</v>
      </c>
      <c r="AK1313" s="63" t="str">
        <f t="shared" si="17"/>
        <v>Pass</v>
      </c>
    </row>
    <row r="1314">
      <c r="A1314" s="45">
        <v>46022.0</v>
      </c>
      <c r="B1314" s="49">
        <v>0.5923611111111111</v>
      </c>
      <c r="C1314" s="45">
        <v>46022.0</v>
      </c>
      <c r="D1314" s="49">
        <v>0.5965277777777778</v>
      </c>
      <c r="E1314" s="21" t="s">
        <v>9432</v>
      </c>
      <c r="F1314" s="21" t="s">
        <v>154</v>
      </c>
      <c r="G1314" s="21" t="s">
        <v>155</v>
      </c>
      <c r="H1314" s="21" t="s">
        <v>566</v>
      </c>
      <c r="I1314" s="21" t="s">
        <v>234</v>
      </c>
      <c r="J1314" s="21" t="s">
        <v>3813</v>
      </c>
      <c r="K1314" s="21" t="s">
        <v>61</v>
      </c>
      <c r="L1314" s="21" t="s">
        <v>183</v>
      </c>
      <c r="M1314" s="21" t="s">
        <v>9433</v>
      </c>
      <c r="N1314" s="21" t="s">
        <v>9434</v>
      </c>
      <c r="O1314" s="48" t="s">
        <v>9435</v>
      </c>
      <c r="P1314" s="21" t="s">
        <v>75</v>
      </c>
      <c r="Q1314" s="24" t="s">
        <v>198</v>
      </c>
      <c r="R1314" s="21" t="s">
        <v>9436</v>
      </c>
      <c r="S1314" s="21" t="s">
        <v>51</v>
      </c>
      <c r="T1314" s="21" t="s">
        <v>52</v>
      </c>
      <c r="U1314" s="21" t="s">
        <v>52</v>
      </c>
      <c r="V1314" s="21" t="s">
        <v>52</v>
      </c>
      <c r="W1314" s="45">
        <v>46022.0</v>
      </c>
      <c r="X1314" s="49">
        <v>0.5965277777777778</v>
      </c>
      <c r="Y1314" s="45">
        <v>46022.0</v>
      </c>
      <c r="Z1314" s="49">
        <v>0.6347222222222222</v>
      </c>
      <c r="AA1314" s="49">
        <v>0.6361111111111111</v>
      </c>
      <c r="AB1314" s="29"/>
      <c r="AC1314" s="29"/>
      <c r="AD1314" s="25">
        <v>0.6444444444444445</v>
      </c>
      <c r="AE1314" s="45">
        <v>46022.0</v>
      </c>
      <c r="AF1314" s="21" t="s">
        <v>7250</v>
      </c>
      <c r="AG1314" s="21" t="s">
        <v>162</v>
      </c>
      <c r="AH1314" s="21" t="s">
        <v>9437</v>
      </c>
      <c r="AI1314" s="62" t="str">
        <f>IFERROR(__xludf.DUMMYFUNCTION("IF(OR(W1314="""",X1314="""",AE1314="""",AD1314=""""),"""",
   TEXT(
     (
       (AE1314+AD1314 + IF(AE1314+AD1314 &lt; W1314+X1314,1,0)) - (W1314+X1314)
     )
     - IF(AND(AB1314&lt;&gt;"""",AC1314&lt;&gt;""""), 
          SUM(ARRAYFORMULA(SPLIT(AC1314,"","") - SPLI"&amp;"T(AB1314,"",""))), 
          0
       ),
     ""[hh]:mm""
   )
)
"),"01:09")</f>
        <v>01:09</v>
      </c>
      <c r="AJ1314" s="27">
        <f t="shared" si="16"/>
        <v>0</v>
      </c>
      <c r="AK1314" s="63" t="str">
        <f t="shared" si="17"/>
        <v>Pass</v>
      </c>
    </row>
    <row r="1315">
      <c r="A1315" s="18">
        <v>46022.0</v>
      </c>
      <c r="B1315" s="20">
        <v>0.60625</v>
      </c>
      <c r="C1315" s="18">
        <v>46022.0</v>
      </c>
      <c r="D1315" s="20">
        <v>0.6083333333333333</v>
      </c>
      <c r="E1315" s="22" t="s">
        <v>9438</v>
      </c>
      <c r="F1315" s="22" t="s">
        <v>1306</v>
      </c>
      <c r="G1315" s="22" t="s">
        <v>1307</v>
      </c>
      <c r="H1315" s="22" t="s">
        <v>1610</v>
      </c>
      <c r="I1315" s="22" t="s">
        <v>1612</v>
      </c>
      <c r="J1315" s="22" t="s">
        <v>1612</v>
      </c>
      <c r="K1315" s="22" t="s">
        <v>143</v>
      </c>
      <c r="L1315" s="22" t="s">
        <v>1613</v>
      </c>
      <c r="M1315" s="22" t="s">
        <v>9439</v>
      </c>
      <c r="N1315" s="22" t="s">
        <v>5367</v>
      </c>
      <c r="O1315" s="23" t="s">
        <v>9440</v>
      </c>
      <c r="P1315" s="22" t="s">
        <v>187</v>
      </c>
      <c r="Q1315" s="50" t="s">
        <v>65</v>
      </c>
      <c r="R1315" s="22" t="s">
        <v>5822</v>
      </c>
      <c r="S1315" s="22" t="s">
        <v>51</v>
      </c>
      <c r="T1315" s="22" t="s">
        <v>52</v>
      </c>
      <c r="U1315" s="22" t="s">
        <v>52</v>
      </c>
      <c r="V1315" s="22" t="s">
        <v>52</v>
      </c>
      <c r="W1315" s="18">
        <v>46023.0</v>
      </c>
      <c r="X1315" s="75">
        <v>0.44375</v>
      </c>
      <c r="Y1315" s="18">
        <v>46023.0</v>
      </c>
      <c r="Z1315" s="20">
        <v>0.48541666666666666</v>
      </c>
      <c r="AA1315" s="20">
        <v>0.4861111111111111</v>
      </c>
      <c r="AB1315" s="51">
        <v>0.5034722222222222</v>
      </c>
      <c r="AC1315" s="51">
        <v>0.5381944444444444</v>
      </c>
      <c r="AD1315" s="51">
        <v>0.5416666666666666</v>
      </c>
      <c r="AE1315" s="18">
        <v>46023.0</v>
      </c>
      <c r="AF1315" s="22" t="s">
        <v>5717</v>
      </c>
      <c r="AG1315" s="22" t="s">
        <v>162</v>
      </c>
      <c r="AH1315" s="22" t="s">
        <v>1604</v>
      </c>
      <c r="AI1315" s="26" t="str">
        <f>IFERROR(__xludf.DUMMYFUNCTION("IF(OR(W1315="""",X1315="""",AE1315="""",AD1315=""""),"""",
   TEXT(
     (
       (AE1315+AD1315 + IF(AE1315+AD1315 &lt; W1315+X1315,1,0)) - (W1315+X1315)
     )
     - IF(AND(AB1315&lt;&gt;"""",AC1315&lt;&gt;""""), 
          SUM(ARRAYFORMULA(SPLIT(AC1315,"","") - SPLI"&amp;"T(AB1315,"",""))), 
          0
       ),
     ""[hh]:mm""
   )
)
"),"01:31")</f>
        <v>01:31</v>
      </c>
      <c r="AJ1315" s="55">
        <f t="shared" si="16"/>
        <v>0</v>
      </c>
      <c r="AK1315" s="28" t="str">
        <f t="shared" si="17"/>
        <v>Pass</v>
      </c>
    </row>
    <row r="1316">
      <c r="A1316" s="18">
        <v>46022.0</v>
      </c>
      <c r="B1316" s="20">
        <v>0.9138888888888889</v>
      </c>
      <c r="C1316" s="18">
        <v>46023.0</v>
      </c>
      <c r="D1316" s="20">
        <v>0.37777777777777777</v>
      </c>
      <c r="E1316" s="22" t="s">
        <v>9441</v>
      </c>
      <c r="F1316" s="22" t="s">
        <v>3982</v>
      </c>
      <c r="G1316" s="22" t="s">
        <v>3983</v>
      </c>
      <c r="H1316" s="22" t="s">
        <v>566</v>
      </c>
      <c r="I1316" s="22" t="s">
        <v>567</v>
      </c>
      <c r="J1316" s="22" t="s">
        <v>567</v>
      </c>
      <c r="K1316" s="22" t="s">
        <v>9442</v>
      </c>
      <c r="L1316" s="22" t="s">
        <v>2902</v>
      </c>
      <c r="M1316" s="22" t="s">
        <v>9443</v>
      </c>
      <c r="N1316" s="22" t="s">
        <v>9444</v>
      </c>
      <c r="O1316" s="23" t="s">
        <v>9445</v>
      </c>
      <c r="P1316" s="22" t="s">
        <v>48</v>
      </c>
      <c r="Q1316" s="50" t="s">
        <v>65</v>
      </c>
      <c r="R1316" s="22" t="s">
        <v>9446</v>
      </c>
      <c r="S1316" s="22" t="s">
        <v>51</v>
      </c>
      <c r="T1316" s="22" t="s">
        <v>52</v>
      </c>
      <c r="U1316" s="22" t="s">
        <v>52</v>
      </c>
      <c r="V1316" s="22" t="s">
        <v>52</v>
      </c>
      <c r="W1316" s="18">
        <v>46023.0</v>
      </c>
      <c r="X1316" s="20">
        <v>0.37777777777777777</v>
      </c>
      <c r="Y1316" s="18">
        <v>46023.0</v>
      </c>
      <c r="Z1316" s="20">
        <v>0.4513888888888889</v>
      </c>
      <c r="AA1316" s="20">
        <v>0.4618055555555556</v>
      </c>
      <c r="AB1316" s="54"/>
      <c r="AC1316" s="54"/>
      <c r="AD1316" s="51">
        <v>0.5034722222222222</v>
      </c>
      <c r="AE1316" s="18">
        <v>46023.0</v>
      </c>
      <c r="AF1316" s="22" t="s">
        <v>2711</v>
      </c>
      <c r="AG1316" s="22" t="s">
        <v>293</v>
      </c>
      <c r="AH1316" s="22" t="s">
        <v>9447</v>
      </c>
      <c r="AI1316" s="26" t="str">
        <f>IFERROR(__xludf.DUMMYFUNCTION("IF(OR(W1316="""",X1316="""",AE1316="""",AD1316=""""),"""",
   TEXT(
     (
       (AE1316+AD1316 + IF(AE1316+AD1316 &lt; W1316+X1316,1,0)) - (W1316+X1316)
     )
     - IF(AND(AB1316&lt;&gt;"""",AC1316&lt;&gt;""""), 
          SUM(ARRAYFORMULA(SPLIT(AC1316,"","") - SPLI"&amp;"T(AB1316,"",""))), 
          0
       ),
     ""[hh]:mm""
   )
)
"),"03:01")</f>
        <v>03:01</v>
      </c>
      <c r="AJ1316" s="55">
        <f t="shared" si="16"/>
        <v>0</v>
      </c>
      <c r="AK1316" s="28" t="str">
        <f t="shared" si="17"/>
        <v>Pass</v>
      </c>
    </row>
    <row r="1317">
      <c r="A1317" s="18">
        <v>46023.0</v>
      </c>
      <c r="B1317" s="20">
        <v>0.32708333333333334</v>
      </c>
      <c r="C1317" s="18">
        <v>46023.0</v>
      </c>
      <c r="D1317" s="75">
        <v>0.375</v>
      </c>
      <c r="E1317" s="22" t="s">
        <v>9448</v>
      </c>
      <c r="F1317" s="22" t="s">
        <v>2617</v>
      </c>
      <c r="G1317" s="22" t="s">
        <v>2618</v>
      </c>
      <c r="H1317" s="22" t="s">
        <v>59</v>
      </c>
      <c r="I1317" s="22" t="s">
        <v>60</v>
      </c>
      <c r="J1317" s="22" t="s">
        <v>3813</v>
      </c>
      <c r="K1317" s="22" t="s">
        <v>61</v>
      </c>
      <c r="L1317" s="22" t="s">
        <v>183</v>
      </c>
      <c r="M1317" s="22" t="s">
        <v>9449</v>
      </c>
      <c r="N1317" s="22" t="s">
        <v>9450</v>
      </c>
      <c r="O1317" s="23" t="s">
        <v>9451</v>
      </c>
      <c r="P1317" s="22" t="s">
        <v>75</v>
      </c>
      <c r="Q1317" s="50" t="s">
        <v>49</v>
      </c>
      <c r="R1317" s="22" t="s">
        <v>9452</v>
      </c>
      <c r="S1317" s="22" t="s">
        <v>51</v>
      </c>
      <c r="T1317" s="22" t="s">
        <v>52</v>
      </c>
      <c r="U1317" s="22" t="s">
        <v>52</v>
      </c>
      <c r="V1317" s="22" t="s">
        <v>52</v>
      </c>
      <c r="W1317" s="18">
        <v>46023.0</v>
      </c>
      <c r="X1317" s="75">
        <v>0.375</v>
      </c>
      <c r="Y1317" s="18">
        <v>46023.0</v>
      </c>
      <c r="Z1317" s="20">
        <v>0.4375</v>
      </c>
      <c r="AA1317" s="20">
        <v>0.4409722222222222</v>
      </c>
      <c r="AB1317" s="54"/>
      <c r="AC1317" s="54"/>
      <c r="AD1317" s="51">
        <v>0.4513888888888889</v>
      </c>
      <c r="AE1317" s="18">
        <v>46023.0</v>
      </c>
      <c r="AF1317" s="22" t="s">
        <v>7020</v>
      </c>
      <c r="AG1317" s="22" t="s">
        <v>54</v>
      </c>
      <c r="AH1317" s="22" t="s">
        <v>2624</v>
      </c>
      <c r="AI1317" s="26" t="str">
        <f>IFERROR(__xludf.DUMMYFUNCTION("IF(OR(W1317="""",X1317="""",AE1317="""",AD1317=""""),"""",
   TEXT(
     (
       (AE1317+AD1317 + IF(AE1317+AD1317 &lt; W1317+X1317,1,0)) - (W1317+X1317)
     )
     - IF(AND(AB1317&lt;&gt;"""",AC1317&lt;&gt;""""), 
          SUM(ARRAYFORMULA(SPLIT(AC1317,"","") - SPLI"&amp;"T(AB1317,"",""))), 
          0
       ),
     ""[hh]:mm""
   )
)
"),"01:50")</f>
        <v>01:50</v>
      </c>
      <c r="AJ1317" s="55">
        <f t="shared" si="16"/>
        <v>0</v>
      </c>
      <c r="AK1317" s="28" t="str">
        <f t="shared" si="17"/>
        <v>Pass</v>
      </c>
    </row>
    <row r="1318">
      <c r="A1318" s="18">
        <v>46023.0</v>
      </c>
      <c r="B1318" s="20">
        <v>0.32708333333333334</v>
      </c>
      <c r="C1318" s="18">
        <v>46023.0</v>
      </c>
      <c r="D1318" s="75">
        <v>0.375</v>
      </c>
      <c r="E1318" s="22" t="s">
        <v>9453</v>
      </c>
      <c r="F1318" s="22" t="s">
        <v>2617</v>
      </c>
      <c r="G1318" s="22" t="s">
        <v>2618</v>
      </c>
      <c r="H1318" s="22" t="s">
        <v>59</v>
      </c>
      <c r="I1318" s="22" t="s">
        <v>234</v>
      </c>
      <c r="J1318" s="22" t="s">
        <v>3813</v>
      </c>
      <c r="K1318" s="22" t="s">
        <v>61</v>
      </c>
      <c r="L1318" s="22" t="s">
        <v>183</v>
      </c>
      <c r="M1318" s="22" t="s">
        <v>9454</v>
      </c>
      <c r="N1318" s="22" t="s">
        <v>9455</v>
      </c>
      <c r="O1318" s="23" t="s">
        <v>9451</v>
      </c>
      <c r="P1318" s="22" t="s">
        <v>75</v>
      </c>
      <c r="Q1318" s="50" t="s">
        <v>49</v>
      </c>
      <c r="R1318" s="22" t="s">
        <v>9452</v>
      </c>
      <c r="S1318" s="22" t="s">
        <v>51</v>
      </c>
      <c r="T1318" s="22" t="s">
        <v>52</v>
      </c>
      <c r="U1318" s="22" t="s">
        <v>52</v>
      </c>
      <c r="V1318" s="22" t="s">
        <v>52</v>
      </c>
      <c r="W1318" s="18">
        <v>46023.0</v>
      </c>
      <c r="X1318" s="75">
        <v>0.375</v>
      </c>
      <c r="Y1318" s="18">
        <v>46023.0</v>
      </c>
      <c r="Z1318" s="20">
        <v>0.4375</v>
      </c>
      <c r="AA1318" s="20">
        <v>0.4409722222222222</v>
      </c>
      <c r="AB1318" s="54"/>
      <c r="AC1318" s="54"/>
      <c r="AD1318" s="51">
        <v>0.4513888888888889</v>
      </c>
      <c r="AE1318" s="18">
        <v>46023.0</v>
      </c>
      <c r="AF1318" s="22" t="s">
        <v>7020</v>
      </c>
      <c r="AG1318" s="22" t="s">
        <v>54</v>
      </c>
      <c r="AH1318" s="22" t="s">
        <v>2624</v>
      </c>
      <c r="AI1318" s="26" t="str">
        <f>IFERROR(__xludf.DUMMYFUNCTION("IF(OR(W1318="""",X1318="""",AE1318="""",AD1318=""""),"""",
   TEXT(
     (
       (AE1318+AD1318 + IF(AE1318+AD1318 &lt; W1318+X1318,1,0)) - (W1318+X1318)
     )
     - IF(AND(AB1318&lt;&gt;"""",AC1318&lt;&gt;""""), 
          SUM(ARRAYFORMULA(SPLIT(AC1318,"","") - SPLI"&amp;"T(AB1318,"",""))), 
          0
       ),
     ""[hh]:mm""
   )
)
"),"01:50")</f>
        <v>01:50</v>
      </c>
      <c r="AJ1318" s="55">
        <f t="shared" si="16"/>
        <v>0</v>
      </c>
      <c r="AK1318" s="28" t="str">
        <f t="shared" si="17"/>
        <v>Pass</v>
      </c>
    </row>
    <row r="1319">
      <c r="A1319" s="45">
        <v>46023.0</v>
      </c>
      <c r="B1319" s="49">
        <v>0.4097222222222222</v>
      </c>
      <c r="C1319" s="45">
        <v>46023.0</v>
      </c>
      <c r="D1319" s="76">
        <v>0.44375</v>
      </c>
      <c r="E1319" s="21" t="s">
        <v>9456</v>
      </c>
      <c r="F1319" s="21" t="s">
        <v>9457</v>
      </c>
      <c r="G1319" s="21" t="s">
        <v>9458</v>
      </c>
      <c r="H1319" s="21" t="s">
        <v>1610</v>
      </c>
      <c r="I1319" s="21" t="s">
        <v>1612</v>
      </c>
      <c r="J1319" s="21" t="s">
        <v>1612</v>
      </c>
      <c r="K1319" s="21" t="s">
        <v>143</v>
      </c>
      <c r="L1319" s="21" t="s">
        <v>1613</v>
      </c>
      <c r="M1319" s="21" t="s">
        <v>9459</v>
      </c>
      <c r="N1319" s="21" t="s">
        <v>9460</v>
      </c>
      <c r="O1319" s="48" t="s">
        <v>9461</v>
      </c>
      <c r="P1319" s="21" t="s">
        <v>187</v>
      </c>
      <c r="Q1319" s="24" t="s">
        <v>65</v>
      </c>
      <c r="R1319" s="21" t="s">
        <v>9462</v>
      </c>
      <c r="S1319" s="21" t="s">
        <v>51</v>
      </c>
      <c r="T1319" s="21" t="s">
        <v>52</v>
      </c>
      <c r="U1319" s="21" t="s">
        <v>52</v>
      </c>
      <c r="V1319" s="21" t="s">
        <v>52</v>
      </c>
      <c r="W1319" s="45">
        <v>46023.0</v>
      </c>
      <c r="X1319" s="76">
        <v>0.44375</v>
      </c>
      <c r="Y1319" s="45">
        <v>46023.0</v>
      </c>
      <c r="Z1319" s="49">
        <v>0.5118055555555555</v>
      </c>
      <c r="AA1319" s="49">
        <v>0.5138888888888888</v>
      </c>
      <c r="AB1319" s="29"/>
      <c r="AC1319" s="29"/>
      <c r="AD1319" s="25">
        <v>0.5763888888888888</v>
      </c>
      <c r="AE1319" s="45">
        <v>46023.0</v>
      </c>
      <c r="AF1319" s="21" t="s">
        <v>2931</v>
      </c>
      <c r="AG1319" s="21" t="s">
        <v>102</v>
      </c>
      <c r="AH1319" s="21" t="s">
        <v>9463</v>
      </c>
      <c r="AI1319" s="26" t="str">
        <f>IFERROR(__xludf.DUMMYFUNCTION("IF(OR(W1319="""",X1319="""",AE1319="""",AD1319=""""),"""",
   TEXT(
     (
       (AE1319+AD1319 + IF(AE1319+AD1319 &lt; W1319+X1319,1,0)) - (W1319+X1319)
     )
     - IF(AND(AB1319&lt;&gt;"""",AC1319&lt;&gt;""""), 
          SUM(ARRAYFORMULA(SPLIT(AC1319,"","") - SPLI"&amp;"T(AB1319,"",""))), 
          0
       ),
     ""[hh]:mm""
   )
)
"),"03:11")</f>
        <v>03:11</v>
      </c>
      <c r="AJ1319" s="55">
        <f t="shared" si="16"/>
        <v>0</v>
      </c>
      <c r="AK1319" s="28" t="str">
        <f t="shared" si="17"/>
        <v>Pass</v>
      </c>
    </row>
    <row r="1320">
      <c r="A1320" s="45">
        <v>46023.0</v>
      </c>
      <c r="B1320" s="49">
        <v>0.47638888888888886</v>
      </c>
      <c r="C1320" s="45">
        <v>46023.0</v>
      </c>
      <c r="D1320" s="49">
        <v>0.4861111111111111</v>
      </c>
      <c r="E1320" s="21" t="s">
        <v>9464</v>
      </c>
      <c r="F1320" s="21" t="s">
        <v>2193</v>
      </c>
      <c r="G1320" s="21" t="s">
        <v>2194</v>
      </c>
      <c r="H1320" s="21" t="s">
        <v>9465</v>
      </c>
      <c r="I1320" s="21" t="s">
        <v>616</v>
      </c>
      <c r="J1320" s="21" t="s">
        <v>2253</v>
      </c>
      <c r="K1320" s="21" t="s">
        <v>43</v>
      </c>
      <c r="L1320" s="21" t="s">
        <v>6144</v>
      </c>
      <c r="M1320" s="21" t="s">
        <v>7909</v>
      </c>
      <c r="N1320" s="21" t="s">
        <v>9466</v>
      </c>
      <c r="O1320" s="48" t="s">
        <v>9467</v>
      </c>
      <c r="P1320" s="21" t="s">
        <v>75</v>
      </c>
      <c r="Q1320" s="24" t="s">
        <v>65</v>
      </c>
      <c r="R1320" s="21" t="s">
        <v>9468</v>
      </c>
      <c r="S1320" s="21" t="s">
        <v>51</v>
      </c>
      <c r="T1320" s="21" t="s">
        <v>7360</v>
      </c>
      <c r="U1320" s="21" t="s">
        <v>52</v>
      </c>
      <c r="V1320" s="21" t="s">
        <v>52</v>
      </c>
      <c r="W1320" s="45">
        <v>46023.0</v>
      </c>
      <c r="X1320" s="49">
        <v>0.4861111111111111</v>
      </c>
      <c r="Y1320" s="45">
        <v>46023.0</v>
      </c>
      <c r="Z1320" s="49">
        <v>0.5902777777777778</v>
      </c>
      <c r="AA1320" s="49">
        <v>0.5916666666666667</v>
      </c>
      <c r="AB1320" s="25">
        <v>0.6326388888888889</v>
      </c>
      <c r="AC1320" s="25">
        <v>0.7097222222222223</v>
      </c>
      <c r="AD1320" s="25">
        <v>0.8076388888888889</v>
      </c>
      <c r="AE1320" s="45">
        <v>46023.0</v>
      </c>
      <c r="AF1320" s="21" t="s">
        <v>2744</v>
      </c>
      <c r="AG1320" s="21" t="s">
        <v>6108</v>
      </c>
      <c r="AH1320" s="21" t="s">
        <v>5101</v>
      </c>
      <c r="AI1320" s="26" t="str">
        <f>IFERROR(__xludf.DUMMYFUNCTION("IF(OR(W1320="""",X1320="""",AE1320="""",AD1320=""""),"""",
   TEXT(
     (
       (AE1320+AD1320 + IF(AE1320+AD1320 &lt; W1320+X1320,1,0)) - (W1320+X1320)
     )
     - IF(AND(AB1320&lt;&gt;"""",AC1320&lt;&gt;""""), 
          SUM(ARRAYFORMULA(SPLIT(AC1320,"","") - SPLI"&amp;"T(AB1320,"",""))), 
          0
       ),
     ""[hh]:mm""
   )
)
"),"05:52")</f>
        <v>05:52</v>
      </c>
      <c r="AJ1320" s="55">
        <f t="shared" si="16"/>
        <v>0</v>
      </c>
      <c r="AK1320" s="28" t="str">
        <f t="shared" si="17"/>
        <v>Pass</v>
      </c>
    </row>
    <row r="1321">
      <c r="A1321" s="45">
        <v>46023.0</v>
      </c>
      <c r="B1321" s="49">
        <v>0.6506944444444445</v>
      </c>
      <c r="C1321" s="45">
        <v>46023.0</v>
      </c>
      <c r="D1321" s="49">
        <v>0.6583333333333333</v>
      </c>
      <c r="E1321" s="21" t="s">
        <v>9469</v>
      </c>
      <c r="F1321" s="21" t="s">
        <v>3221</v>
      </c>
      <c r="G1321" s="21" t="s">
        <v>9470</v>
      </c>
      <c r="H1321" s="21" t="s">
        <v>1610</v>
      </c>
      <c r="I1321" s="21" t="s">
        <v>1612</v>
      </c>
      <c r="J1321" s="21" t="s">
        <v>1612</v>
      </c>
      <c r="K1321" s="21" t="s">
        <v>143</v>
      </c>
      <c r="L1321" s="21" t="s">
        <v>356</v>
      </c>
      <c r="M1321" s="21" t="s">
        <v>9471</v>
      </c>
      <c r="N1321" s="21" t="s">
        <v>9472</v>
      </c>
      <c r="O1321" s="48" t="s">
        <v>9473</v>
      </c>
      <c r="P1321" s="21" t="s">
        <v>75</v>
      </c>
      <c r="Q1321" s="24" t="s">
        <v>65</v>
      </c>
      <c r="R1321" s="21" t="s">
        <v>9474</v>
      </c>
      <c r="S1321" s="21" t="s">
        <v>51</v>
      </c>
      <c r="T1321" s="21" t="s">
        <v>52</v>
      </c>
      <c r="U1321" s="21" t="s">
        <v>52</v>
      </c>
      <c r="V1321" s="21" t="s">
        <v>52</v>
      </c>
      <c r="W1321" s="45">
        <v>46024.0</v>
      </c>
      <c r="X1321" s="49">
        <v>0.375</v>
      </c>
      <c r="Y1321" s="45">
        <v>46024.0</v>
      </c>
      <c r="Z1321" s="49">
        <v>0.4722222222222222</v>
      </c>
      <c r="AA1321" s="49">
        <v>0.4722222222222222</v>
      </c>
      <c r="AB1321" s="29"/>
      <c r="AC1321" s="29"/>
      <c r="AD1321" s="25">
        <v>0.4861111111111111</v>
      </c>
      <c r="AE1321" s="45">
        <v>46024.0</v>
      </c>
      <c r="AF1321" s="21" t="s">
        <v>2711</v>
      </c>
      <c r="AG1321" s="21" t="s">
        <v>3191</v>
      </c>
      <c r="AH1321" s="21" t="s">
        <v>9475</v>
      </c>
      <c r="AI1321" s="26" t="str">
        <f>IFERROR(__xludf.DUMMYFUNCTION("IF(OR(W1321="""",X1321="""",AE1321="""",AD1321=""""),"""",
   TEXT(
     (
       (AE1321+AD1321 + IF(AE1321+AD1321 &lt; W1321+X1321,1,0)) - (W1321+X1321)
     )
     - IF(AND(AB1321&lt;&gt;"""",AC1321&lt;&gt;""""), 
          SUM(ARRAYFORMULA(SPLIT(AC1321,"","") - SPLI"&amp;"T(AB1321,"",""))), 
          0
       ),
     ""[hh]:mm""
   )
)
"),"02:40")</f>
        <v>02:40</v>
      </c>
      <c r="AJ1321" s="55">
        <f t="shared" si="16"/>
        <v>0</v>
      </c>
      <c r="AK1321" s="28" t="str">
        <f t="shared" si="17"/>
        <v>Pass</v>
      </c>
    </row>
    <row r="1322">
      <c r="A1322" s="45">
        <v>46023.0</v>
      </c>
      <c r="B1322" s="49">
        <v>0.7576388888888889</v>
      </c>
      <c r="C1322" s="45">
        <v>46023.0</v>
      </c>
      <c r="D1322" s="49">
        <v>0.7652777777777777</v>
      </c>
      <c r="E1322" s="21" t="s">
        <v>9476</v>
      </c>
      <c r="F1322" s="21" t="s">
        <v>8841</v>
      </c>
      <c r="G1322" s="21" t="s">
        <v>8842</v>
      </c>
      <c r="H1322" s="21" t="s">
        <v>156</v>
      </c>
      <c r="I1322" s="21" t="s">
        <v>234</v>
      </c>
      <c r="J1322" s="21" t="s">
        <v>3806</v>
      </c>
      <c r="K1322" s="21" t="s">
        <v>43</v>
      </c>
      <c r="L1322" s="21" t="s">
        <v>6471</v>
      </c>
      <c r="M1322" s="21" t="s">
        <v>9477</v>
      </c>
      <c r="N1322" s="21" t="s">
        <v>9478</v>
      </c>
      <c r="O1322" s="48" t="s">
        <v>9479</v>
      </c>
      <c r="P1322" s="21" t="s">
        <v>75</v>
      </c>
      <c r="Q1322" s="24" t="s">
        <v>65</v>
      </c>
      <c r="R1322" s="102" t="s">
        <v>9480</v>
      </c>
      <c r="S1322" s="21" t="s">
        <v>51</v>
      </c>
      <c r="T1322" s="21" t="s">
        <v>6676</v>
      </c>
      <c r="U1322" s="21" t="s">
        <v>7716</v>
      </c>
      <c r="V1322" s="21" t="s">
        <v>9481</v>
      </c>
      <c r="W1322" s="45">
        <v>46023.0</v>
      </c>
      <c r="X1322" s="49">
        <v>0.7652777777777777</v>
      </c>
      <c r="Y1322" s="45">
        <v>46023.0</v>
      </c>
      <c r="Z1322" s="49">
        <v>0.8604166666666667</v>
      </c>
      <c r="AA1322" s="49">
        <v>0.8673611111111111</v>
      </c>
      <c r="AB1322" s="25">
        <v>0.8645833333333334</v>
      </c>
      <c r="AC1322" s="25">
        <v>0.9291666666666667</v>
      </c>
      <c r="AD1322" s="25">
        <v>0.9513888888888888</v>
      </c>
      <c r="AE1322" s="45">
        <v>46023.0</v>
      </c>
      <c r="AF1322" s="21" t="s">
        <v>6944</v>
      </c>
      <c r="AG1322" s="21" t="s">
        <v>2015</v>
      </c>
      <c r="AH1322" s="21" t="s">
        <v>9482</v>
      </c>
      <c r="AI1322" s="26" t="str">
        <f>IFERROR(__xludf.DUMMYFUNCTION("IF(OR(W1322="""",X1322="""",AE1322="""",AD1322=""""),"""",
   TEXT(
     (
       (AE1322+AD1322 + IF(AE1322+AD1322 &lt; W1322+X1322,1,0)) - (W1322+X1322)
     )
     - IF(AND(AB1322&lt;&gt;"""",AC1322&lt;&gt;""""), 
          SUM(ARRAYFORMULA(SPLIT(AC1322,"","") - SPLI"&amp;"T(AB1322,"",""))), 
          0
       ),
     ""[hh]:mm""
   )
)
"),"02:55")</f>
        <v>02:55</v>
      </c>
      <c r="AJ1322" s="55">
        <f t="shared" si="16"/>
        <v>0</v>
      </c>
      <c r="AK1322" s="28" t="str">
        <f t="shared" si="17"/>
        <v>Pass</v>
      </c>
    </row>
    <row r="1323">
      <c r="A1323" s="45">
        <v>46023.0</v>
      </c>
      <c r="B1323" s="49">
        <v>0.9284722222222223</v>
      </c>
      <c r="C1323" s="45">
        <v>46024.0</v>
      </c>
      <c r="D1323" s="49">
        <v>0.34652777777777777</v>
      </c>
      <c r="E1323" s="21" t="s">
        <v>9483</v>
      </c>
      <c r="F1323" s="21" t="s">
        <v>9484</v>
      </c>
      <c r="G1323" s="21" t="s">
        <v>9485</v>
      </c>
      <c r="H1323" s="21" t="s">
        <v>566</v>
      </c>
      <c r="I1323" s="21" t="s">
        <v>95</v>
      </c>
      <c r="J1323" s="21" t="s">
        <v>95</v>
      </c>
      <c r="K1323" s="21" t="s">
        <v>386</v>
      </c>
      <c r="L1323" s="21" t="s">
        <v>2478</v>
      </c>
      <c r="M1323" s="21" t="s">
        <v>9486</v>
      </c>
      <c r="N1323" s="21" t="s">
        <v>9275</v>
      </c>
      <c r="O1323" s="48" t="s">
        <v>9487</v>
      </c>
      <c r="P1323" s="21" t="s">
        <v>48</v>
      </c>
      <c r="Q1323" s="24" t="s">
        <v>65</v>
      </c>
      <c r="R1323" s="21" t="s">
        <v>9488</v>
      </c>
      <c r="S1323" s="21" t="s">
        <v>51</v>
      </c>
      <c r="T1323" s="21" t="s">
        <v>52</v>
      </c>
      <c r="U1323" s="21" t="s">
        <v>52</v>
      </c>
      <c r="V1323" s="21" t="s">
        <v>52</v>
      </c>
      <c r="W1323" s="45">
        <v>46024.0</v>
      </c>
      <c r="X1323" s="49">
        <v>0.2916666666666667</v>
      </c>
      <c r="Y1323" s="45">
        <v>46024.0</v>
      </c>
      <c r="Z1323" s="49">
        <v>0.46111111111111114</v>
      </c>
      <c r="AA1323" s="49">
        <v>0.4722222222222222</v>
      </c>
      <c r="AB1323" s="24" t="s">
        <v>9489</v>
      </c>
      <c r="AC1323" s="24" t="s">
        <v>9490</v>
      </c>
      <c r="AD1323" s="25">
        <v>0.5458333333333333</v>
      </c>
      <c r="AE1323" s="45">
        <v>46024.0</v>
      </c>
      <c r="AF1323" s="21" t="s">
        <v>2931</v>
      </c>
      <c r="AG1323" s="21" t="s">
        <v>6893</v>
      </c>
      <c r="AH1323" s="21" t="s">
        <v>9491</v>
      </c>
      <c r="AI1323" s="26" t="str">
        <f>IFERROR(__xludf.DUMMYFUNCTION("IF(OR(W1323="""",X1323="""",AE1323="""",AD1323=""""),"""",
   TEXT(
     (
       (AE1323+AD1323 + IF(AE1323+AD1323 &lt; W1323+X1323,1,0)) - (W1323+X1323)
     )
     - IF(AND(AB1323&lt;&gt;"""",AC1323&lt;&gt;""""), 
          SUM(ARRAYFORMULA(SPLIT(AC1323,"","") - SPLI"&amp;"T(AB1323,"",""))), 
          0
       ),
     ""[hh]:mm""
   )
)
"),"05:00")</f>
        <v>05:00</v>
      </c>
      <c r="AJ1323" s="55">
        <f t="shared" si="16"/>
        <v>0</v>
      </c>
      <c r="AK1323" s="28" t="str">
        <f t="shared" si="17"/>
        <v>Pass</v>
      </c>
    </row>
    <row r="1324">
      <c r="A1324" s="45">
        <v>46024.0</v>
      </c>
      <c r="B1324" s="49">
        <v>0.3402777777777778</v>
      </c>
      <c r="C1324" s="45">
        <v>46024.0</v>
      </c>
      <c r="D1324" s="49">
        <v>0.3458333333333333</v>
      </c>
      <c r="E1324" s="21" t="s">
        <v>9492</v>
      </c>
      <c r="F1324" s="21" t="s">
        <v>2392</v>
      </c>
      <c r="G1324" s="21" t="s">
        <v>2393</v>
      </c>
      <c r="H1324" s="21" t="s">
        <v>40</v>
      </c>
      <c r="I1324" s="21" t="s">
        <v>951</v>
      </c>
      <c r="J1324" s="21" t="s">
        <v>95</v>
      </c>
      <c r="K1324" s="21" t="s">
        <v>143</v>
      </c>
      <c r="L1324" s="21" t="s">
        <v>9493</v>
      </c>
      <c r="M1324" s="21" t="s">
        <v>9494</v>
      </c>
      <c r="N1324" s="21" t="s">
        <v>9495</v>
      </c>
      <c r="O1324" s="48" t="s">
        <v>9496</v>
      </c>
      <c r="P1324" s="21" t="s">
        <v>48</v>
      </c>
      <c r="Q1324" s="24" t="s">
        <v>49</v>
      </c>
      <c r="R1324" s="21" t="s">
        <v>9497</v>
      </c>
      <c r="S1324" s="21" t="s">
        <v>51</v>
      </c>
      <c r="T1324" s="21" t="s">
        <v>9498</v>
      </c>
      <c r="U1324" s="21" t="s">
        <v>9499</v>
      </c>
      <c r="V1324" s="21" t="s">
        <v>9500</v>
      </c>
      <c r="W1324" s="45">
        <v>46024.0</v>
      </c>
      <c r="X1324" s="49">
        <v>0.3458333333333333</v>
      </c>
      <c r="Y1324" s="45">
        <v>46024.0</v>
      </c>
      <c r="Z1324" s="49">
        <v>0.41944444444444445</v>
      </c>
      <c r="AA1324" s="49">
        <v>0.42083333333333334</v>
      </c>
      <c r="AB1324" s="24" t="s">
        <v>9501</v>
      </c>
      <c r="AC1324" s="24" t="s">
        <v>9502</v>
      </c>
      <c r="AD1324" s="25">
        <v>0.5569444444444445</v>
      </c>
      <c r="AE1324" s="45">
        <v>46024.0</v>
      </c>
      <c r="AF1324" s="21" t="s">
        <v>3007</v>
      </c>
      <c r="AG1324" s="21" t="s">
        <v>293</v>
      </c>
      <c r="AH1324" s="21" t="s">
        <v>9503</v>
      </c>
      <c r="AI1324" s="26" t="str">
        <f>IFERROR(__xludf.DUMMYFUNCTION("IF(OR(W1324="""",X1324="""",AE1324="""",AD1324=""""),"""",
   TEXT(
     (
       (AE1324+AD1324 + IF(AE1324+AD1324 &lt; W1324+X1324,1,0)) - (W1324+X1324)
     )
     - IF(AND(AB1324&lt;&gt;"""",AC1324&lt;&gt;""""), 
          SUM(ARRAYFORMULA(SPLIT(AC1324,"","") - SPLI"&amp;"T(AB1324,"",""))), 
          0
       ),
     ""[hh]:mm""
   )
)
"),"03:20")</f>
        <v>03:20</v>
      </c>
      <c r="AJ1324" s="55">
        <f t="shared" si="16"/>
        <v>0</v>
      </c>
      <c r="AK1324" s="28" t="str">
        <f t="shared" si="17"/>
        <v>Pass</v>
      </c>
    </row>
    <row r="1325">
      <c r="A1325" s="45">
        <v>46024.0</v>
      </c>
      <c r="B1325" s="49">
        <v>0.4486111111111111</v>
      </c>
      <c r="C1325" s="45">
        <v>46024.0</v>
      </c>
      <c r="D1325" s="49">
        <v>0.4486111111111111</v>
      </c>
      <c r="E1325" s="21" t="s">
        <v>9504</v>
      </c>
      <c r="F1325" s="21" t="s">
        <v>7457</v>
      </c>
      <c r="G1325" s="21" t="s">
        <v>8789</v>
      </c>
      <c r="H1325" s="21" t="s">
        <v>3093</v>
      </c>
      <c r="I1325" s="47"/>
      <c r="J1325" s="21" t="s">
        <v>2253</v>
      </c>
      <c r="K1325" s="21" t="s">
        <v>43</v>
      </c>
      <c r="L1325" s="21" t="s">
        <v>6144</v>
      </c>
      <c r="M1325" s="47"/>
      <c r="N1325" s="21" t="s">
        <v>8464</v>
      </c>
      <c r="O1325" s="48" t="s">
        <v>9505</v>
      </c>
      <c r="P1325" s="21" t="s">
        <v>75</v>
      </c>
      <c r="Q1325" s="24" t="s">
        <v>198</v>
      </c>
      <c r="R1325" s="21" t="s">
        <v>9506</v>
      </c>
      <c r="S1325" s="21" t="s">
        <v>51</v>
      </c>
      <c r="T1325" s="21" t="s">
        <v>52</v>
      </c>
      <c r="U1325" s="21" t="s">
        <v>52</v>
      </c>
      <c r="V1325" s="21" t="s">
        <v>52</v>
      </c>
      <c r="W1325" s="45">
        <v>46024.0</v>
      </c>
      <c r="X1325" s="49">
        <v>0.4486111111111111</v>
      </c>
      <c r="Y1325" s="45">
        <v>46024.0</v>
      </c>
      <c r="Z1325" s="49">
        <v>0.6215277777777778</v>
      </c>
      <c r="AA1325" s="49">
        <v>0.6222222222222222</v>
      </c>
      <c r="AB1325" s="29"/>
      <c r="AC1325" s="29"/>
      <c r="AD1325" s="25">
        <v>0.6354166666666666</v>
      </c>
      <c r="AE1325" s="45">
        <v>46024.0</v>
      </c>
      <c r="AF1325" s="21" t="s">
        <v>9507</v>
      </c>
      <c r="AG1325" s="21" t="s">
        <v>4384</v>
      </c>
      <c r="AH1325" s="21" t="s">
        <v>9508</v>
      </c>
      <c r="AI1325" s="26" t="str">
        <f>IFERROR(__xludf.DUMMYFUNCTION("IF(OR(W1325="""",X1325="""",AE1325="""",AD1325=""""),"""",
   TEXT(
     (
       (AE1325+AD1325 + IF(AE1325+AD1325 &lt; W1325+X1325,1,0)) - (W1325+X1325)
     )
     - IF(AND(AB1325&lt;&gt;"""",AC1325&lt;&gt;""""), 
          SUM(ARRAYFORMULA(SPLIT(AC1325,"","") - SPLI"&amp;"T(AB1325,"",""))), 
          0
       ),
     ""[hh]:mm""
   )
)
"),"04:29")</f>
        <v>04:29</v>
      </c>
      <c r="AJ1325" s="55">
        <f t="shared" si="16"/>
        <v>0</v>
      </c>
      <c r="AK1325" s="28" t="str">
        <f t="shared" si="17"/>
        <v>Pass</v>
      </c>
    </row>
    <row r="1326">
      <c r="A1326" s="45">
        <v>46024.0</v>
      </c>
      <c r="B1326" s="49">
        <v>0.5</v>
      </c>
      <c r="C1326" s="45">
        <v>46024.0</v>
      </c>
      <c r="D1326" s="49">
        <v>0.5</v>
      </c>
      <c r="E1326" s="21" t="s">
        <v>9509</v>
      </c>
      <c r="F1326" s="21" t="s">
        <v>8480</v>
      </c>
      <c r="G1326" s="21" t="s">
        <v>8481</v>
      </c>
      <c r="H1326" s="21" t="s">
        <v>3093</v>
      </c>
      <c r="I1326" s="47"/>
      <c r="J1326" s="21" t="s">
        <v>2253</v>
      </c>
      <c r="K1326" s="21" t="s">
        <v>43</v>
      </c>
      <c r="L1326" s="21" t="s">
        <v>6144</v>
      </c>
      <c r="M1326" s="21" t="s">
        <v>9092</v>
      </c>
      <c r="N1326" s="21" t="s">
        <v>8464</v>
      </c>
      <c r="O1326" s="48" t="s">
        <v>9510</v>
      </c>
      <c r="P1326" s="21" t="s">
        <v>75</v>
      </c>
      <c r="Q1326" s="24" t="s">
        <v>198</v>
      </c>
      <c r="R1326" s="21" t="s">
        <v>9511</v>
      </c>
      <c r="S1326" s="21" t="s">
        <v>51</v>
      </c>
      <c r="T1326" s="21" t="s">
        <v>52</v>
      </c>
      <c r="U1326" s="21" t="s">
        <v>52</v>
      </c>
      <c r="V1326" s="21" t="s">
        <v>52</v>
      </c>
      <c r="W1326" s="45">
        <v>46024.0</v>
      </c>
      <c r="X1326" s="49">
        <v>0.5</v>
      </c>
      <c r="Y1326" s="45">
        <v>46024.0</v>
      </c>
      <c r="Z1326" s="49">
        <v>0.5</v>
      </c>
      <c r="AA1326" s="49">
        <v>0.5</v>
      </c>
      <c r="AB1326" s="29"/>
      <c r="AC1326" s="29"/>
      <c r="AD1326" s="25">
        <v>0.5277777777777778</v>
      </c>
      <c r="AE1326" s="45">
        <v>46024.0</v>
      </c>
      <c r="AF1326" s="21" t="s">
        <v>9507</v>
      </c>
      <c r="AG1326" s="21" t="s">
        <v>3191</v>
      </c>
      <c r="AH1326" s="21" t="s">
        <v>9512</v>
      </c>
      <c r="AI1326" s="26" t="str">
        <f>IFERROR(__xludf.DUMMYFUNCTION("IF(OR(W1326="""",X1326="""",AE1326="""",AD1326=""""),"""",
   TEXT(
     (
       (AE1326+AD1326 + IF(AE1326+AD1326 &lt; W1326+X1326,1,0)) - (W1326+X1326)
     )
     - IF(AND(AB1326&lt;&gt;"""",AC1326&lt;&gt;""""), 
          SUM(ARRAYFORMULA(SPLIT(AC1326,"","") - SPLI"&amp;"T(AB1326,"",""))), 
          0
       ),
     ""[hh]:mm""
   )
)
"),"00:40")</f>
        <v>00:40</v>
      </c>
      <c r="AJ1326" s="55">
        <f t="shared" si="16"/>
        <v>0</v>
      </c>
      <c r="AK1326" s="28" t="str">
        <f t="shared" si="17"/>
        <v>Pass</v>
      </c>
    </row>
    <row r="1327">
      <c r="A1327" s="45">
        <v>46024.0</v>
      </c>
      <c r="B1327" s="49">
        <v>0.6263888888888889</v>
      </c>
      <c r="C1327" s="45">
        <v>46024.0</v>
      </c>
      <c r="D1327" s="49">
        <v>0.6291666666666667</v>
      </c>
      <c r="E1327" s="21" t="s">
        <v>9513</v>
      </c>
      <c r="F1327" s="21" t="s">
        <v>473</v>
      </c>
      <c r="G1327" s="21" t="s">
        <v>9514</v>
      </c>
      <c r="H1327" s="21" t="s">
        <v>156</v>
      </c>
      <c r="I1327" s="21" t="s">
        <v>131</v>
      </c>
      <c r="J1327" s="21" t="s">
        <v>3806</v>
      </c>
      <c r="K1327" s="21" t="s">
        <v>43</v>
      </c>
      <c r="L1327" s="21" t="s">
        <v>2714</v>
      </c>
      <c r="M1327" s="21" t="s">
        <v>9515</v>
      </c>
      <c r="N1327" s="21" t="s">
        <v>9516</v>
      </c>
      <c r="O1327" s="48" t="s">
        <v>9517</v>
      </c>
      <c r="P1327" s="21" t="s">
        <v>75</v>
      </c>
      <c r="Q1327" s="24" t="s">
        <v>65</v>
      </c>
      <c r="R1327" s="21" t="s">
        <v>9518</v>
      </c>
      <c r="S1327" s="21" t="s">
        <v>51</v>
      </c>
      <c r="T1327" s="21" t="s">
        <v>9519</v>
      </c>
      <c r="U1327" s="21" t="s">
        <v>7806</v>
      </c>
      <c r="V1327" s="21" t="s">
        <v>9515</v>
      </c>
      <c r="W1327" s="45">
        <v>46024.0</v>
      </c>
      <c r="X1327" s="49">
        <v>0.6291666666666667</v>
      </c>
      <c r="Y1327" s="45">
        <v>46024.0</v>
      </c>
      <c r="Z1327" s="49">
        <v>0.7333333333333333</v>
      </c>
      <c r="AA1327" s="49">
        <v>0.7465277777777778</v>
      </c>
      <c r="AB1327" s="25">
        <v>0.7708333333333334</v>
      </c>
      <c r="AC1327" s="25">
        <v>0.8472222222222222</v>
      </c>
      <c r="AD1327" s="25">
        <v>0.8645833333333334</v>
      </c>
      <c r="AE1327" s="45">
        <v>46024.0</v>
      </c>
      <c r="AF1327" s="21" t="s">
        <v>7241</v>
      </c>
      <c r="AG1327" s="21" t="s">
        <v>8126</v>
      </c>
      <c r="AH1327" s="21" t="s">
        <v>9520</v>
      </c>
      <c r="AI1327" s="26" t="str">
        <f>IFERROR(__xludf.DUMMYFUNCTION("IF(OR(W1327="""",X1327="""",AE1327="""",AD1327=""""),"""",
   TEXT(
     (
       (AE1327+AD1327 + IF(AE1327+AD1327 &lt; W1327+X1327,1,0)) - (W1327+X1327)
     )
     - IF(AND(AB1327&lt;&gt;"""",AC1327&lt;&gt;""""), 
          SUM(ARRAYFORMULA(SPLIT(AC1327,"","") - SPLI"&amp;"T(AB1327,"",""))), 
          0
       ),
     ""[hh]:mm""
   )
)
"),"03:49")</f>
        <v>03:49</v>
      </c>
      <c r="AJ1327" s="55">
        <f t="shared" si="16"/>
        <v>0</v>
      </c>
      <c r="AK1327" s="28" t="str">
        <f t="shared" si="17"/>
        <v>Pass</v>
      </c>
    </row>
    <row r="1328">
      <c r="A1328" s="45">
        <v>46024.0</v>
      </c>
      <c r="B1328" s="49">
        <v>0.6333333333333333</v>
      </c>
      <c r="C1328" s="45">
        <v>46024.0</v>
      </c>
      <c r="D1328" s="49">
        <v>0.6486111111111111</v>
      </c>
      <c r="E1328" s="21" t="s">
        <v>9521</v>
      </c>
      <c r="F1328" s="21" t="s">
        <v>4087</v>
      </c>
      <c r="G1328" s="21" t="s">
        <v>4088</v>
      </c>
      <c r="H1328" s="21" t="s">
        <v>1610</v>
      </c>
      <c r="I1328" s="21" t="s">
        <v>1612</v>
      </c>
      <c r="J1328" s="21" t="s">
        <v>1612</v>
      </c>
      <c r="K1328" s="21" t="s">
        <v>143</v>
      </c>
      <c r="L1328" s="21" t="s">
        <v>1613</v>
      </c>
      <c r="M1328" s="21" t="s">
        <v>9522</v>
      </c>
      <c r="N1328" s="21" t="s">
        <v>9523</v>
      </c>
      <c r="O1328" s="48" t="s">
        <v>9524</v>
      </c>
      <c r="P1328" s="21" t="s">
        <v>75</v>
      </c>
      <c r="Q1328" s="24" t="s">
        <v>65</v>
      </c>
      <c r="R1328" s="21" t="s">
        <v>9525</v>
      </c>
      <c r="S1328" s="21" t="s">
        <v>51</v>
      </c>
      <c r="T1328" s="21" t="s">
        <v>52</v>
      </c>
      <c r="U1328" s="21" t="s">
        <v>52</v>
      </c>
      <c r="V1328" s="21" t="s">
        <v>52</v>
      </c>
      <c r="W1328" s="45">
        <v>46024.0</v>
      </c>
      <c r="X1328" s="49">
        <v>0.6486111111111111</v>
      </c>
      <c r="Y1328" s="45">
        <v>46024.0</v>
      </c>
      <c r="Z1328" s="49">
        <v>0.6666666666666666</v>
      </c>
      <c r="AA1328" s="49">
        <v>0.6736111111111112</v>
      </c>
      <c r="AB1328" s="29"/>
      <c r="AC1328" s="29"/>
      <c r="AD1328" s="25">
        <v>0.7916666666666666</v>
      </c>
      <c r="AE1328" s="45">
        <v>46024.0</v>
      </c>
      <c r="AF1328" s="21" t="s">
        <v>2711</v>
      </c>
      <c r="AG1328" s="21" t="s">
        <v>151</v>
      </c>
      <c r="AH1328" s="21" t="s">
        <v>9526</v>
      </c>
      <c r="AI1328" s="26" t="str">
        <f>IFERROR(__xludf.DUMMYFUNCTION("IF(OR(W1328="""",X1328="""",AE1328="""",AD1328=""""),"""",
   TEXT(
     (
       (AE1328+AD1328 + IF(AE1328+AD1328 &lt; W1328+X1328,1,0)) - (W1328+X1328)
     )
     - IF(AND(AB1328&lt;&gt;"""",AC1328&lt;&gt;""""), 
          SUM(ARRAYFORMULA(SPLIT(AC1328,"","") - SPLI"&amp;"T(AB1328,"",""))), 
          0
       ),
     ""[hh]:mm""
   )
)
"),"03:26")</f>
        <v>03:26</v>
      </c>
      <c r="AJ1328" s="55">
        <f t="shared" si="16"/>
        <v>0</v>
      </c>
      <c r="AK1328" s="28" t="str">
        <f t="shared" si="17"/>
        <v>Pass</v>
      </c>
    </row>
    <row r="1329">
      <c r="A1329" s="45">
        <v>46024.0</v>
      </c>
      <c r="B1329" s="49">
        <v>0.6402777777777777</v>
      </c>
      <c r="C1329" s="45">
        <v>46024.0</v>
      </c>
      <c r="D1329" s="49">
        <v>0.6520833333333333</v>
      </c>
      <c r="E1329" s="21" t="s">
        <v>9527</v>
      </c>
      <c r="F1329" s="21" t="s">
        <v>9528</v>
      </c>
      <c r="G1329" s="21" t="s">
        <v>9529</v>
      </c>
      <c r="H1329" s="21" t="s">
        <v>1610</v>
      </c>
      <c r="I1329" s="21" t="s">
        <v>1612</v>
      </c>
      <c r="J1329" s="21" t="s">
        <v>1612</v>
      </c>
      <c r="K1329" s="21" t="s">
        <v>143</v>
      </c>
      <c r="L1329" s="21" t="s">
        <v>1613</v>
      </c>
      <c r="M1329" s="21" t="s">
        <v>9530</v>
      </c>
      <c r="N1329" s="21" t="s">
        <v>9531</v>
      </c>
      <c r="O1329" s="48" t="s">
        <v>9532</v>
      </c>
      <c r="P1329" s="21" t="s">
        <v>75</v>
      </c>
      <c r="Q1329" s="24" t="s">
        <v>65</v>
      </c>
      <c r="R1329" s="21" t="s">
        <v>9533</v>
      </c>
      <c r="S1329" s="21" t="s">
        <v>51</v>
      </c>
      <c r="T1329" s="21" t="s">
        <v>52</v>
      </c>
      <c r="U1329" s="21" t="s">
        <v>52</v>
      </c>
      <c r="V1329" s="21" t="s">
        <v>52</v>
      </c>
      <c r="W1329" s="45">
        <v>46024.0</v>
      </c>
      <c r="X1329" s="49">
        <v>0.6520833333333333</v>
      </c>
      <c r="Y1329" s="45">
        <v>46024.0</v>
      </c>
      <c r="Z1329" s="49">
        <v>0.7083333333333334</v>
      </c>
      <c r="AA1329" s="49">
        <v>0.7083333333333334</v>
      </c>
      <c r="AB1329" s="29"/>
      <c r="AC1329" s="29"/>
      <c r="AD1329" s="25">
        <v>0.75</v>
      </c>
      <c r="AE1329" s="45">
        <v>46024.0</v>
      </c>
      <c r="AF1329" s="21" t="s">
        <v>2744</v>
      </c>
      <c r="AG1329" s="21" t="s">
        <v>1562</v>
      </c>
      <c r="AH1329" s="21" t="s">
        <v>9534</v>
      </c>
      <c r="AI1329" s="26" t="str">
        <f>IFERROR(__xludf.DUMMYFUNCTION("IF(OR(W1329="""",X1329="""",AE1329="""",AD1329=""""),"""",
   TEXT(
     (
       (AE1329+AD1329 + IF(AE1329+AD1329 &lt; W1329+X1329,1,0)) - (W1329+X1329)
     )
     - IF(AND(AB1329&lt;&gt;"""",AC1329&lt;&gt;""""), 
          SUM(ARRAYFORMULA(SPLIT(AC1329,"","") - SPLI"&amp;"T(AB1329,"",""))), 
          0
       ),
     ""[hh]:mm""
   )
)
"),"02:21")</f>
        <v>02:21</v>
      </c>
      <c r="AJ1329" s="55">
        <f t="shared" si="16"/>
        <v>0</v>
      </c>
      <c r="AK1329" s="28" t="str">
        <f t="shared" si="17"/>
        <v>Pass</v>
      </c>
    </row>
    <row r="1330">
      <c r="A1330" s="45">
        <v>46024.0</v>
      </c>
      <c r="B1330" s="49">
        <v>0.6409722222222223</v>
      </c>
      <c r="C1330" s="45">
        <v>46024.0</v>
      </c>
      <c r="D1330" s="49">
        <v>0.6548611111111111</v>
      </c>
      <c r="E1330" s="21" t="s">
        <v>9535</v>
      </c>
      <c r="F1330" s="21" t="s">
        <v>2910</v>
      </c>
      <c r="G1330" s="21" t="s">
        <v>2911</v>
      </c>
      <c r="H1330" s="21" t="s">
        <v>1610</v>
      </c>
      <c r="I1330" s="21" t="s">
        <v>1612</v>
      </c>
      <c r="J1330" s="21" t="s">
        <v>1612</v>
      </c>
      <c r="K1330" s="21" t="s">
        <v>635</v>
      </c>
      <c r="L1330" s="21" t="s">
        <v>9536</v>
      </c>
      <c r="M1330" s="21" t="s">
        <v>4227</v>
      </c>
      <c r="N1330" s="21" t="s">
        <v>9537</v>
      </c>
      <c r="O1330" s="48" t="s">
        <v>9538</v>
      </c>
      <c r="P1330" s="21" t="s">
        <v>75</v>
      </c>
      <c r="Q1330" s="24" t="s">
        <v>65</v>
      </c>
      <c r="R1330" s="21" t="s">
        <v>9539</v>
      </c>
      <c r="S1330" s="21" t="s">
        <v>51</v>
      </c>
      <c r="T1330" s="21" t="s">
        <v>52</v>
      </c>
      <c r="U1330" s="21" t="s">
        <v>52</v>
      </c>
      <c r="V1330" s="21" t="s">
        <v>52</v>
      </c>
      <c r="W1330" s="45">
        <v>46024.0</v>
      </c>
      <c r="X1330" s="49">
        <v>0.6548611111111111</v>
      </c>
      <c r="Y1330" s="45">
        <v>46024.0</v>
      </c>
      <c r="Z1330" s="49">
        <v>0.7395833333333334</v>
      </c>
      <c r="AA1330" s="49">
        <v>0.7430555555555556</v>
      </c>
      <c r="AB1330" s="29"/>
      <c r="AC1330" s="29"/>
      <c r="AD1330" s="25">
        <v>0.8090277777777778</v>
      </c>
      <c r="AE1330" s="45">
        <v>46024.0</v>
      </c>
      <c r="AF1330" s="21" t="s">
        <v>2711</v>
      </c>
      <c r="AG1330" s="21" t="s">
        <v>54</v>
      </c>
      <c r="AH1330" s="21" t="s">
        <v>9540</v>
      </c>
      <c r="AI1330" s="26" t="str">
        <f>IFERROR(__xludf.DUMMYFUNCTION("IF(OR(W1330="""",X1330="""",AE1330="""",AD1330=""""),"""",
   TEXT(
     (
       (AE1330+AD1330 + IF(AE1330+AD1330 &lt; W1330+X1330,1,0)) - (W1330+X1330)
     )
     - IF(AND(AB1330&lt;&gt;"""",AC1330&lt;&gt;""""), 
          SUM(ARRAYFORMULA(SPLIT(AC1330,"","") - SPLI"&amp;"T(AB1330,"",""))), 
          0
       ),
     ""[hh]:mm""
   )
)
"),"03:42")</f>
        <v>03:42</v>
      </c>
      <c r="AJ1330" s="55">
        <f t="shared" si="16"/>
        <v>0</v>
      </c>
      <c r="AK1330" s="28" t="str">
        <f t="shared" si="17"/>
        <v>Pass</v>
      </c>
    </row>
    <row r="1331">
      <c r="A1331" s="45">
        <v>46024.0</v>
      </c>
      <c r="B1331" s="49">
        <v>0.8944444444444445</v>
      </c>
      <c r="C1331" s="45">
        <v>46024.0</v>
      </c>
      <c r="D1331" s="49">
        <v>0.8958333333333334</v>
      </c>
      <c r="E1331" s="21" t="s">
        <v>9541</v>
      </c>
      <c r="F1331" s="21" t="s">
        <v>1276</v>
      </c>
      <c r="G1331" s="21" t="s">
        <v>9542</v>
      </c>
      <c r="H1331" s="21" t="s">
        <v>156</v>
      </c>
      <c r="I1331" s="21" t="s">
        <v>131</v>
      </c>
      <c r="J1331" s="21" t="s">
        <v>3806</v>
      </c>
      <c r="K1331" s="21" t="s">
        <v>43</v>
      </c>
      <c r="L1331" s="21" t="s">
        <v>9543</v>
      </c>
      <c r="M1331" s="21" t="s">
        <v>1279</v>
      </c>
      <c r="N1331" s="21" t="s">
        <v>9544</v>
      </c>
      <c r="O1331" s="48" t="s">
        <v>9545</v>
      </c>
      <c r="P1331" s="21" t="s">
        <v>75</v>
      </c>
      <c r="Q1331" s="24" t="s">
        <v>65</v>
      </c>
      <c r="R1331" s="21" t="s">
        <v>9546</v>
      </c>
      <c r="S1331" s="21" t="s">
        <v>51</v>
      </c>
      <c r="T1331" s="21" t="s">
        <v>52</v>
      </c>
      <c r="U1331" s="21" t="s">
        <v>52</v>
      </c>
      <c r="V1331" s="21" t="s">
        <v>52</v>
      </c>
      <c r="W1331" s="45">
        <v>46025.0</v>
      </c>
      <c r="X1331" s="49">
        <v>0.375</v>
      </c>
      <c r="Y1331" s="45">
        <v>46025.0</v>
      </c>
      <c r="Z1331" s="49">
        <v>0.4930555555555556</v>
      </c>
      <c r="AA1331" s="49">
        <v>0.49375</v>
      </c>
      <c r="AB1331" s="25">
        <v>0.5166666666666667</v>
      </c>
      <c r="AC1331" s="25">
        <v>0.5819444444444445</v>
      </c>
      <c r="AD1331" s="25">
        <v>0.6291666666666667</v>
      </c>
      <c r="AE1331" s="45">
        <v>46025.0</v>
      </c>
      <c r="AF1331" s="21" t="s">
        <v>8929</v>
      </c>
      <c r="AG1331" s="21" t="s">
        <v>293</v>
      </c>
      <c r="AH1331" s="21" t="s">
        <v>8321</v>
      </c>
      <c r="AI1331" s="26" t="str">
        <f>IFERROR(__xludf.DUMMYFUNCTION("IF(OR(W1331="""",X1331="""",AE1331="""",AD1331=""""),"""",
   TEXT(
     (
       (AE1331+AD1331 + IF(AE1331+AD1331 &lt; W1331+X1331,1,0)) - (W1331+X1331)
     )
     - IF(AND(AB1331&lt;&gt;"""",AC1331&lt;&gt;""""), 
          SUM(ARRAYFORMULA(SPLIT(AC1331,"","") - SPLI"&amp;"T(AB1331,"",""))), 
          0
       ),
     ""[hh]:mm""
   )
)
"),"04:32")</f>
        <v>04:32</v>
      </c>
      <c r="AJ1331" s="55">
        <f t="shared" si="16"/>
        <v>0</v>
      </c>
      <c r="AK1331" s="28" t="str">
        <f t="shared" si="17"/>
        <v>Pass</v>
      </c>
    </row>
    <row r="1332">
      <c r="A1332" s="18">
        <v>46024.0</v>
      </c>
      <c r="B1332" s="20">
        <v>0.9569444444444445</v>
      </c>
      <c r="C1332" s="18">
        <v>46025.0</v>
      </c>
      <c r="D1332" s="20">
        <v>0.41597222222222224</v>
      </c>
      <c r="E1332" s="22" t="s">
        <v>9547</v>
      </c>
      <c r="F1332" s="22" t="s">
        <v>613</v>
      </c>
      <c r="G1332" s="22" t="s">
        <v>6028</v>
      </c>
      <c r="H1332" s="22" t="s">
        <v>2337</v>
      </c>
      <c r="I1332" s="22" t="s">
        <v>1814</v>
      </c>
      <c r="J1332" s="22" t="s">
        <v>4198</v>
      </c>
      <c r="K1332" s="22" t="s">
        <v>72</v>
      </c>
      <c r="L1332" s="22" t="s">
        <v>9548</v>
      </c>
      <c r="M1332" s="22" t="s">
        <v>9549</v>
      </c>
      <c r="N1332" s="22" t="s">
        <v>9550</v>
      </c>
      <c r="O1332" s="23" t="s">
        <v>9551</v>
      </c>
      <c r="P1332" s="22" t="s">
        <v>75</v>
      </c>
      <c r="Q1332" s="50" t="s">
        <v>65</v>
      </c>
      <c r="R1332" s="22" t="s">
        <v>9552</v>
      </c>
      <c r="S1332" s="22" t="s">
        <v>51</v>
      </c>
      <c r="T1332" s="22" t="s">
        <v>52</v>
      </c>
      <c r="U1332" s="22" t="s">
        <v>52</v>
      </c>
      <c r="V1332" s="22" t="s">
        <v>52</v>
      </c>
      <c r="W1332" s="18">
        <v>46025.0</v>
      </c>
      <c r="X1332" s="20">
        <v>0.41597222222222224</v>
      </c>
      <c r="Y1332" s="18">
        <v>46025.0</v>
      </c>
      <c r="Z1332" s="20">
        <v>0.4875</v>
      </c>
      <c r="AA1332" s="20">
        <v>0.4875</v>
      </c>
      <c r="AB1332" s="54"/>
      <c r="AC1332" s="54"/>
      <c r="AD1332" s="51">
        <v>0.5069444444444444</v>
      </c>
      <c r="AE1332" s="18">
        <v>46025.0</v>
      </c>
      <c r="AF1332" s="22" t="s">
        <v>2711</v>
      </c>
      <c r="AG1332" s="22" t="s">
        <v>3191</v>
      </c>
      <c r="AH1332" s="22" t="s">
        <v>9553</v>
      </c>
      <c r="AI1332" s="26" t="str">
        <f>IFERROR(__xludf.DUMMYFUNCTION("IF(OR(W1332="""",X1332="""",AE1332="""",AD1332=""""),"""",
   TEXT(
     (
       (AE1332+AD1332 + IF(AE1332+AD1332 &lt; W1332+X1332,1,0)) - (W1332+X1332)
     )
     - IF(AND(AB1332&lt;&gt;"""",AC1332&lt;&gt;""""), 
          SUM(ARRAYFORMULA(SPLIT(AC1332,"","") - SPLI"&amp;"T(AB1332,"",""))), 
          0
       ),
     ""[hh]:mm""
   )
)
"),"02:11")</f>
        <v>02:11</v>
      </c>
      <c r="AJ1332" s="55">
        <f t="shared" si="16"/>
        <v>0</v>
      </c>
      <c r="AK1332" s="28" t="str">
        <f t="shared" si="17"/>
        <v>Pass</v>
      </c>
    </row>
    <row r="1333">
      <c r="A1333" s="45">
        <v>46024.0</v>
      </c>
      <c r="B1333" s="49">
        <v>0.14305555555555555</v>
      </c>
      <c r="C1333" s="45">
        <v>46025.0</v>
      </c>
      <c r="D1333" s="49">
        <v>0.4166666666666667</v>
      </c>
      <c r="E1333" s="21" t="s">
        <v>9554</v>
      </c>
      <c r="F1333" s="21" t="s">
        <v>7997</v>
      </c>
      <c r="G1333" s="21" t="s">
        <v>7998</v>
      </c>
      <c r="H1333" s="21" t="s">
        <v>1019</v>
      </c>
      <c r="I1333" s="21" t="s">
        <v>2952</v>
      </c>
      <c r="J1333" s="21" t="s">
        <v>3806</v>
      </c>
      <c r="K1333" s="21" t="s">
        <v>43</v>
      </c>
      <c r="L1333" s="21" t="s">
        <v>170</v>
      </c>
      <c r="M1333" s="21" t="s">
        <v>9555</v>
      </c>
      <c r="N1333" s="21" t="s">
        <v>9556</v>
      </c>
      <c r="O1333" s="48" t="s">
        <v>9557</v>
      </c>
      <c r="P1333" s="21" t="s">
        <v>75</v>
      </c>
      <c r="Q1333" s="24" t="s">
        <v>65</v>
      </c>
      <c r="R1333" s="21" t="s">
        <v>9558</v>
      </c>
      <c r="S1333" s="21" t="s">
        <v>51</v>
      </c>
      <c r="T1333" s="21" t="s">
        <v>52</v>
      </c>
      <c r="U1333" s="21" t="s">
        <v>52</v>
      </c>
      <c r="V1333" s="21" t="s">
        <v>52</v>
      </c>
      <c r="W1333" s="45">
        <v>46025.0</v>
      </c>
      <c r="X1333" s="49">
        <v>0.4166666666666667</v>
      </c>
      <c r="Y1333" s="45">
        <v>46025.0</v>
      </c>
      <c r="Z1333" s="49">
        <v>0.4513888888888889</v>
      </c>
      <c r="AA1333" s="49">
        <v>0.45208333333333334</v>
      </c>
      <c r="AB1333" s="29"/>
      <c r="AC1333" s="29"/>
      <c r="AD1333" s="25">
        <v>0.48333333333333334</v>
      </c>
      <c r="AE1333" s="45">
        <v>46025.0</v>
      </c>
      <c r="AF1333" s="21" t="s">
        <v>3218</v>
      </c>
      <c r="AG1333" s="21" t="s">
        <v>67</v>
      </c>
      <c r="AH1333" s="21" t="s">
        <v>9559</v>
      </c>
      <c r="AI1333" s="26" t="str">
        <f>IFERROR(__xludf.DUMMYFUNCTION("IF(OR(W1333="""",X1333="""",AE1333="""",AD1333=""""),"""",
   TEXT(
     (
       (AE1333+AD1333 + IF(AE1333+AD1333 &lt; W1333+X1333,1,0)) - (W1333+X1333)
     )
     - IF(AND(AB1333&lt;&gt;"""",AC1333&lt;&gt;""""), 
          SUM(ARRAYFORMULA(SPLIT(AC1333,"","") - SPLI"&amp;"T(AB1333,"",""))), 
          0
       ),
     ""[hh]:mm""
   )
)
"),"01:36")</f>
        <v>01:36</v>
      </c>
      <c r="AJ1333" s="55">
        <f t="shared" si="16"/>
        <v>0</v>
      </c>
      <c r="AK1333" s="28" t="str">
        <f t="shared" si="17"/>
        <v>Pass</v>
      </c>
    </row>
    <row r="1334">
      <c r="A1334" s="18">
        <v>46022.0</v>
      </c>
      <c r="B1334" s="20">
        <v>0.5055555555555555</v>
      </c>
      <c r="C1334" s="18">
        <v>46022.0</v>
      </c>
      <c r="D1334" s="20">
        <v>0.5076388888888889</v>
      </c>
      <c r="E1334" s="22" t="s">
        <v>9560</v>
      </c>
      <c r="F1334" s="22" t="s">
        <v>882</v>
      </c>
      <c r="G1334" s="22" t="s">
        <v>883</v>
      </c>
      <c r="H1334" s="22" t="s">
        <v>156</v>
      </c>
      <c r="I1334" s="22" t="s">
        <v>616</v>
      </c>
      <c r="J1334" s="22" t="s">
        <v>2253</v>
      </c>
      <c r="K1334" s="22" t="s">
        <v>43</v>
      </c>
      <c r="L1334" s="22" t="s">
        <v>9561</v>
      </c>
      <c r="M1334" s="22" t="s">
        <v>9562</v>
      </c>
      <c r="N1334" s="22" t="s">
        <v>3425</v>
      </c>
      <c r="O1334" s="23" t="s">
        <v>9563</v>
      </c>
      <c r="P1334" s="22" t="s">
        <v>75</v>
      </c>
      <c r="Q1334" s="50" t="s">
        <v>65</v>
      </c>
      <c r="R1334" s="102" t="s">
        <v>8751</v>
      </c>
      <c r="S1334" s="22" t="s">
        <v>51</v>
      </c>
      <c r="T1334" s="22" t="s">
        <v>6676</v>
      </c>
      <c r="U1334" s="22" t="s">
        <v>7985</v>
      </c>
      <c r="V1334" s="22" t="s">
        <v>9562</v>
      </c>
      <c r="W1334" s="18">
        <v>46025.0</v>
      </c>
      <c r="X1334" s="20">
        <v>0.42777777777777776</v>
      </c>
      <c r="Y1334" s="45">
        <v>46025.0</v>
      </c>
      <c r="Z1334" s="20">
        <v>0.5</v>
      </c>
      <c r="AA1334" s="20">
        <v>0.5069444444444444</v>
      </c>
      <c r="AB1334" s="54"/>
      <c r="AC1334" s="54"/>
      <c r="AD1334" s="51">
        <v>0.5208333333333334</v>
      </c>
      <c r="AE1334" s="45">
        <v>46025.0</v>
      </c>
      <c r="AF1334" s="22" t="s">
        <v>2828</v>
      </c>
      <c r="AG1334" s="22" t="s">
        <v>1368</v>
      </c>
      <c r="AH1334" s="22" t="s">
        <v>9564</v>
      </c>
      <c r="AI1334" s="26" t="str">
        <f>IFERROR(__xludf.DUMMYFUNCTION("IF(OR(W1334="""",X1334="""",AE1334="""",AD1334=""""),"""",
   TEXT(
     (
       (AE1334+AD1334 + IF(AE1334+AD1334 &lt; W1334+X1334,1,0)) - (W1334+X1334)
     )
     - IF(AND(AB1334&lt;&gt;"""",AC1334&lt;&gt;""""), 
          SUM(ARRAYFORMULA(SPLIT(AC1334,"","") - SPLI"&amp;"T(AB1334,"",""))), 
          0
       ),
     ""[hh]:mm""
   )
)
"),"02:14")</f>
        <v>02:14</v>
      </c>
      <c r="AJ1334" s="55">
        <f t="shared" si="16"/>
        <v>0</v>
      </c>
      <c r="AK1334" s="28" t="str">
        <f t="shared" si="17"/>
        <v>Pass</v>
      </c>
    </row>
    <row r="1335">
      <c r="A1335" s="45">
        <v>46025.0</v>
      </c>
      <c r="B1335" s="49">
        <v>0.5569444444444445</v>
      </c>
      <c r="C1335" s="45">
        <v>46025.0</v>
      </c>
      <c r="D1335" s="49">
        <v>0.5604166666666667</v>
      </c>
      <c r="E1335" s="21" t="s">
        <v>9565</v>
      </c>
      <c r="F1335" s="21" t="s">
        <v>1843</v>
      </c>
      <c r="G1335" s="21" t="s">
        <v>1844</v>
      </c>
      <c r="H1335" s="21" t="s">
        <v>1610</v>
      </c>
      <c r="I1335" s="21" t="s">
        <v>1612</v>
      </c>
      <c r="J1335" s="21" t="s">
        <v>1612</v>
      </c>
      <c r="K1335" s="21" t="s">
        <v>143</v>
      </c>
      <c r="L1335" s="21" t="s">
        <v>1613</v>
      </c>
      <c r="M1335" s="21" t="s">
        <v>9566</v>
      </c>
      <c r="N1335" s="21" t="s">
        <v>9567</v>
      </c>
      <c r="O1335" s="48" t="s">
        <v>9568</v>
      </c>
      <c r="P1335" s="21" t="s">
        <v>187</v>
      </c>
      <c r="Q1335" s="24" t="s">
        <v>65</v>
      </c>
      <c r="R1335" s="21" t="s">
        <v>9569</v>
      </c>
      <c r="S1335" s="21" t="s">
        <v>51</v>
      </c>
      <c r="T1335" s="21" t="s">
        <v>52</v>
      </c>
      <c r="U1335" s="21" t="s">
        <v>52</v>
      </c>
      <c r="V1335" s="21" t="s">
        <v>52</v>
      </c>
      <c r="W1335" s="45">
        <v>46025.0</v>
      </c>
      <c r="X1335" s="49">
        <v>0.5604166666666667</v>
      </c>
      <c r="Y1335" s="45">
        <v>46025.0</v>
      </c>
      <c r="Z1335" s="49">
        <v>0.7013888888888888</v>
      </c>
      <c r="AA1335" s="49">
        <v>0.7076388888888889</v>
      </c>
      <c r="AB1335" s="25">
        <v>0.7083333333333334</v>
      </c>
      <c r="AC1335" s="25">
        <v>0.7916666666666666</v>
      </c>
      <c r="AD1335" s="25">
        <v>0.875</v>
      </c>
      <c r="AE1335" s="45">
        <v>46025.0</v>
      </c>
      <c r="AF1335" s="21" t="s">
        <v>7241</v>
      </c>
      <c r="AG1335" s="21" t="s">
        <v>3191</v>
      </c>
      <c r="AH1335" s="47"/>
      <c r="AI1335" s="26" t="str">
        <f>IFERROR(__xludf.DUMMYFUNCTION("IF(OR(W1335="""",X1335="""",AE1335="""",AD1335=""""),"""",
   TEXT(
     (
       (AE1335+AD1335 + IF(AE1335+AD1335 &lt; W1335+X1335,1,0)) - (W1335+X1335)
     )
     - IF(AND(AB1335&lt;&gt;"""",AC1335&lt;&gt;""""), 
          SUM(ARRAYFORMULA(SPLIT(AC1335,"","") - SPLI"&amp;"T(AB1335,"",""))), 
          0
       ),
     ""[hh]:mm""
   )
)
"),"05:33")</f>
        <v>05:33</v>
      </c>
      <c r="AJ1335" s="55">
        <f t="shared" si="16"/>
        <v>0</v>
      </c>
      <c r="AK1335" s="28" t="str">
        <f t="shared" si="17"/>
        <v>Pass</v>
      </c>
    </row>
    <row r="1336">
      <c r="A1336" s="18">
        <v>46025.0</v>
      </c>
      <c r="B1336" s="20">
        <v>0.7840277777777778</v>
      </c>
      <c r="C1336" s="18">
        <v>46025.0</v>
      </c>
      <c r="D1336" s="20">
        <v>0.7861111111111111</v>
      </c>
      <c r="E1336" s="22" t="s">
        <v>9570</v>
      </c>
      <c r="F1336" s="22" t="s">
        <v>202</v>
      </c>
      <c r="G1336" s="22" t="s">
        <v>203</v>
      </c>
      <c r="H1336" s="22" t="s">
        <v>1610</v>
      </c>
      <c r="I1336" s="22" t="s">
        <v>1612</v>
      </c>
      <c r="J1336" s="22" t="s">
        <v>1612</v>
      </c>
      <c r="K1336" s="22" t="s">
        <v>143</v>
      </c>
      <c r="L1336" s="22" t="s">
        <v>1613</v>
      </c>
      <c r="M1336" s="22" t="s">
        <v>8532</v>
      </c>
      <c r="N1336" s="22" t="s">
        <v>9571</v>
      </c>
      <c r="O1336" s="23" t="s">
        <v>9572</v>
      </c>
      <c r="P1336" s="22" t="s">
        <v>187</v>
      </c>
      <c r="Q1336" s="50" t="s">
        <v>65</v>
      </c>
      <c r="R1336" s="22" t="s">
        <v>9573</v>
      </c>
      <c r="S1336" s="22" t="s">
        <v>51</v>
      </c>
      <c r="T1336" s="22" t="s">
        <v>52</v>
      </c>
      <c r="U1336" s="22" t="s">
        <v>52</v>
      </c>
      <c r="V1336" s="22" t="s">
        <v>52</v>
      </c>
      <c r="W1336" s="18">
        <v>46026.0</v>
      </c>
      <c r="X1336" s="20">
        <v>0.375</v>
      </c>
      <c r="Y1336" s="18">
        <v>46026.0</v>
      </c>
      <c r="Z1336" s="20">
        <v>0.3680555555555556</v>
      </c>
      <c r="AA1336" s="20">
        <v>0.36944444444444446</v>
      </c>
      <c r="AB1336" s="54"/>
      <c r="AC1336" s="54"/>
      <c r="AD1336" s="51">
        <v>0.4375</v>
      </c>
      <c r="AE1336" s="18">
        <v>46026.0</v>
      </c>
      <c r="AF1336" s="22" t="s">
        <v>2744</v>
      </c>
      <c r="AG1336" s="22" t="s">
        <v>67</v>
      </c>
      <c r="AH1336" s="22" t="s">
        <v>9574</v>
      </c>
      <c r="AI1336" s="26" t="str">
        <f>IFERROR(__xludf.DUMMYFUNCTION("IF(OR(W1336="""",X1336="""",AE1336="""",AD1336=""""),"""",
   TEXT(
     (
       (AE1336+AD1336 + IF(AE1336+AD1336 &lt; W1336+X1336,1,0)) - (W1336+X1336)
     )
     - IF(AND(AB1336&lt;&gt;"""",AC1336&lt;&gt;""""), 
          SUM(ARRAYFORMULA(SPLIT(AC1336,"","") - SPLI"&amp;"T(AB1336,"",""))), 
          0
       ),
     ""[hh]:mm""
   )
)
"),"01:30")</f>
        <v>01:30</v>
      </c>
      <c r="AJ1336" s="55">
        <f t="shared" si="16"/>
        <v>0</v>
      </c>
      <c r="AK1336" s="28" t="str">
        <f t="shared" si="17"/>
        <v>Pass</v>
      </c>
    </row>
    <row r="1337">
      <c r="A1337" s="18">
        <v>46025.0</v>
      </c>
      <c r="B1337" s="20">
        <v>0.9131944444444444</v>
      </c>
      <c r="C1337" s="18">
        <v>46025.0</v>
      </c>
      <c r="D1337" s="20">
        <v>0.3333333333333333</v>
      </c>
      <c r="E1337" s="22" t="s">
        <v>9575</v>
      </c>
      <c r="F1337" s="22" t="s">
        <v>9576</v>
      </c>
      <c r="G1337" s="22" t="s">
        <v>9577</v>
      </c>
      <c r="H1337" s="22" t="s">
        <v>156</v>
      </c>
      <c r="I1337" s="22" t="s">
        <v>2026</v>
      </c>
      <c r="J1337" s="22" t="s">
        <v>3806</v>
      </c>
      <c r="K1337" s="22" t="s">
        <v>43</v>
      </c>
      <c r="L1337" s="22" t="s">
        <v>2663</v>
      </c>
      <c r="M1337" s="114">
        <v>45717.0</v>
      </c>
      <c r="N1337" s="22" t="s">
        <v>9578</v>
      </c>
      <c r="O1337" s="23" t="s">
        <v>9579</v>
      </c>
      <c r="P1337" s="22" t="s">
        <v>75</v>
      </c>
      <c r="Q1337" s="50" t="s">
        <v>65</v>
      </c>
      <c r="R1337" s="22" t="s">
        <v>188</v>
      </c>
      <c r="S1337" s="22" t="s">
        <v>51</v>
      </c>
      <c r="T1337" s="22" t="s">
        <v>52</v>
      </c>
      <c r="U1337" s="22" t="s">
        <v>52</v>
      </c>
      <c r="V1337" s="22" t="s">
        <v>52</v>
      </c>
      <c r="W1337" s="18">
        <v>46026.0</v>
      </c>
      <c r="X1337" s="20">
        <v>0.3333333333333333</v>
      </c>
      <c r="Y1337" s="18">
        <v>46026.0</v>
      </c>
      <c r="Z1337" s="20">
        <v>0.3194444444444444</v>
      </c>
      <c r="AA1337" s="20">
        <v>0.32013888888888886</v>
      </c>
      <c r="AB1337" s="54"/>
      <c r="AC1337" s="54"/>
      <c r="AD1337" s="51">
        <v>0.3402777777777778</v>
      </c>
      <c r="AE1337" s="18">
        <v>46026.0</v>
      </c>
      <c r="AF1337" s="22" t="s">
        <v>2744</v>
      </c>
      <c r="AG1337" s="22" t="s">
        <v>67</v>
      </c>
      <c r="AH1337" s="22" t="s">
        <v>9580</v>
      </c>
      <c r="AI1337" s="26" t="str">
        <f>IFERROR(__xludf.DUMMYFUNCTION("IF(OR(W1337="""",X1337="""",AE1337="""",AD1337=""""),"""",
   TEXT(
     (
       (AE1337+AD1337 + IF(AE1337+AD1337 &lt; W1337+X1337,1,0)) - (W1337+X1337)
     )
     - IF(AND(AB1337&lt;&gt;"""",AC1337&lt;&gt;""""), 
          SUM(ARRAYFORMULA(SPLIT(AC1337,"","") - SPLI"&amp;"T(AB1337,"",""))), 
          0
       ),
     ""[hh]:mm""
   )
)
"),"00:10")</f>
        <v>00:10</v>
      </c>
      <c r="AJ1337" s="55">
        <f t="shared" si="16"/>
        <v>0</v>
      </c>
      <c r="AK1337" s="28" t="str">
        <f t="shared" si="17"/>
        <v>Pass</v>
      </c>
    </row>
    <row r="1338">
      <c r="A1338" s="18">
        <v>46026.0</v>
      </c>
      <c r="B1338" s="20">
        <v>0.05</v>
      </c>
      <c r="C1338" s="18">
        <v>46026.0</v>
      </c>
      <c r="D1338" s="20">
        <v>0.38680555555555557</v>
      </c>
      <c r="E1338" s="22" t="s">
        <v>9581</v>
      </c>
      <c r="F1338" s="22" t="s">
        <v>316</v>
      </c>
      <c r="G1338" s="22" t="s">
        <v>317</v>
      </c>
      <c r="H1338" s="22" t="s">
        <v>6041</v>
      </c>
      <c r="I1338" s="22" t="s">
        <v>6422</v>
      </c>
      <c r="J1338" s="22" t="s">
        <v>5330</v>
      </c>
      <c r="K1338" s="22" t="s">
        <v>3249</v>
      </c>
      <c r="L1338" s="22" t="s">
        <v>5331</v>
      </c>
      <c r="M1338" s="22" t="s">
        <v>9582</v>
      </c>
      <c r="N1338" s="22" t="s">
        <v>9583</v>
      </c>
      <c r="O1338" s="23" t="s">
        <v>9584</v>
      </c>
      <c r="P1338" s="22" t="s">
        <v>75</v>
      </c>
      <c r="Q1338" s="50" t="s">
        <v>65</v>
      </c>
      <c r="R1338" s="22" t="s">
        <v>9585</v>
      </c>
      <c r="S1338" s="22" t="s">
        <v>51</v>
      </c>
      <c r="T1338" s="22" t="s">
        <v>52</v>
      </c>
      <c r="U1338" s="22" t="s">
        <v>52</v>
      </c>
      <c r="V1338" s="22" t="s">
        <v>52</v>
      </c>
      <c r="W1338" s="18">
        <v>46026.0</v>
      </c>
      <c r="X1338" s="20">
        <v>0.38680555555555557</v>
      </c>
      <c r="Y1338" s="18">
        <v>46026.0</v>
      </c>
      <c r="Z1338" s="20">
        <v>0.44583333333333336</v>
      </c>
      <c r="AA1338" s="20">
        <v>0.44722222222222224</v>
      </c>
      <c r="AB1338" s="51">
        <v>0.46597222222222223</v>
      </c>
      <c r="AC1338" s="51">
        <v>0.48680555555555555</v>
      </c>
      <c r="AD1338" s="51">
        <v>0.48680555555555555</v>
      </c>
      <c r="AE1338" s="18">
        <v>46026.0</v>
      </c>
      <c r="AF1338" s="22" t="s">
        <v>3218</v>
      </c>
      <c r="AG1338" s="22" t="s">
        <v>6108</v>
      </c>
      <c r="AH1338" s="22" t="s">
        <v>8629</v>
      </c>
      <c r="AI1338" s="26" t="str">
        <f>IFERROR(__xludf.DUMMYFUNCTION("IF(OR(W1338="""",X1338="""",AE1338="""",AD1338=""""),"""",
   TEXT(
     (
       (AE1338+AD1338 + IF(AE1338+AD1338 &lt; W1338+X1338,1,0)) - (W1338+X1338)
     )
     - IF(AND(AB1338&lt;&gt;"""",AC1338&lt;&gt;""""), 
          SUM(ARRAYFORMULA(SPLIT(AC1338,"","") - SPLI"&amp;"T(AB1338,"",""))), 
          0
       ),
     ""[hh]:mm""
   )
)
"),"01:54")</f>
        <v>01:54</v>
      </c>
      <c r="AJ1338" s="55">
        <f t="shared" si="16"/>
        <v>0</v>
      </c>
      <c r="AK1338" s="28" t="str">
        <f t="shared" si="17"/>
        <v>Pass</v>
      </c>
    </row>
    <row r="1339">
      <c r="A1339" s="45">
        <v>46026.0</v>
      </c>
      <c r="B1339" s="49">
        <v>0.31666666666666665</v>
      </c>
      <c r="C1339" s="45">
        <v>46026.0</v>
      </c>
      <c r="D1339" s="49">
        <v>0.37916666666666665</v>
      </c>
      <c r="E1339" s="21" t="s">
        <v>9586</v>
      </c>
      <c r="F1339" s="21" t="s">
        <v>939</v>
      </c>
      <c r="G1339" s="21" t="s">
        <v>940</v>
      </c>
      <c r="H1339" s="21" t="s">
        <v>756</v>
      </c>
      <c r="I1339" s="21" t="s">
        <v>644</v>
      </c>
      <c r="J1339" s="21" t="s">
        <v>644</v>
      </c>
      <c r="K1339" s="21" t="s">
        <v>143</v>
      </c>
      <c r="L1339" s="21" t="s">
        <v>1498</v>
      </c>
      <c r="M1339" s="21" t="s">
        <v>9587</v>
      </c>
      <c r="N1339" s="21" t="s">
        <v>9588</v>
      </c>
      <c r="O1339" s="48" t="s">
        <v>9589</v>
      </c>
      <c r="P1339" s="21" t="s">
        <v>75</v>
      </c>
      <c r="Q1339" s="24" t="s">
        <v>65</v>
      </c>
      <c r="R1339" s="21" t="s">
        <v>9590</v>
      </c>
      <c r="S1339" s="21" t="s">
        <v>51</v>
      </c>
      <c r="T1339" s="21" t="s">
        <v>52</v>
      </c>
      <c r="U1339" s="21" t="s">
        <v>52</v>
      </c>
      <c r="V1339" s="21" t="s">
        <v>52</v>
      </c>
      <c r="W1339" s="45">
        <v>46026.0</v>
      </c>
      <c r="X1339" s="49">
        <v>0.37916666666666665</v>
      </c>
      <c r="Y1339" s="45">
        <v>46026.0</v>
      </c>
      <c r="Z1339" s="49">
        <v>0.46805555555555556</v>
      </c>
      <c r="AA1339" s="49">
        <v>0.46805555555555556</v>
      </c>
      <c r="AB1339" s="29"/>
      <c r="AC1339" s="29"/>
      <c r="AD1339" s="25">
        <v>0.5069444444444444</v>
      </c>
      <c r="AE1339" s="45">
        <v>46026.0</v>
      </c>
      <c r="AF1339" s="21" t="s">
        <v>2931</v>
      </c>
      <c r="AG1339" s="21" t="s">
        <v>3191</v>
      </c>
      <c r="AH1339" s="21" t="s">
        <v>9591</v>
      </c>
      <c r="AI1339" s="62" t="str">
        <f>IFERROR(__xludf.DUMMYFUNCTION("IF(OR(W1339="""",X1339="""",AE1339="""",AD1339=""""),"""",
   TEXT(
     (
       (AE1339+AD1339 + IF(AE1339+AD1339 &lt; W1339+X1339,1,0)) - (W1339+X1339)
     )
     - IF(AND(AB1339&lt;&gt;"""",AC1339&lt;&gt;""""), 
          SUM(ARRAYFORMULA(SPLIT(AC1339,"","") - SPLI"&amp;"T(AB1339,"",""))), 
          0
       ),
     ""[hh]:mm""
   )
)
"),"03:04")</f>
        <v>03:04</v>
      </c>
      <c r="AJ1339" s="27">
        <f t="shared" si="16"/>
        <v>0</v>
      </c>
      <c r="AK1339" s="63" t="str">
        <f t="shared" si="17"/>
        <v>Pass</v>
      </c>
    </row>
    <row r="1340">
      <c r="A1340" s="45">
        <v>46026.0</v>
      </c>
      <c r="B1340" s="49">
        <v>0.33958333333333335</v>
      </c>
      <c r="C1340" s="45">
        <v>46026.0</v>
      </c>
      <c r="D1340" s="49">
        <v>0.35833333333333334</v>
      </c>
      <c r="E1340" s="21" t="s">
        <v>9592</v>
      </c>
      <c r="F1340" s="21" t="s">
        <v>1792</v>
      </c>
      <c r="G1340" s="21" t="s">
        <v>9593</v>
      </c>
      <c r="H1340" s="21" t="s">
        <v>377</v>
      </c>
      <c r="I1340" s="21" t="s">
        <v>234</v>
      </c>
      <c r="J1340" s="21" t="s">
        <v>3813</v>
      </c>
      <c r="K1340" s="21" t="s">
        <v>61</v>
      </c>
      <c r="L1340" s="21" t="s">
        <v>183</v>
      </c>
      <c r="M1340" s="21" t="s">
        <v>9594</v>
      </c>
      <c r="N1340" s="21" t="s">
        <v>9595</v>
      </c>
      <c r="O1340" s="48" t="s">
        <v>9596</v>
      </c>
      <c r="P1340" s="21" t="s">
        <v>75</v>
      </c>
      <c r="Q1340" s="24" t="s">
        <v>65</v>
      </c>
      <c r="R1340" s="21" t="s">
        <v>9597</v>
      </c>
      <c r="S1340" s="21" t="s">
        <v>51</v>
      </c>
      <c r="T1340" s="21" t="s">
        <v>52</v>
      </c>
      <c r="U1340" s="21" t="s">
        <v>52</v>
      </c>
      <c r="V1340" s="21" t="s">
        <v>52</v>
      </c>
      <c r="W1340" s="45">
        <v>46026.0</v>
      </c>
      <c r="X1340" s="49">
        <v>0.35833333333333334</v>
      </c>
      <c r="Y1340" s="45">
        <v>46026.0</v>
      </c>
      <c r="Z1340" s="49">
        <v>0.44166666666666665</v>
      </c>
      <c r="AA1340" s="49">
        <v>0.44305555555555554</v>
      </c>
      <c r="AB1340" s="29"/>
      <c r="AC1340" s="29"/>
      <c r="AD1340" s="25">
        <v>0.5722222222222222</v>
      </c>
      <c r="AE1340" s="45">
        <v>46026.0</v>
      </c>
      <c r="AF1340" s="21" t="s">
        <v>7020</v>
      </c>
      <c r="AG1340" s="21" t="s">
        <v>162</v>
      </c>
      <c r="AH1340" s="21" t="s">
        <v>9598</v>
      </c>
      <c r="AI1340" s="62" t="str">
        <f>IFERROR(__xludf.DUMMYFUNCTION("IF(OR(W1340="""",X1340="""",AE1340="""",AD1340=""""),"""",
   TEXT(
     (
       (AE1340+AD1340 + IF(AE1340+AD1340 &lt; W1340+X1340,1,0)) - (W1340+X1340)
     )
     - IF(AND(AB1340&lt;&gt;"""",AC1340&lt;&gt;""""), 
          SUM(ARRAYFORMULA(SPLIT(AC1340,"","") - SPLI"&amp;"T(AB1340,"",""))), 
          0
       ),
     ""[hh]:mm""
   )
)
"),"05:08")</f>
        <v>05:08</v>
      </c>
      <c r="AJ1340" s="27">
        <f t="shared" si="16"/>
        <v>0</v>
      </c>
      <c r="AK1340" s="63" t="str">
        <f t="shared" si="17"/>
        <v>Pass</v>
      </c>
    </row>
    <row r="1341">
      <c r="A1341" s="45">
        <v>46026.0</v>
      </c>
      <c r="B1341" s="49">
        <v>0.38472222222222224</v>
      </c>
      <c r="C1341" s="45">
        <v>46026.0</v>
      </c>
      <c r="D1341" s="49">
        <v>0.41944444444444445</v>
      </c>
      <c r="E1341" s="21" t="s">
        <v>9599</v>
      </c>
      <c r="F1341" s="21" t="s">
        <v>6517</v>
      </c>
      <c r="G1341" s="21" t="s">
        <v>6518</v>
      </c>
      <c r="H1341" s="21" t="s">
        <v>566</v>
      </c>
      <c r="I1341" s="21" t="s">
        <v>60</v>
      </c>
      <c r="J1341" s="21" t="s">
        <v>3813</v>
      </c>
      <c r="K1341" s="21" t="s">
        <v>61</v>
      </c>
      <c r="L1341" s="21" t="s">
        <v>183</v>
      </c>
      <c r="M1341" s="21" t="s">
        <v>9600</v>
      </c>
      <c r="N1341" s="21" t="s">
        <v>9601</v>
      </c>
      <c r="O1341" s="48" t="s">
        <v>9602</v>
      </c>
      <c r="P1341" s="21" t="s">
        <v>48</v>
      </c>
      <c r="Q1341" s="24" t="s">
        <v>65</v>
      </c>
      <c r="R1341" s="21" t="s">
        <v>9603</v>
      </c>
      <c r="S1341" s="21" t="s">
        <v>51</v>
      </c>
      <c r="T1341" s="21" t="s">
        <v>52</v>
      </c>
      <c r="U1341" s="21" t="s">
        <v>52</v>
      </c>
      <c r="V1341" s="21" t="s">
        <v>52</v>
      </c>
      <c r="W1341" s="45">
        <v>46026.0</v>
      </c>
      <c r="X1341" s="49">
        <v>0.41944444444444445</v>
      </c>
      <c r="Y1341" s="45">
        <v>46026.0</v>
      </c>
      <c r="Z1341" s="49">
        <v>0.48541666666666666</v>
      </c>
      <c r="AA1341" s="49">
        <v>0.5875</v>
      </c>
      <c r="AB1341" s="29"/>
      <c r="AC1341" s="29"/>
      <c r="AD1341" s="25">
        <v>0.59375</v>
      </c>
      <c r="AE1341" s="45">
        <v>46026.0</v>
      </c>
      <c r="AF1341" s="21" t="s">
        <v>2839</v>
      </c>
      <c r="AG1341" s="21" t="s">
        <v>9604</v>
      </c>
      <c r="AH1341" s="21" t="s">
        <v>9605</v>
      </c>
      <c r="AI1341" s="62" t="str">
        <f>IFERROR(__xludf.DUMMYFUNCTION("IF(OR(W1341="""",X1341="""",AE1341="""",AD1341=""""),"""",
   TEXT(
     (
       (AE1341+AD1341 + IF(AE1341+AD1341 &lt; W1341+X1341,1,0)) - (W1341+X1341)
     )
     - IF(AND(AB1341&lt;&gt;"""",AC1341&lt;&gt;""""), 
          SUM(ARRAYFORMULA(SPLIT(AC1341,"","") - SPLI"&amp;"T(AB1341,"",""))), 
          0
       ),
     ""[hh]:mm""
   )
)
"),"04:11")</f>
        <v>04:11</v>
      </c>
      <c r="AJ1341" s="27">
        <f t="shared" si="16"/>
        <v>0</v>
      </c>
      <c r="AK1341" s="63" t="str">
        <f t="shared" si="17"/>
        <v>Pass</v>
      </c>
    </row>
    <row r="1342">
      <c r="A1342" s="45">
        <v>46026.0</v>
      </c>
      <c r="B1342" s="49">
        <v>0.38958333333333334</v>
      </c>
      <c r="C1342" s="45">
        <v>46026.0</v>
      </c>
      <c r="D1342" s="49">
        <v>0.41944444444444445</v>
      </c>
      <c r="E1342" s="21" t="s">
        <v>9606</v>
      </c>
      <c r="F1342" s="21" t="s">
        <v>6517</v>
      </c>
      <c r="G1342" s="21" t="s">
        <v>6518</v>
      </c>
      <c r="H1342" s="21" t="s">
        <v>566</v>
      </c>
      <c r="I1342" s="21" t="s">
        <v>234</v>
      </c>
      <c r="J1342" s="21" t="s">
        <v>3813</v>
      </c>
      <c r="K1342" s="21" t="s">
        <v>61</v>
      </c>
      <c r="L1342" s="21" t="s">
        <v>183</v>
      </c>
      <c r="M1342" s="21" t="s">
        <v>7816</v>
      </c>
      <c r="N1342" s="21" t="s">
        <v>9607</v>
      </c>
      <c r="O1342" s="48" t="s">
        <v>9608</v>
      </c>
      <c r="P1342" s="21" t="s">
        <v>48</v>
      </c>
      <c r="Q1342" s="24" t="s">
        <v>65</v>
      </c>
      <c r="R1342" s="21" t="s">
        <v>9609</v>
      </c>
      <c r="S1342" s="21" t="s">
        <v>51</v>
      </c>
      <c r="T1342" s="21" t="s">
        <v>52</v>
      </c>
      <c r="U1342" s="21" t="s">
        <v>52</v>
      </c>
      <c r="V1342" s="21" t="s">
        <v>52</v>
      </c>
      <c r="W1342" s="45">
        <v>46026.0</v>
      </c>
      <c r="X1342" s="49">
        <v>0.41944444444444445</v>
      </c>
      <c r="Y1342" s="45">
        <v>46026.0</v>
      </c>
      <c r="Z1342" s="49">
        <v>0.48541666666666666</v>
      </c>
      <c r="AA1342" s="49">
        <v>0.4861111111111111</v>
      </c>
      <c r="AB1342" s="29"/>
      <c r="AC1342" s="29"/>
      <c r="AD1342" s="25">
        <v>0.5875</v>
      </c>
      <c r="AE1342" s="45">
        <v>46026.0</v>
      </c>
      <c r="AF1342" s="21" t="s">
        <v>2839</v>
      </c>
      <c r="AG1342" s="21" t="s">
        <v>9604</v>
      </c>
      <c r="AH1342" s="21" t="s">
        <v>9605</v>
      </c>
      <c r="AI1342" s="62" t="str">
        <f>IFERROR(__xludf.DUMMYFUNCTION("IF(OR(W1342="""",X1342="""",AE1342="""",AD1342=""""),"""",
   TEXT(
     (
       (AE1342+AD1342 + IF(AE1342+AD1342 &lt; W1342+X1342,1,0)) - (W1342+X1342)
     )
     - IF(AND(AB1342&lt;&gt;"""",AC1342&lt;&gt;""""), 
          SUM(ARRAYFORMULA(SPLIT(AC1342,"","") - SPLI"&amp;"T(AB1342,"",""))), 
          0
       ),
     ""[hh]:mm""
   )
)
"),"04:02")</f>
        <v>04:02</v>
      </c>
      <c r="AJ1342" s="27">
        <f t="shared" si="16"/>
        <v>0</v>
      </c>
      <c r="AK1342" s="63" t="str">
        <f t="shared" si="17"/>
        <v>Pass</v>
      </c>
    </row>
    <row r="1343">
      <c r="A1343" s="45">
        <v>46026.0</v>
      </c>
      <c r="B1343" s="49">
        <v>0.47847222222222224</v>
      </c>
      <c r="C1343" s="45">
        <v>46026.0</v>
      </c>
      <c r="D1343" s="49">
        <v>0.50625</v>
      </c>
      <c r="E1343" s="21" t="s">
        <v>9610</v>
      </c>
      <c r="F1343" s="21" t="s">
        <v>905</v>
      </c>
      <c r="G1343" s="21" t="s">
        <v>1161</v>
      </c>
      <c r="H1343" s="21" t="s">
        <v>9611</v>
      </c>
      <c r="I1343" s="21" t="s">
        <v>234</v>
      </c>
      <c r="J1343" s="21" t="s">
        <v>3806</v>
      </c>
      <c r="K1343" s="21" t="s">
        <v>43</v>
      </c>
      <c r="L1343" s="21" t="s">
        <v>1010</v>
      </c>
      <c r="M1343" s="21" t="s">
        <v>9612</v>
      </c>
      <c r="N1343" s="21" t="s">
        <v>9613</v>
      </c>
      <c r="O1343" s="48" t="s">
        <v>9614</v>
      </c>
      <c r="P1343" s="21" t="s">
        <v>75</v>
      </c>
      <c r="Q1343" s="24" t="s">
        <v>65</v>
      </c>
      <c r="R1343" s="102" t="s">
        <v>9615</v>
      </c>
      <c r="S1343" s="21" t="s">
        <v>51</v>
      </c>
      <c r="T1343" s="21" t="s">
        <v>9616</v>
      </c>
      <c r="U1343" s="21" t="s">
        <v>8476</v>
      </c>
      <c r="V1343" s="21" t="s">
        <v>9612</v>
      </c>
      <c r="W1343" s="45">
        <v>46026.0</v>
      </c>
      <c r="X1343" s="49">
        <v>0.50625</v>
      </c>
      <c r="Y1343" s="45">
        <v>46026.0</v>
      </c>
      <c r="Z1343" s="49">
        <v>0.6041666666666666</v>
      </c>
      <c r="AA1343" s="49">
        <v>0.6145833333333334</v>
      </c>
      <c r="AB1343" s="29"/>
      <c r="AC1343" s="29"/>
      <c r="AD1343" s="25">
        <v>0.6388888888888888</v>
      </c>
      <c r="AE1343" s="45">
        <v>46026.0</v>
      </c>
      <c r="AF1343" s="21" t="s">
        <v>7020</v>
      </c>
      <c r="AG1343" s="21" t="s">
        <v>54</v>
      </c>
      <c r="AH1343" s="21" t="s">
        <v>9617</v>
      </c>
      <c r="AI1343" s="62" t="str">
        <f>IFERROR(__xludf.DUMMYFUNCTION("IF(OR(W1343="""",X1343="""",AE1343="""",AD1343=""""),"""",
   TEXT(
     (
       (AE1343+AD1343 + IF(AE1343+AD1343 &lt; W1343+X1343,1,0)) - (W1343+X1343)
     )
     - IF(AND(AB1343&lt;&gt;"""",AC1343&lt;&gt;""""), 
          SUM(ARRAYFORMULA(SPLIT(AC1343,"","") - SPLI"&amp;"T(AB1343,"",""))), 
          0
       ),
     ""[hh]:mm""
   )
)
"),"03:11")</f>
        <v>03:11</v>
      </c>
      <c r="AJ1343" s="27">
        <f t="shared" si="16"/>
        <v>0</v>
      </c>
      <c r="AK1343" s="63" t="str">
        <f t="shared" si="17"/>
        <v>Pass</v>
      </c>
    </row>
    <row r="1344">
      <c r="A1344" s="45">
        <v>46026.0</v>
      </c>
      <c r="B1344" s="49">
        <v>0.8368055555555556</v>
      </c>
      <c r="C1344" s="45">
        <v>46026.0</v>
      </c>
      <c r="D1344" s="49">
        <v>0.8423611111111111</v>
      </c>
      <c r="E1344" s="21" t="s">
        <v>9618</v>
      </c>
      <c r="F1344" s="21" t="s">
        <v>3082</v>
      </c>
      <c r="G1344" s="21" t="s">
        <v>3083</v>
      </c>
      <c r="H1344" s="21" t="s">
        <v>182</v>
      </c>
      <c r="I1344" s="21" t="s">
        <v>60</v>
      </c>
      <c r="J1344" s="21" t="s">
        <v>3813</v>
      </c>
      <c r="K1344" s="21" t="s">
        <v>61</v>
      </c>
      <c r="L1344" s="21" t="s">
        <v>9619</v>
      </c>
      <c r="M1344" s="21" t="s">
        <v>9620</v>
      </c>
      <c r="N1344" s="21" t="s">
        <v>2525</v>
      </c>
      <c r="O1344" s="48" t="s">
        <v>9621</v>
      </c>
      <c r="P1344" s="21" t="s">
        <v>75</v>
      </c>
      <c r="Q1344" s="24" t="s">
        <v>65</v>
      </c>
      <c r="R1344" s="21" t="s">
        <v>9622</v>
      </c>
      <c r="S1344" s="21" t="s">
        <v>51</v>
      </c>
      <c r="T1344" s="21" t="s">
        <v>52</v>
      </c>
      <c r="U1344" s="21" t="s">
        <v>52</v>
      </c>
      <c r="V1344" s="21" t="s">
        <v>52</v>
      </c>
      <c r="W1344" s="45">
        <v>46026.0</v>
      </c>
      <c r="X1344" s="49">
        <v>0.8423611111111111</v>
      </c>
      <c r="Y1344" s="45">
        <v>46026.0</v>
      </c>
      <c r="Z1344" s="49">
        <v>0.8680555555555556</v>
      </c>
      <c r="AA1344" s="49">
        <v>0.8715277777777778</v>
      </c>
      <c r="AB1344" s="29"/>
      <c r="AC1344" s="29"/>
      <c r="AD1344" s="25">
        <v>0.9166666666666666</v>
      </c>
      <c r="AE1344" s="45">
        <v>46026.0</v>
      </c>
      <c r="AF1344" s="21" t="s">
        <v>2711</v>
      </c>
      <c r="AG1344" s="21" t="s">
        <v>151</v>
      </c>
      <c r="AH1344" s="21" t="s">
        <v>9623</v>
      </c>
      <c r="AI1344" s="62" t="str">
        <f>IFERROR(__xludf.DUMMYFUNCTION("IF(OR(W1344="""",X1344="""",AE1344="""",AD1344=""""),"""",
   TEXT(
     (
       (AE1344+AD1344 + IF(AE1344+AD1344 &lt; W1344+X1344,1,0)) - (W1344+X1344)
     )
     - IF(AND(AB1344&lt;&gt;"""",AC1344&lt;&gt;""""), 
          SUM(ARRAYFORMULA(SPLIT(AC1344,"","") - SPLI"&amp;"T(AB1344,"",""))), 
          0
       ),
     ""[hh]:mm""
   )
)
"),"01:47")</f>
        <v>01:47</v>
      </c>
      <c r="AJ1344" s="27">
        <f t="shared" si="16"/>
        <v>0</v>
      </c>
      <c r="AK1344" s="63" t="str">
        <f t="shared" si="17"/>
        <v>Pass</v>
      </c>
    </row>
    <row r="1345">
      <c r="A1345" s="45">
        <v>46027.0</v>
      </c>
      <c r="B1345" s="49">
        <v>1.0402777777777779</v>
      </c>
      <c r="C1345" s="45">
        <v>46027.0</v>
      </c>
      <c r="D1345" s="49">
        <v>0.30625</v>
      </c>
      <c r="E1345" s="21" t="s">
        <v>9624</v>
      </c>
      <c r="F1345" s="21" t="s">
        <v>8544</v>
      </c>
      <c r="G1345" s="21" t="s">
        <v>8545</v>
      </c>
      <c r="H1345" s="21" t="s">
        <v>1610</v>
      </c>
      <c r="I1345" s="21" t="s">
        <v>1612</v>
      </c>
      <c r="J1345" s="21" t="s">
        <v>1612</v>
      </c>
      <c r="K1345" s="21" t="s">
        <v>143</v>
      </c>
      <c r="L1345" s="21" t="s">
        <v>1613</v>
      </c>
      <c r="M1345" s="21" t="s">
        <v>9009</v>
      </c>
      <c r="N1345" s="21" t="s">
        <v>9625</v>
      </c>
      <c r="O1345" s="48" t="s">
        <v>9626</v>
      </c>
      <c r="P1345" s="21" t="s">
        <v>187</v>
      </c>
      <c r="Q1345" s="24" t="s">
        <v>65</v>
      </c>
      <c r="R1345" s="21" t="s">
        <v>5017</v>
      </c>
      <c r="S1345" s="21" t="s">
        <v>51</v>
      </c>
      <c r="T1345" s="21" t="s">
        <v>52</v>
      </c>
      <c r="U1345" s="21" t="s">
        <v>52</v>
      </c>
      <c r="V1345" s="21" t="s">
        <v>52</v>
      </c>
      <c r="W1345" s="45">
        <v>46027.0</v>
      </c>
      <c r="X1345" s="49">
        <v>0.30625</v>
      </c>
      <c r="Y1345" s="45">
        <v>46027.0</v>
      </c>
      <c r="Z1345" s="49">
        <v>0.4375</v>
      </c>
      <c r="AA1345" s="49">
        <v>0.4409722222222222</v>
      </c>
      <c r="AB1345" s="29"/>
      <c r="AC1345" s="29"/>
      <c r="AD1345" s="25">
        <v>0.5</v>
      </c>
      <c r="AE1345" s="45">
        <v>46027.0</v>
      </c>
      <c r="AF1345" s="21" t="s">
        <v>3218</v>
      </c>
      <c r="AG1345" s="21" t="s">
        <v>54</v>
      </c>
      <c r="AH1345" s="21" t="s">
        <v>9627</v>
      </c>
      <c r="AI1345" s="62" t="str">
        <f>IFERROR(__xludf.DUMMYFUNCTION("IF(OR(W1345="""",X1345="""",AE1345="""",AD1345=""""),"""",
   TEXT(
     (
       (AE1345+AD1345 + IF(AE1345+AD1345 &lt; W1345+X1345,1,0)) - (W1345+X1345)
     )
     - IF(AND(AB1345&lt;&gt;"""",AC1345&lt;&gt;""""), 
          SUM(ARRAYFORMULA(SPLIT(AC1345,"","") - SPLI"&amp;"T(AB1345,"",""))), 
          0
       ),
     ""[hh]:mm""
   )
)
"),"04:39")</f>
        <v>04:39</v>
      </c>
      <c r="AJ1345" s="27">
        <f t="shared" si="16"/>
        <v>0</v>
      </c>
      <c r="AK1345" s="63" t="str">
        <f t="shared" si="17"/>
        <v>Pass</v>
      </c>
    </row>
    <row r="1346">
      <c r="A1346" s="45">
        <v>46027.0</v>
      </c>
      <c r="B1346" s="49">
        <v>0.35833333333333334</v>
      </c>
      <c r="C1346" s="45">
        <v>46027.0</v>
      </c>
      <c r="D1346" s="49">
        <v>0.36041666666666666</v>
      </c>
      <c r="E1346" s="21" t="s">
        <v>9628</v>
      </c>
      <c r="F1346" s="21" t="s">
        <v>7437</v>
      </c>
      <c r="G1346" s="21" t="s">
        <v>7438</v>
      </c>
      <c r="H1346" s="21" t="s">
        <v>566</v>
      </c>
      <c r="I1346" s="21" t="s">
        <v>95</v>
      </c>
      <c r="J1346" s="21" t="s">
        <v>95</v>
      </c>
      <c r="K1346" s="21" t="s">
        <v>143</v>
      </c>
      <c r="L1346" s="21" t="s">
        <v>1785</v>
      </c>
      <c r="M1346" s="21" t="s">
        <v>9629</v>
      </c>
      <c r="N1346" s="21" t="s">
        <v>9275</v>
      </c>
      <c r="O1346" s="48" t="s">
        <v>9630</v>
      </c>
      <c r="P1346" s="21" t="s">
        <v>48</v>
      </c>
      <c r="Q1346" s="24" t="s">
        <v>49</v>
      </c>
      <c r="R1346" s="21" t="s">
        <v>2879</v>
      </c>
      <c r="S1346" s="21" t="s">
        <v>51</v>
      </c>
      <c r="T1346" s="21" t="s">
        <v>52</v>
      </c>
      <c r="U1346" s="21" t="s">
        <v>52</v>
      </c>
      <c r="V1346" s="21" t="s">
        <v>52</v>
      </c>
      <c r="W1346" s="45">
        <v>46027.0</v>
      </c>
      <c r="X1346" s="49">
        <v>0.36041666666666666</v>
      </c>
      <c r="Y1346" s="45">
        <v>46027.0</v>
      </c>
      <c r="Z1346" s="49">
        <v>0.44930555555555557</v>
      </c>
      <c r="AA1346" s="49">
        <v>0.4513888888888889</v>
      </c>
      <c r="AB1346" s="29"/>
      <c r="AC1346" s="29"/>
      <c r="AD1346" s="25">
        <v>0.5173611111111112</v>
      </c>
      <c r="AE1346" s="45">
        <v>46027.0</v>
      </c>
      <c r="AF1346" s="21" t="s">
        <v>2931</v>
      </c>
      <c r="AG1346" s="21" t="s">
        <v>775</v>
      </c>
      <c r="AH1346" s="21" t="s">
        <v>9631</v>
      </c>
      <c r="AI1346" s="62" t="str">
        <f>IFERROR(__xludf.DUMMYFUNCTION("IF(OR(W1346="""",X1346="""",AE1346="""",AD1346=""""),"""",
   TEXT(
     (
       (AE1346+AD1346 + IF(AE1346+AD1346 &lt; W1346+X1346,1,0)) - (W1346+X1346)
     )
     - IF(AND(AB1346&lt;&gt;"""",AC1346&lt;&gt;""""), 
          SUM(ARRAYFORMULA(SPLIT(AC1346,"","") - SPLI"&amp;"T(AB1346,"",""))), 
          0
       ),
     ""[hh]:mm""
   )
)
"),"03:46")</f>
        <v>03:46</v>
      </c>
      <c r="AJ1346" s="27">
        <f t="shared" si="16"/>
        <v>0</v>
      </c>
      <c r="AK1346" s="63" t="str">
        <f t="shared" si="17"/>
        <v>Pass</v>
      </c>
    </row>
    <row r="1347">
      <c r="A1347" s="45">
        <v>46027.0</v>
      </c>
      <c r="B1347" s="49">
        <v>0.3638888888888889</v>
      </c>
      <c r="C1347" s="45">
        <v>46027.0</v>
      </c>
      <c r="D1347" s="49">
        <v>0.3680555555555556</v>
      </c>
      <c r="E1347" s="21" t="s">
        <v>9632</v>
      </c>
      <c r="F1347" s="21" t="s">
        <v>7437</v>
      </c>
      <c r="G1347" s="21" t="s">
        <v>7438</v>
      </c>
      <c r="H1347" s="21" t="s">
        <v>566</v>
      </c>
      <c r="I1347" s="21" t="s">
        <v>60</v>
      </c>
      <c r="J1347" s="21" t="s">
        <v>3806</v>
      </c>
      <c r="K1347" s="21" t="s">
        <v>43</v>
      </c>
      <c r="L1347" s="21" t="s">
        <v>204</v>
      </c>
      <c r="M1347" s="21" t="s">
        <v>9633</v>
      </c>
      <c r="N1347" s="21" t="s">
        <v>9634</v>
      </c>
      <c r="O1347" s="48" t="s">
        <v>9635</v>
      </c>
      <c r="P1347" s="21" t="s">
        <v>48</v>
      </c>
      <c r="Q1347" s="24" t="s">
        <v>65</v>
      </c>
      <c r="R1347" s="21" t="s">
        <v>2879</v>
      </c>
      <c r="S1347" s="21" t="s">
        <v>51</v>
      </c>
      <c r="T1347" s="21" t="s">
        <v>52</v>
      </c>
      <c r="U1347" s="21" t="s">
        <v>52</v>
      </c>
      <c r="V1347" s="21" t="s">
        <v>52</v>
      </c>
      <c r="W1347" s="45">
        <v>46027.0</v>
      </c>
      <c r="X1347" s="49">
        <v>0.3680555555555556</v>
      </c>
      <c r="Y1347" s="45">
        <v>46027.0</v>
      </c>
      <c r="Z1347" s="49">
        <v>0.44930555555555557</v>
      </c>
      <c r="AA1347" s="49">
        <v>0.4513888888888889</v>
      </c>
      <c r="AB1347" s="29"/>
      <c r="AC1347" s="29"/>
      <c r="AD1347" s="25">
        <v>0.5173611111111112</v>
      </c>
      <c r="AE1347" s="45">
        <v>46027.0</v>
      </c>
      <c r="AF1347" s="21" t="s">
        <v>2931</v>
      </c>
      <c r="AG1347" s="21" t="s">
        <v>775</v>
      </c>
      <c r="AH1347" s="21" t="s">
        <v>9631</v>
      </c>
      <c r="AI1347" s="62" t="str">
        <f>IFERROR(__xludf.DUMMYFUNCTION("IF(OR(W1347="""",X1347="""",AE1347="""",AD1347=""""),"""",
   TEXT(
     (
       (AE1347+AD1347 + IF(AE1347+AD1347 &lt; W1347+X1347,1,0)) - (W1347+X1347)
     )
     - IF(AND(AB1347&lt;&gt;"""",AC1347&lt;&gt;""""), 
          SUM(ARRAYFORMULA(SPLIT(AC1347,"","") - SPLI"&amp;"T(AB1347,"",""))), 
          0
       ),
     ""[hh]:mm""
   )
)
"),"03:35")</f>
        <v>03:35</v>
      </c>
      <c r="AJ1347" s="27">
        <f t="shared" si="16"/>
        <v>0</v>
      </c>
      <c r="AK1347" s="63" t="str">
        <f t="shared" si="17"/>
        <v>Pass</v>
      </c>
    </row>
    <row r="1348">
      <c r="A1348" s="45">
        <v>46027.0</v>
      </c>
      <c r="B1348" s="49">
        <v>0.6444444444444445</v>
      </c>
      <c r="C1348" s="45">
        <v>46027.0</v>
      </c>
      <c r="D1348" s="49">
        <v>0.6493055555555556</v>
      </c>
      <c r="E1348" s="21" t="s">
        <v>9636</v>
      </c>
      <c r="F1348" s="21" t="s">
        <v>3265</v>
      </c>
      <c r="G1348" s="21" t="s">
        <v>3266</v>
      </c>
      <c r="H1348" s="21" t="s">
        <v>156</v>
      </c>
      <c r="I1348" s="21" t="s">
        <v>234</v>
      </c>
      <c r="J1348" s="21" t="s">
        <v>3806</v>
      </c>
      <c r="K1348" s="21" t="s">
        <v>43</v>
      </c>
      <c r="L1348" s="21" t="s">
        <v>5260</v>
      </c>
      <c r="M1348" s="21" t="s">
        <v>7802</v>
      </c>
      <c r="N1348" s="21" t="s">
        <v>9637</v>
      </c>
      <c r="O1348" s="48" t="s">
        <v>9638</v>
      </c>
      <c r="P1348" s="21" t="s">
        <v>75</v>
      </c>
      <c r="Q1348" s="24" t="s">
        <v>65</v>
      </c>
      <c r="R1348" s="102" t="s">
        <v>9639</v>
      </c>
      <c r="S1348" s="21" t="s">
        <v>51</v>
      </c>
      <c r="T1348" s="21" t="s">
        <v>6676</v>
      </c>
      <c r="U1348" s="21" t="s">
        <v>7701</v>
      </c>
      <c r="V1348" s="21" t="s">
        <v>7802</v>
      </c>
      <c r="W1348" s="45">
        <v>46027.0</v>
      </c>
      <c r="X1348" s="49">
        <v>0.6493055555555556</v>
      </c>
      <c r="Y1348" s="45">
        <v>46027.0</v>
      </c>
      <c r="Z1348" s="49">
        <v>0.7361111111111112</v>
      </c>
      <c r="AA1348" s="49">
        <v>0.7638888888888888</v>
      </c>
      <c r="AB1348" s="25">
        <v>0.7361111111111112</v>
      </c>
      <c r="AC1348" s="25">
        <v>0.7638888888888888</v>
      </c>
      <c r="AD1348" s="25">
        <v>0.7777777777777778</v>
      </c>
      <c r="AE1348" s="45">
        <v>46027.0</v>
      </c>
      <c r="AF1348" s="21" t="s">
        <v>9640</v>
      </c>
      <c r="AG1348" s="21" t="s">
        <v>54</v>
      </c>
      <c r="AH1348" s="21" t="s">
        <v>9641</v>
      </c>
      <c r="AI1348" s="62" t="str">
        <f>IFERROR(__xludf.DUMMYFUNCTION("IF(OR(W1348="""",X1348="""",AE1348="""",AD1348=""""),"""",
   TEXT(
     (
       (AE1348+AD1348 + IF(AE1348+AD1348 &lt; W1348+X1348,1,0)) - (W1348+X1348)
     )
     - IF(AND(AB1348&lt;&gt;"""",AC1348&lt;&gt;""""), 
          SUM(ARRAYFORMULA(SPLIT(AC1348,"","") - SPLI"&amp;"T(AB1348,"",""))), 
          0
       ),
     ""[hh]:mm""
   )
)
"),"02:25")</f>
        <v>02:25</v>
      </c>
      <c r="AJ1348" s="27">
        <f t="shared" si="16"/>
        <v>0</v>
      </c>
      <c r="AK1348" s="63" t="str">
        <f t="shared" si="17"/>
        <v>Pass</v>
      </c>
    </row>
    <row r="1349">
      <c r="A1349" s="45">
        <v>46028.0</v>
      </c>
      <c r="B1349" s="49">
        <v>0.23680555555555555</v>
      </c>
      <c r="C1349" s="45">
        <v>46028.0</v>
      </c>
      <c r="D1349" s="49">
        <v>0.32569444444444445</v>
      </c>
      <c r="E1349" s="21" t="s">
        <v>9642</v>
      </c>
      <c r="F1349" s="21" t="s">
        <v>898</v>
      </c>
      <c r="G1349" s="21" t="s">
        <v>899</v>
      </c>
      <c r="H1349" s="21" t="s">
        <v>130</v>
      </c>
      <c r="I1349" s="21" t="s">
        <v>107</v>
      </c>
      <c r="J1349" s="21" t="s">
        <v>3806</v>
      </c>
      <c r="K1349" s="21" t="s">
        <v>43</v>
      </c>
      <c r="L1349" s="21" t="s">
        <v>2451</v>
      </c>
      <c r="M1349" s="21" t="s">
        <v>9643</v>
      </c>
      <c r="N1349" s="21" t="s">
        <v>9644</v>
      </c>
      <c r="O1349" s="48" t="s">
        <v>9645</v>
      </c>
      <c r="P1349" s="21" t="s">
        <v>75</v>
      </c>
      <c r="Q1349" s="24" t="s">
        <v>49</v>
      </c>
      <c r="R1349" s="21" t="s">
        <v>9646</v>
      </c>
      <c r="S1349" s="21" t="s">
        <v>51</v>
      </c>
      <c r="T1349" s="21" t="s">
        <v>52</v>
      </c>
      <c r="U1349" s="21" t="s">
        <v>52</v>
      </c>
      <c r="V1349" s="21" t="s">
        <v>52</v>
      </c>
      <c r="W1349" s="45">
        <v>46028.0</v>
      </c>
      <c r="X1349" s="49">
        <v>0.32569444444444445</v>
      </c>
      <c r="Y1349" s="45">
        <v>46028.0</v>
      </c>
      <c r="Z1349" s="49">
        <v>0.43125</v>
      </c>
      <c r="AA1349" s="49">
        <v>0.4326388888888889</v>
      </c>
      <c r="AB1349" s="29"/>
      <c r="AC1349" s="29"/>
      <c r="AD1349" s="25">
        <v>0.43819444444444444</v>
      </c>
      <c r="AE1349" s="45">
        <v>46028.0</v>
      </c>
      <c r="AF1349" s="21" t="s">
        <v>3218</v>
      </c>
      <c r="AG1349" s="21" t="s">
        <v>313</v>
      </c>
      <c r="AH1349" s="21" t="s">
        <v>9647</v>
      </c>
      <c r="AI1349" s="62" t="str">
        <f>IFERROR(__xludf.DUMMYFUNCTION("IF(OR(W1349="""",X1349="""",AE1349="""",AD1349=""""),"""",
   TEXT(
     (
       (AE1349+AD1349 + IF(AE1349+AD1349 &lt; W1349+X1349,1,0)) - (W1349+X1349)
     )
     - IF(AND(AB1349&lt;&gt;"""",AC1349&lt;&gt;""""), 
          SUM(ARRAYFORMULA(SPLIT(AC1349,"","") - SPLI"&amp;"T(AB1349,"",""))), 
          0
       ),
     ""[hh]:mm""
   )
)
"),"02:42")</f>
        <v>02:42</v>
      </c>
      <c r="AJ1349" s="27">
        <f t="shared" si="16"/>
        <v>0</v>
      </c>
      <c r="AK1349" s="63" t="str">
        <f t="shared" si="17"/>
        <v>Pass</v>
      </c>
    </row>
    <row r="1350">
      <c r="A1350" s="45">
        <v>46028.0</v>
      </c>
      <c r="B1350" s="49">
        <v>0.32569444444444445</v>
      </c>
      <c r="C1350" s="45">
        <v>46028.0</v>
      </c>
      <c r="D1350" s="49">
        <v>0.3277777777777778</v>
      </c>
      <c r="E1350" s="21" t="s">
        <v>9648</v>
      </c>
      <c r="F1350" s="21" t="s">
        <v>180</v>
      </c>
      <c r="G1350" s="21" t="s">
        <v>181</v>
      </c>
      <c r="H1350" s="21" t="s">
        <v>454</v>
      </c>
      <c r="I1350" s="21" t="s">
        <v>60</v>
      </c>
      <c r="J1350" s="21" t="s">
        <v>3813</v>
      </c>
      <c r="K1350" s="21" t="s">
        <v>61</v>
      </c>
      <c r="L1350" s="21" t="s">
        <v>183</v>
      </c>
      <c r="M1350" s="21" t="s">
        <v>9649</v>
      </c>
      <c r="N1350" s="21" t="s">
        <v>9650</v>
      </c>
      <c r="O1350" s="48" t="s">
        <v>9651</v>
      </c>
      <c r="P1350" s="21" t="s">
        <v>75</v>
      </c>
      <c r="Q1350" s="24" t="s">
        <v>65</v>
      </c>
      <c r="R1350" s="21" t="s">
        <v>9652</v>
      </c>
      <c r="S1350" s="21" t="s">
        <v>51</v>
      </c>
      <c r="T1350" s="21" t="s">
        <v>5798</v>
      </c>
      <c r="U1350" s="21" t="s">
        <v>9653</v>
      </c>
      <c r="V1350" s="21" t="s">
        <v>9654</v>
      </c>
      <c r="W1350" s="45">
        <v>46028.0</v>
      </c>
      <c r="X1350" s="49">
        <v>0.3277777777777778</v>
      </c>
      <c r="Y1350" s="45">
        <v>46028.0</v>
      </c>
      <c r="Z1350" s="49">
        <v>0.4375</v>
      </c>
      <c r="AA1350" s="49">
        <v>0.4444444444444444</v>
      </c>
      <c r="AB1350" s="24" t="s">
        <v>9655</v>
      </c>
      <c r="AC1350" s="24" t="s">
        <v>4065</v>
      </c>
      <c r="AD1350" s="25">
        <v>0.625</v>
      </c>
      <c r="AE1350" s="45">
        <v>46028.0</v>
      </c>
      <c r="AF1350" s="21" t="s">
        <v>2744</v>
      </c>
      <c r="AG1350" s="21" t="s">
        <v>293</v>
      </c>
      <c r="AH1350" s="21" t="s">
        <v>9656</v>
      </c>
      <c r="AI1350" s="62" t="str">
        <f>IFERROR(__xludf.DUMMYFUNCTION("IF(OR(W1350="""",X1350="""",AE1350="""",AD1350=""""),"""",
   TEXT(
     (
       (AE1350+AD1350 + IF(AE1350+AD1350 &lt; W1350+X1350,1,0)) - (W1350+X1350)
     )
     - IF(AND(AB1350&lt;&gt;"""",AC1350&lt;&gt;""""), 
          SUM(ARRAYFORMULA(SPLIT(AC1350,"","") - SPLI"&amp;"T(AB1350,"",""))), 
          0
       ),
     ""[hh]:mm""
   )
)
"),"04:08")</f>
        <v>04:08</v>
      </c>
      <c r="AJ1350" s="27">
        <f t="shared" si="16"/>
        <v>0</v>
      </c>
      <c r="AK1350" s="63" t="str">
        <f t="shared" si="17"/>
        <v>Pass</v>
      </c>
    </row>
    <row r="1351">
      <c r="A1351" s="45">
        <v>46028.0</v>
      </c>
      <c r="B1351" s="49">
        <v>0.47430555555555554</v>
      </c>
      <c r="C1351" s="45">
        <v>46028.0</v>
      </c>
      <c r="D1351" s="49">
        <v>0.4756944444444444</v>
      </c>
      <c r="E1351" s="21" t="s">
        <v>9657</v>
      </c>
      <c r="F1351" s="21" t="s">
        <v>116</v>
      </c>
      <c r="G1351" s="21" t="s">
        <v>117</v>
      </c>
      <c r="H1351" s="21" t="s">
        <v>4040</v>
      </c>
      <c r="I1351" s="21" t="s">
        <v>836</v>
      </c>
      <c r="J1351" s="21" t="s">
        <v>1056</v>
      </c>
      <c r="K1351" s="21" t="s">
        <v>635</v>
      </c>
      <c r="L1351" s="21" t="s">
        <v>1585</v>
      </c>
      <c r="M1351" s="21" t="s">
        <v>9658</v>
      </c>
      <c r="N1351" s="21" t="s">
        <v>9659</v>
      </c>
      <c r="O1351" s="48" t="s">
        <v>9660</v>
      </c>
      <c r="P1351" s="21" t="s">
        <v>48</v>
      </c>
      <c r="Q1351" s="24" t="s">
        <v>65</v>
      </c>
      <c r="R1351" s="21" t="s">
        <v>9661</v>
      </c>
      <c r="S1351" s="21" t="s">
        <v>51</v>
      </c>
      <c r="T1351" s="21" t="s">
        <v>52</v>
      </c>
      <c r="U1351" s="21" t="s">
        <v>52</v>
      </c>
      <c r="V1351" s="21" t="s">
        <v>52</v>
      </c>
      <c r="W1351" s="45">
        <v>46028.0</v>
      </c>
      <c r="X1351" s="49">
        <v>0.4756944444444444</v>
      </c>
      <c r="Y1351" s="45">
        <v>46028.0</v>
      </c>
      <c r="Z1351" s="49">
        <v>0.5763888888888888</v>
      </c>
      <c r="AA1351" s="49">
        <v>0.5770833333333333</v>
      </c>
      <c r="AB1351" s="29"/>
      <c r="AC1351" s="29"/>
      <c r="AD1351" s="25">
        <v>0.6111111111111112</v>
      </c>
      <c r="AE1351" s="45">
        <v>46028.0</v>
      </c>
      <c r="AF1351" s="21" t="s">
        <v>2719</v>
      </c>
      <c r="AG1351" s="21" t="s">
        <v>162</v>
      </c>
      <c r="AH1351" s="21" t="s">
        <v>9662</v>
      </c>
      <c r="AI1351" s="62" t="str">
        <f>IFERROR(__xludf.DUMMYFUNCTION("IF(OR(W1351="""",X1351="""",AE1351="""",AD1351=""""),"""",
   TEXT(
     (
       (AE1351+AD1351 + IF(AE1351+AD1351 &lt; W1351+X1351,1,0)) - (W1351+X1351)
     )
     - IF(AND(AB1351&lt;&gt;"""",AC1351&lt;&gt;""""), 
          SUM(ARRAYFORMULA(SPLIT(AC1351,"","") - SPLI"&amp;"T(AB1351,"",""))), 
          0
       ),
     ""[hh]:mm""
   )
)
"),"03:15")</f>
        <v>03:15</v>
      </c>
      <c r="AJ1351" s="27">
        <f t="shared" si="16"/>
        <v>0</v>
      </c>
      <c r="AK1351" s="63" t="str">
        <f t="shared" si="17"/>
        <v>Pass</v>
      </c>
    </row>
    <row r="1352">
      <c r="A1352" s="45">
        <v>46028.0</v>
      </c>
      <c r="B1352" s="49">
        <v>0.4798611111111111</v>
      </c>
      <c r="C1352" s="45">
        <v>46028.0</v>
      </c>
      <c r="D1352" s="49">
        <v>0.49444444444444446</v>
      </c>
      <c r="E1352" s="21" t="s">
        <v>9663</v>
      </c>
      <c r="F1352" s="21" t="s">
        <v>1151</v>
      </c>
      <c r="G1352" s="21" t="s">
        <v>1152</v>
      </c>
      <c r="H1352" s="21" t="s">
        <v>4040</v>
      </c>
      <c r="I1352" s="21" t="s">
        <v>1854</v>
      </c>
      <c r="J1352" s="21" t="s">
        <v>1056</v>
      </c>
      <c r="K1352" s="21" t="s">
        <v>635</v>
      </c>
      <c r="L1352" s="21" t="s">
        <v>1585</v>
      </c>
      <c r="M1352" s="21" t="s">
        <v>9664</v>
      </c>
      <c r="N1352" s="21" t="s">
        <v>9665</v>
      </c>
      <c r="O1352" s="48" t="s">
        <v>9666</v>
      </c>
      <c r="P1352" s="21" t="s">
        <v>48</v>
      </c>
      <c r="Q1352" s="24" t="s">
        <v>65</v>
      </c>
      <c r="R1352" s="21" t="s">
        <v>9667</v>
      </c>
      <c r="S1352" s="21" t="s">
        <v>51</v>
      </c>
      <c r="T1352" s="21" t="s">
        <v>52</v>
      </c>
      <c r="U1352" s="21" t="s">
        <v>52</v>
      </c>
      <c r="V1352" s="21" t="s">
        <v>52</v>
      </c>
      <c r="W1352" s="45">
        <v>46028.0</v>
      </c>
      <c r="X1352" s="49">
        <v>0.4791666666666667</v>
      </c>
      <c r="Y1352" s="45">
        <v>46028.0</v>
      </c>
      <c r="Z1352" s="49">
        <v>0.5444444444444444</v>
      </c>
      <c r="AA1352" s="49">
        <v>0.5486111111111112</v>
      </c>
      <c r="AB1352" s="29"/>
      <c r="AC1352" s="29"/>
      <c r="AD1352" s="25">
        <v>0.6041666666666666</v>
      </c>
      <c r="AE1352" s="45">
        <v>46028.0</v>
      </c>
      <c r="AF1352" s="21" t="s">
        <v>2719</v>
      </c>
      <c r="AG1352" s="21" t="s">
        <v>9668</v>
      </c>
      <c r="AH1352" s="21" t="s">
        <v>9669</v>
      </c>
      <c r="AI1352" s="62" t="str">
        <f>IFERROR(__xludf.DUMMYFUNCTION("IF(OR(W1352="""",X1352="""",AE1352="""",AD1352=""""),"""",
   TEXT(
     (
       (AE1352+AD1352 + IF(AE1352+AD1352 &lt; W1352+X1352,1,0)) - (W1352+X1352)
     )
     - IF(AND(AB1352&lt;&gt;"""",AC1352&lt;&gt;""""), 
          SUM(ARRAYFORMULA(SPLIT(AC1352,"","") - SPLI"&amp;"T(AB1352,"",""))), 
          0
       ),
     ""[hh]:mm""
   )
)
"),"03:00")</f>
        <v>03:00</v>
      </c>
      <c r="AJ1352" s="27">
        <f t="shared" si="16"/>
        <v>0</v>
      </c>
      <c r="AK1352" s="63" t="str">
        <f t="shared" si="17"/>
        <v>Pass</v>
      </c>
    </row>
    <row r="1353">
      <c r="A1353" s="45">
        <v>46028.0</v>
      </c>
      <c r="B1353" s="49">
        <v>0.4840277777777778</v>
      </c>
      <c r="C1353" s="45">
        <v>46028.0</v>
      </c>
      <c r="D1353" s="49">
        <v>0.49583333333333335</v>
      </c>
      <c r="E1353" s="21" t="s">
        <v>9670</v>
      </c>
      <c r="F1353" s="21" t="s">
        <v>2284</v>
      </c>
      <c r="G1353" s="21" t="s">
        <v>9671</v>
      </c>
      <c r="H1353" s="21" t="s">
        <v>4040</v>
      </c>
      <c r="I1353" s="21" t="s">
        <v>1153</v>
      </c>
      <c r="J1353" s="21" t="s">
        <v>1056</v>
      </c>
      <c r="K1353" s="21" t="s">
        <v>635</v>
      </c>
      <c r="L1353" s="21" t="s">
        <v>1585</v>
      </c>
      <c r="M1353" s="21" t="s">
        <v>9672</v>
      </c>
      <c r="N1353" s="21" t="s">
        <v>9673</v>
      </c>
      <c r="O1353" s="48" t="s">
        <v>9674</v>
      </c>
      <c r="P1353" s="21" t="s">
        <v>48</v>
      </c>
      <c r="Q1353" s="24" t="s">
        <v>65</v>
      </c>
      <c r="R1353" s="21" t="s">
        <v>9675</v>
      </c>
      <c r="S1353" s="21" t="s">
        <v>51</v>
      </c>
      <c r="T1353" s="21" t="s">
        <v>52</v>
      </c>
      <c r="U1353" s="21" t="s">
        <v>52</v>
      </c>
      <c r="V1353" s="21" t="s">
        <v>52</v>
      </c>
      <c r="W1353" s="45">
        <v>46028.0</v>
      </c>
      <c r="X1353" s="49">
        <v>0.49583333333333335</v>
      </c>
      <c r="Y1353" s="45">
        <v>46028.0</v>
      </c>
      <c r="Z1353" s="49">
        <v>0.5645833333333333</v>
      </c>
      <c r="AA1353" s="49">
        <v>0.5659722222222222</v>
      </c>
      <c r="AB1353" s="29"/>
      <c r="AC1353" s="29"/>
      <c r="AD1353" s="25">
        <v>0.5902777777777778</v>
      </c>
      <c r="AE1353" s="45">
        <v>46028.0</v>
      </c>
      <c r="AF1353" s="21" t="s">
        <v>2719</v>
      </c>
      <c r="AG1353" s="21" t="s">
        <v>102</v>
      </c>
      <c r="AH1353" s="21" t="s">
        <v>9676</v>
      </c>
      <c r="AI1353" s="62" t="str">
        <f>IFERROR(__xludf.DUMMYFUNCTION("IF(OR(W1353="""",X1353="""",AE1353="""",AD1353=""""),"""",
   TEXT(
     (
       (AE1353+AD1353 + IF(AE1353+AD1353 &lt; W1353+X1353,1,0)) - (W1353+X1353)
     )
     - IF(AND(AB1353&lt;&gt;"""",AC1353&lt;&gt;""""), 
          SUM(ARRAYFORMULA(SPLIT(AC1353,"","") - SPLI"&amp;"T(AB1353,"",""))), 
          0
       ),
     ""[hh]:mm""
   )
)
"),"02:16")</f>
        <v>02:16</v>
      </c>
      <c r="AJ1353" s="27">
        <f t="shared" si="16"/>
        <v>0</v>
      </c>
      <c r="AK1353" s="63" t="str">
        <f t="shared" si="17"/>
        <v>Pass</v>
      </c>
    </row>
    <row r="1354">
      <c r="A1354" s="45">
        <v>46028.0</v>
      </c>
      <c r="B1354" s="49">
        <v>0.49375</v>
      </c>
      <c r="C1354" s="45">
        <v>46028.0</v>
      </c>
      <c r="D1354" s="49">
        <v>0.4986111111111111</v>
      </c>
      <c r="E1354" s="21" t="s">
        <v>9677</v>
      </c>
      <c r="F1354" s="21" t="s">
        <v>969</v>
      </c>
      <c r="G1354" s="21" t="s">
        <v>2323</v>
      </c>
      <c r="H1354" s="21" t="s">
        <v>4040</v>
      </c>
      <c r="I1354" s="21" t="s">
        <v>1854</v>
      </c>
      <c r="J1354" s="21" t="s">
        <v>1056</v>
      </c>
      <c r="K1354" s="21" t="s">
        <v>635</v>
      </c>
      <c r="L1354" s="21" t="s">
        <v>1585</v>
      </c>
      <c r="M1354" s="21" t="s">
        <v>9678</v>
      </c>
      <c r="N1354" s="21" t="s">
        <v>9665</v>
      </c>
      <c r="O1354" s="48" t="s">
        <v>9679</v>
      </c>
      <c r="P1354" s="21" t="s">
        <v>48</v>
      </c>
      <c r="Q1354" s="24" t="s">
        <v>65</v>
      </c>
      <c r="R1354" s="21" t="s">
        <v>9680</v>
      </c>
      <c r="S1354" s="21" t="s">
        <v>51</v>
      </c>
      <c r="T1354" s="21" t="s">
        <v>52</v>
      </c>
      <c r="U1354" s="21" t="s">
        <v>52</v>
      </c>
      <c r="V1354" s="21" t="s">
        <v>52</v>
      </c>
      <c r="W1354" s="45">
        <v>46028.0</v>
      </c>
      <c r="X1354" s="49">
        <v>0.5048611111111111</v>
      </c>
      <c r="Y1354" s="45">
        <v>46028.0</v>
      </c>
      <c r="Z1354" s="49">
        <v>0.5875</v>
      </c>
      <c r="AA1354" s="49">
        <v>0.5888888888888889</v>
      </c>
      <c r="AB1354" s="29"/>
      <c r="AC1354" s="29"/>
      <c r="AD1354" s="25">
        <v>0.6305555555555555</v>
      </c>
      <c r="AE1354" s="45">
        <v>46028.0</v>
      </c>
      <c r="AF1354" s="21" t="s">
        <v>2719</v>
      </c>
      <c r="AG1354" s="21" t="s">
        <v>6218</v>
      </c>
      <c r="AH1354" s="21" t="s">
        <v>9681</v>
      </c>
      <c r="AI1354" s="62" t="str">
        <f>IFERROR(__xludf.DUMMYFUNCTION("IF(OR(W1354="""",X1354="""",AE1354="""",AD1354=""""),"""",
   TEXT(
     (
       (AE1354+AD1354 + IF(AE1354+AD1354 &lt; W1354+X1354,1,0)) - (W1354+X1354)
     )
     - IF(AND(AB1354&lt;&gt;"""",AC1354&lt;&gt;""""), 
          SUM(ARRAYFORMULA(SPLIT(AC1354,"","") - SPLI"&amp;"T(AB1354,"",""))), 
          0
       ),
     ""[hh]:mm""
   )
)
"),"03:01")</f>
        <v>03:01</v>
      </c>
      <c r="AJ1354" s="27">
        <f t="shared" si="16"/>
        <v>0</v>
      </c>
      <c r="AK1354" s="63" t="str">
        <f t="shared" si="17"/>
        <v>Pass</v>
      </c>
    </row>
    <row r="1355">
      <c r="A1355" s="45">
        <v>46018.0</v>
      </c>
      <c r="B1355" s="76">
        <v>0.6604166666666667</v>
      </c>
      <c r="C1355" s="45">
        <v>46018.0</v>
      </c>
      <c r="D1355" s="76">
        <v>0.6611111111111111</v>
      </c>
      <c r="E1355" s="21" t="s">
        <v>9682</v>
      </c>
      <c r="F1355" s="21" t="s">
        <v>969</v>
      </c>
      <c r="G1355" s="21" t="s">
        <v>2323</v>
      </c>
      <c r="H1355" s="21" t="s">
        <v>4040</v>
      </c>
      <c r="I1355" s="21" t="s">
        <v>836</v>
      </c>
      <c r="J1355" s="21" t="s">
        <v>1056</v>
      </c>
      <c r="K1355" s="21" t="s">
        <v>635</v>
      </c>
      <c r="L1355" s="21" t="s">
        <v>1585</v>
      </c>
      <c r="M1355" s="21" t="s">
        <v>9683</v>
      </c>
      <c r="N1355" s="21" t="s">
        <v>9684</v>
      </c>
      <c r="O1355" s="48" t="s">
        <v>9685</v>
      </c>
      <c r="P1355" s="21" t="s">
        <v>48</v>
      </c>
      <c r="Q1355" s="24" t="s">
        <v>65</v>
      </c>
      <c r="R1355" s="21" t="s">
        <v>9686</v>
      </c>
      <c r="S1355" s="21" t="s">
        <v>51</v>
      </c>
      <c r="T1355" s="21" t="s">
        <v>52</v>
      </c>
      <c r="U1355" s="21" t="s">
        <v>52</v>
      </c>
      <c r="V1355" s="21" t="s">
        <v>52</v>
      </c>
      <c r="W1355" s="45">
        <v>46028.0</v>
      </c>
      <c r="X1355" s="49">
        <v>0.5048611111111111</v>
      </c>
      <c r="Y1355" s="45">
        <v>46028.0</v>
      </c>
      <c r="Z1355" s="49">
        <v>0.5875</v>
      </c>
      <c r="AA1355" s="49">
        <v>0.5888888888888889</v>
      </c>
      <c r="AB1355" s="29"/>
      <c r="AC1355" s="29"/>
      <c r="AD1355" s="25">
        <v>0.6305555555555555</v>
      </c>
      <c r="AE1355" s="45">
        <v>46028.0</v>
      </c>
      <c r="AF1355" s="21" t="s">
        <v>3007</v>
      </c>
      <c r="AG1355" s="21" t="s">
        <v>6218</v>
      </c>
      <c r="AH1355" s="21" t="s">
        <v>9681</v>
      </c>
      <c r="AI1355" s="62" t="str">
        <f>IFERROR(__xludf.DUMMYFUNCTION("IF(OR(W1355="""",X1355="""",AE1355="""",AD1355=""""),"""",
   TEXT(
     (
       (AE1355+AD1355 + IF(AE1355+AD1355 &lt; W1355+X1355,1,0)) - (W1355+X1355)
     )
     - IF(AND(AB1355&lt;&gt;"""",AC1355&lt;&gt;""""), 
          SUM(ARRAYFORMULA(SPLIT(AC1355,"","") - SPLI"&amp;"T(AB1355,"",""))), 
          0
       ),
     ""[hh]:mm""
   )
)
"),"03:01")</f>
        <v>03:01</v>
      </c>
      <c r="AJ1355" s="27">
        <f t="shared" si="16"/>
        <v>0</v>
      </c>
      <c r="AK1355" s="63" t="str">
        <f t="shared" si="17"/>
        <v>Pass</v>
      </c>
    </row>
    <row r="1356">
      <c r="A1356" s="18">
        <v>46028.0</v>
      </c>
      <c r="B1356" s="20">
        <v>0.4986111111111111</v>
      </c>
      <c r="C1356" s="18">
        <v>46028.0</v>
      </c>
      <c r="D1356" s="20">
        <v>0.5</v>
      </c>
      <c r="E1356" s="22" t="s">
        <v>9687</v>
      </c>
      <c r="F1356" s="22" t="s">
        <v>8266</v>
      </c>
      <c r="G1356" s="22" t="s">
        <v>8267</v>
      </c>
      <c r="H1356" s="22" t="s">
        <v>4040</v>
      </c>
      <c r="I1356" s="22" t="s">
        <v>836</v>
      </c>
      <c r="J1356" s="22" t="s">
        <v>1056</v>
      </c>
      <c r="K1356" s="22" t="s">
        <v>635</v>
      </c>
      <c r="L1356" s="22" t="s">
        <v>1585</v>
      </c>
      <c r="M1356" s="22" t="s">
        <v>1057</v>
      </c>
      <c r="N1356" s="22" t="s">
        <v>9659</v>
      </c>
      <c r="O1356" s="23" t="s">
        <v>9688</v>
      </c>
      <c r="P1356" s="22" t="s">
        <v>48</v>
      </c>
      <c r="Q1356" s="50" t="s">
        <v>65</v>
      </c>
      <c r="R1356" s="22" t="s">
        <v>9689</v>
      </c>
      <c r="S1356" s="22" t="s">
        <v>51</v>
      </c>
      <c r="T1356" s="22" t="s">
        <v>52</v>
      </c>
      <c r="U1356" s="22" t="s">
        <v>52</v>
      </c>
      <c r="V1356" s="22" t="s">
        <v>52</v>
      </c>
      <c r="W1356" s="18">
        <v>46028.0</v>
      </c>
      <c r="X1356" s="20">
        <v>0.5</v>
      </c>
      <c r="Y1356" s="18">
        <v>46028.0</v>
      </c>
      <c r="Z1356" s="20">
        <v>0.6270833333333333</v>
      </c>
      <c r="AA1356" s="20">
        <v>0.6284722222222222</v>
      </c>
      <c r="AB1356" s="54"/>
      <c r="AC1356" s="54"/>
      <c r="AD1356" s="51">
        <v>0.6458333333333334</v>
      </c>
      <c r="AE1356" s="18">
        <v>46028.0</v>
      </c>
      <c r="AF1356" s="22" t="s">
        <v>2719</v>
      </c>
      <c r="AG1356" s="22" t="s">
        <v>239</v>
      </c>
      <c r="AH1356" s="22" t="s">
        <v>8678</v>
      </c>
      <c r="AI1356" s="26" t="str">
        <f>IFERROR(__xludf.DUMMYFUNCTION("IF(OR(W1356="""",X1356="""",AE1356="""",AD1356=""""),"""",
   TEXT(
     (
       (AE1356+AD1356 + IF(AE1356+AD1356 &lt; W1356+X1356,1,0)) - (W1356+X1356)
     )
     - IF(AND(AB1356&lt;&gt;"""",AC1356&lt;&gt;""""), 
          SUM(ARRAYFORMULA(SPLIT(AC1356,"","") - SPLI"&amp;"T(AB1356,"",""))), 
          0
       ),
     ""[hh]:mm""
   )
)
"),"03:30")</f>
        <v>03:30</v>
      </c>
      <c r="AJ1356" s="55">
        <f t="shared" si="16"/>
        <v>0</v>
      </c>
      <c r="AK1356" s="28" t="str">
        <f t="shared" si="17"/>
        <v>Pass</v>
      </c>
    </row>
    <row r="1357">
      <c r="A1357" s="45">
        <v>46028.0</v>
      </c>
      <c r="B1357" s="49">
        <v>0.5013888888888889</v>
      </c>
      <c r="C1357" s="45">
        <v>46028.0</v>
      </c>
      <c r="D1357" s="49">
        <v>0.5097222222222222</v>
      </c>
      <c r="E1357" s="21" t="s">
        <v>9690</v>
      </c>
      <c r="F1357" s="21" t="s">
        <v>8386</v>
      </c>
      <c r="G1357" s="21" t="s">
        <v>8387</v>
      </c>
      <c r="H1357" s="21" t="s">
        <v>4040</v>
      </c>
      <c r="I1357" s="21" t="s">
        <v>1153</v>
      </c>
      <c r="J1357" s="21" t="s">
        <v>1056</v>
      </c>
      <c r="K1357" s="21" t="s">
        <v>635</v>
      </c>
      <c r="L1357" s="21" t="s">
        <v>1585</v>
      </c>
      <c r="M1357" s="21" t="s">
        <v>9691</v>
      </c>
      <c r="N1357" s="21" t="s">
        <v>9673</v>
      </c>
      <c r="O1357" s="48" t="s">
        <v>9692</v>
      </c>
      <c r="P1357" s="21" t="s">
        <v>48</v>
      </c>
      <c r="Q1357" s="24" t="s">
        <v>65</v>
      </c>
      <c r="R1357" s="21" t="s">
        <v>9693</v>
      </c>
      <c r="S1357" s="21" t="s">
        <v>51</v>
      </c>
      <c r="T1357" s="21" t="s">
        <v>52</v>
      </c>
      <c r="U1357" s="21" t="s">
        <v>52</v>
      </c>
      <c r="V1357" s="21" t="s">
        <v>52</v>
      </c>
      <c r="W1357" s="45">
        <v>46028.0</v>
      </c>
      <c r="X1357" s="49">
        <v>0.5111111111111111</v>
      </c>
      <c r="Y1357" s="45">
        <v>46028.0</v>
      </c>
      <c r="Z1357" s="49">
        <v>0.5833333333333334</v>
      </c>
      <c r="AA1357" s="49">
        <v>0.5840277777777778</v>
      </c>
      <c r="AB1357" s="29"/>
      <c r="AC1357" s="29"/>
      <c r="AD1357" s="25">
        <v>0.6076388888888888</v>
      </c>
      <c r="AE1357" s="45">
        <v>46028.0</v>
      </c>
      <c r="AF1357" s="21" t="s">
        <v>2719</v>
      </c>
      <c r="AG1357" s="21" t="s">
        <v>67</v>
      </c>
      <c r="AH1357" s="21" t="s">
        <v>9694</v>
      </c>
      <c r="AI1357" s="62" t="str">
        <f>IFERROR(__xludf.DUMMYFUNCTION("IF(OR(W1357="""",X1357="""",AE1357="""",AD1357=""""),"""",
   TEXT(
     (
       (AE1357+AD1357 + IF(AE1357+AD1357 &lt; W1357+X1357,1,0)) - (W1357+X1357)
     )
     - IF(AND(AB1357&lt;&gt;"""",AC1357&lt;&gt;""""), 
          SUM(ARRAYFORMULA(SPLIT(AC1357,"","") - SPLI"&amp;"T(AB1357,"",""))), 
          0
       ),
     ""[hh]:mm""
   )
)
"),"02:19")</f>
        <v>02:19</v>
      </c>
      <c r="AJ1357" s="27">
        <f t="shared" si="16"/>
        <v>0</v>
      </c>
      <c r="AK1357" s="63" t="str">
        <f t="shared" si="17"/>
        <v>Pass</v>
      </c>
    </row>
    <row r="1358">
      <c r="A1358" s="45">
        <v>46028.0</v>
      </c>
      <c r="B1358" s="49">
        <v>0.5013888888888889</v>
      </c>
      <c r="C1358" s="45">
        <v>46028.0</v>
      </c>
      <c r="D1358" s="49">
        <v>0.5097222222222222</v>
      </c>
      <c r="E1358" s="21" t="s">
        <v>9695</v>
      </c>
      <c r="F1358" s="21" t="s">
        <v>8386</v>
      </c>
      <c r="G1358" s="21" t="s">
        <v>8387</v>
      </c>
      <c r="H1358" s="21" t="s">
        <v>4040</v>
      </c>
      <c r="I1358" s="21" t="s">
        <v>836</v>
      </c>
      <c r="J1358" s="21" t="s">
        <v>1056</v>
      </c>
      <c r="K1358" s="21" t="s">
        <v>635</v>
      </c>
      <c r="L1358" s="21" t="s">
        <v>1585</v>
      </c>
      <c r="M1358" s="21" t="s">
        <v>9696</v>
      </c>
      <c r="N1358" s="21" t="s">
        <v>9659</v>
      </c>
      <c r="O1358" s="48" t="s">
        <v>9692</v>
      </c>
      <c r="P1358" s="21" t="s">
        <v>48</v>
      </c>
      <c r="Q1358" s="24" t="s">
        <v>65</v>
      </c>
      <c r="R1358" s="21" t="s">
        <v>9693</v>
      </c>
      <c r="S1358" s="21" t="s">
        <v>51</v>
      </c>
      <c r="T1358" s="21" t="s">
        <v>52</v>
      </c>
      <c r="U1358" s="21" t="s">
        <v>52</v>
      </c>
      <c r="V1358" s="21" t="s">
        <v>52</v>
      </c>
      <c r="W1358" s="45">
        <v>46028.0</v>
      </c>
      <c r="X1358" s="49">
        <v>0.5097222222222222</v>
      </c>
      <c r="Y1358" s="45">
        <v>46028.0</v>
      </c>
      <c r="Z1358" s="49">
        <v>0.5833333333333334</v>
      </c>
      <c r="AA1358" s="49">
        <v>0.5840277777777778</v>
      </c>
      <c r="AB1358" s="29"/>
      <c r="AC1358" s="29"/>
      <c r="AD1358" s="25">
        <v>0.6076388888888888</v>
      </c>
      <c r="AE1358" s="45">
        <v>46028.0</v>
      </c>
      <c r="AF1358" s="21" t="s">
        <v>2719</v>
      </c>
      <c r="AG1358" s="21" t="s">
        <v>67</v>
      </c>
      <c r="AH1358" s="21" t="s">
        <v>9694</v>
      </c>
      <c r="AI1358" s="62" t="str">
        <f>IFERROR(__xludf.DUMMYFUNCTION("IF(OR(W1358="""",X1358="""",AE1358="""",AD1358=""""),"""",
   TEXT(
     (
       (AE1358+AD1358 + IF(AE1358+AD1358 &lt; W1358+X1358,1,0)) - (W1358+X1358)
     )
     - IF(AND(AB1358&lt;&gt;"""",AC1358&lt;&gt;""""), 
          SUM(ARRAYFORMULA(SPLIT(AC1358,"","") - SPLI"&amp;"T(AB1358,"",""))), 
          0
       ),
     ""[hh]:mm""
   )
)
"),"02:21")</f>
        <v>02:21</v>
      </c>
      <c r="AJ1358" s="27">
        <f t="shared" si="16"/>
        <v>0</v>
      </c>
      <c r="AK1358" s="63" t="str">
        <f t="shared" si="17"/>
        <v>Pass</v>
      </c>
    </row>
    <row r="1359">
      <c r="A1359" s="18">
        <v>46028.0</v>
      </c>
      <c r="B1359" s="20">
        <v>0.5041666666666667</v>
      </c>
      <c r="C1359" s="18">
        <v>46028.0</v>
      </c>
      <c r="D1359" s="20">
        <v>0.5111111111111111</v>
      </c>
      <c r="E1359" s="22" t="s">
        <v>9697</v>
      </c>
      <c r="F1359" s="22" t="s">
        <v>9484</v>
      </c>
      <c r="G1359" s="22" t="s">
        <v>9698</v>
      </c>
      <c r="H1359" s="22" t="s">
        <v>4040</v>
      </c>
      <c r="I1359" s="22" t="s">
        <v>1055</v>
      </c>
      <c r="J1359" s="22" t="s">
        <v>1056</v>
      </c>
      <c r="K1359" s="22" t="s">
        <v>635</v>
      </c>
      <c r="L1359" s="22" t="s">
        <v>1585</v>
      </c>
      <c r="M1359" s="22" t="s">
        <v>9699</v>
      </c>
      <c r="N1359" s="22" t="s">
        <v>9700</v>
      </c>
      <c r="O1359" s="23" t="s">
        <v>9701</v>
      </c>
      <c r="P1359" s="22" t="s">
        <v>48</v>
      </c>
      <c r="Q1359" s="50" t="s">
        <v>65</v>
      </c>
      <c r="R1359" s="22" t="s">
        <v>9702</v>
      </c>
      <c r="S1359" s="22" t="s">
        <v>51</v>
      </c>
      <c r="T1359" s="22" t="s">
        <v>52</v>
      </c>
      <c r="U1359" s="22" t="s">
        <v>52</v>
      </c>
      <c r="V1359" s="22" t="s">
        <v>52</v>
      </c>
      <c r="W1359" s="18">
        <v>46028.0</v>
      </c>
      <c r="X1359" s="20">
        <v>0.5111111111111111</v>
      </c>
      <c r="Y1359" s="18">
        <v>46028.0</v>
      </c>
      <c r="Z1359" s="20">
        <v>0.6868055555555556</v>
      </c>
      <c r="AA1359" s="20">
        <v>0.6875</v>
      </c>
      <c r="AB1359" s="54"/>
      <c r="AC1359" s="54"/>
      <c r="AD1359" s="51">
        <v>0.71875</v>
      </c>
      <c r="AE1359" s="18">
        <v>46028.0</v>
      </c>
      <c r="AF1359" s="22" t="s">
        <v>2719</v>
      </c>
      <c r="AG1359" s="22" t="s">
        <v>6787</v>
      </c>
      <c r="AH1359" s="22" t="s">
        <v>9703</v>
      </c>
      <c r="AI1359" s="62" t="str">
        <f>IFERROR(__xludf.DUMMYFUNCTION("IF(OR(W1359="""",X1359="""",AE1359="""",AD1359=""""),"""",
   TEXT(
     (
       (AE1359+AD1359 + IF(AE1359+AD1359 &lt; W1359+X1359,1,0)) - (W1359+X1359)
     )
     - IF(AND(AB1359&lt;&gt;"""",AC1359&lt;&gt;""""), 
          SUM(ARRAYFORMULA(SPLIT(AC1359,"","") - SPLI"&amp;"T(AB1359,"",""))), 
          0
       ),
     ""[hh]:mm""
   )
)
"),"04:59")</f>
        <v>04:59</v>
      </c>
      <c r="AJ1359" s="27">
        <f t="shared" si="16"/>
        <v>0</v>
      </c>
      <c r="AK1359" s="63" t="str">
        <f t="shared" si="17"/>
        <v>Pass</v>
      </c>
    </row>
    <row r="1360">
      <c r="A1360" s="115">
        <v>46028.0</v>
      </c>
      <c r="B1360" s="116">
        <v>0.5215277777777778</v>
      </c>
      <c r="C1360" s="115">
        <v>46028.0</v>
      </c>
      <c r="D1360" s="116">
        <v>0.5229166666666667</v>
      </c>
      <c r="E1360" s="117" t="s">
        <v>9704</v>
      </c>
      <c r="F1360" s="117" t="s">
        <v>7955</v>
      </c>
      <c r="G1360" s="117" t="s">
        <v>7956</v>
      </c>
      <c r="H1360" s="117" t="s">
        <v>156</v>
      </c>
      <c r="I1360" s="117" t="s">
        <v>131</v>
      </c>
      <c r="J1360" s="117" t="s">
        <v>2253</v>
      </c>
      <c r="K1360" s="117" t="s">
        <v>43</v>
      </c>
      <c r="L1360" s="117" t="s">
        <v>805</v>
      </c>
      <c r="M1360" s="117" t="s">
        <v>9705</v>
      </c>
      <c r="N1360" s="117" t="s">
        <v>3565</v>
      </c>
      <c r="O1360" s="118" t="s">
        <v>9706</v>
      </c>
      <c r="P1360" s="117" t="s">
        <v>75</v>
      </c>
      <c r="Q1360" s="24" t="s">
        <v>65</v>
      </c>
      <c r="R1360" s="117" t="s">
        <v>9707</v>
      </c>
      <c r="S1360" s="117" t="s">
        <v>51</v>
      </c>
      <c r="T1360" s="117" t="s">
        <v>52</v>
      </c>
      <c r="U1360" s="117" t="s">
        <v>52</v>
      </c>
      <c r="V1360" s="117" t="s">
        <v>52</v>
      </c>
      <c r="W1360" s="115">
        <v>46028.0</v>
      </c>
      <c r="X1360" s="116">
        <v>0.5229166666666667</v>
      </c>
      <c r="Y1360" s="115">
        <v>46028.0</v>
      </c>
      <c r="Z1360" s="116">
        <v>0.5805555555555556</v>
      </c>
      <c r="AA1360" s="116">
        <v>0.58125</v>
      </c>
      <c r="AB1360" s="25">
        <v>0.6</v>
      </c>
      <c r="AC1360" s="25">
        <v>0.7222222222222222</v>
      </c>
      <c r="AD1360" s="25">
        <v>0.7201388888888889</v>
      </c>
      <c r="AE1360" s="115">
        <v>46028.0</v>
      </c>
      <c r="AF1360" s="117" t="s">
        <v>2744</v>
      </c>
      <c r="AG1360" s="117" t="s">
        <v>5541</v>
      </c>
      <c r="AH1360" s="117" t="s">
        <v>9553</v>
      </c>
      <c r="AI1360" s="119" t="str">
        <f>IFERROR(__xludf.DUMMYFUNCTION("IF(OR(W1360="""",X1360="""",AE1360="""",AD1360=""""),"""",
   TEXT(
     (
       (AE1360+AD1360 + IF(AE1360+AD1360 &lt; W1360+X1360,1,0)) - (W1360+X1360)
     )
     - IF(AND(AB1360&lt;&gt;"""",AC1360&lt;&gt;""""), 
          SUM(ARRAYFORMULA(SPLIT(AC1360,"","") - SPLI"&amp;"T(AB1360,"",""))), 
          0
       ),
     ""[hh]:mm""
   )
)
"),"01:48")</f>
        <v>01:48</v>
      </c>
      <c r="AJ1360" s="27">
        <f t="shared" si="16"/>
        <v>0</v>
      </c>
      <c r="AK1360" s="120" t="str">
        <f t="shared" si="17"/>
        <v>Pass</v>
      </c>
    </row>
    <row r="1361">
      <c r="A1361" s="45">
        <v>46028.0</v>
      </c>
      <c r="B1361" s="49">
        <v>0.43125</v>
      </c>
      <c r="C1361" s="45">
        <v>46028.0</v>
      </c>
      <c r="D1361" s="49">
        <v>0.43125</v>
      </c>
      <c r="E1361" s="21" t="s">
        <v>9708</v>
      </c>
      <c r="F1361" s="21" t="s">
        <v>898</v>
      </c>
      <c r="G1361" s="21" t="s">
        <v>899</v>
      </c>
      <c r="H1361" s="21" t="s">
        <v>156</v>
      </c>
      <c r="I1361" s="21" t="s">
        <v>131</v>
      </c>
      <c r="J1361" s="21" t="s">
        <v>2253</v>
      </c>
      <c r="K1361" s="21" t="s">
        <v>43</v>
      </c>
      <c r="L1361" s="21" t="s">
        <v>805</v>
      </c>
      <c r="M1361" s="21" t="s">
        <v>9709</v>
      </c>
      <c r="N1361" s="21" t="s">
        <v>9710</v>
      </c>
      <c r="O1361" s="48" t="s">
        <v>9711</v>
      </c>
      <c r="P1361" s="21" t="s">
        <v>75</v>
      </c>
      <c r="Q1361" s="24" t="s">
        <v>65</v>
      </c>
      <c r="R1361" s="102" t="s">
        <v>9712</v>
      </c>
      <c r="S1361" s="21" t="s">
        <v>51</v>
      </c>
      <c r="T1361" s="21" t="s">
        <v>6676</v>
      </c>
      <c r="U1361" s="21" t="s">
        <v>9092</v>
      </c>
      <c r="V1361" s="21" t="s">
        <v>9713</v>
      </c>
      <c r="W1361" s="18">
        <v>46028.0</v>
      </c>
      <c r="X1361" s="49">
        <v>0.43125</v>
      </c>
      <c r="Y1361" s="45">
        <v>46028.0</v>
      </c>
      <c r="Z1361" s="49">
        <v>0.43125</v>
      </c>
      <c r="AA1361" s="49">
        <v>0.5423611111111111</v>
      </c>
      <c r="AB1361" s="24" t="s">
        <v>9714</v>
      </c>
      <c r="AC1361" s="24" t="s">
        <v>9715</v>
      </c>
      <c r="AD1361" s="25">
        <v>0.5701388888888889</v>
      </c>
      <c r="AE1361" s="45">
        <v>46028.0</v>
      </c>
      <c r="AF1361" s="21" t="s">
        <v>9716</v>
      </c>
      <c r="AG1361" s="21" t="s">
        <v>313</v>
      </c>
      <c r="AH1361" s="21" t="s">
        <v>903</v>
      </c>
      <c r="AI1361" s="62" t="str">
        <f>IFERROR(__xludf.DUMMYFUNCTION("IF(OR(W1361="""",X1361="""",AE1361="""",AD1361=""""),"""",
   TEXT(
     (
       (AE1361+AD1361 + IF(AE1361+AD1361 &lt; W1361+X1361,1,0)) - (W1361+X1361)
     )
     - IF(AND(AB1361&lt;&gt;"""",AC1361&lt;&gt;""""), 
          SUM(ARRAYFORMULA(SPLIT(AC1361,"","") - SPLI"&amp;"T(AB1361,"",""))), 
          0
       ),
     ""[hh]:mm""
   )
)
"),"-00:16")</f>
        <v>-00:16</v>
      </c>
      <c r="AJ1361" s="27">
        <f t="shared" si="16"/>
        <v>0</v>
      </c>
      <c r="AK1361" s="63" t="str">
        <f t="shared" si="17"/>
        <v>Pass</v>
      </c>
    </row>
    <row r="1362">
      <c r="A1362" s="18">
        <v>46028.0</v>
      </c>
      <c r="B1362" s="20">
        <v>0.6354166666666666</v>
      </c>
      <c r="C1362" s="18">
        <v>46028.0</v>
      </c>
      <c r="D1362" s="20">
        <v>0.6354166666666666</v>
      </c>
      <c r="E1362" s="22" t="s">
        <v>7590</v>
      </c>
      <c r="F1362" s="22" t="s">
        <v>812</v>
      </c>
      <c r="G1362" s="22" t="s">
        <v>813</v>
      </c>
      <c r="H1362" s="22" t="s">
        <v>3093</v>
      </c>
      <c r="I1362" s="22" t="s">
        <v>131</v>
      </c>
      <c r="J1362" s="22" t="s">
        <v>2253</v>
      </c>
      <c r="K1362" s="22" t="s">
        <v>43</v>
      </c>
      <c r="L1362" s="22" t="s">
        <v>2663</v>
      </c>
      <c r="M1362" s="22" t="s">
        <v>7884</v>
      </c>
      <c r="N1362" s="22" t="s">
        <v>8983</v>
      </c>
      <c r="O1362" s="23" t="s">
        <v>9717</v>
      </c>
      <c r="P1362" s="22" t="s">
        <v>75</v>
      </c>
      <c r="Q1362" s="50" t="s">
        <v>65</v>
      </c>
      <c r="R1362" s="22" t="s">
        <v>9718</v>
      </c>
      <c r="S1362" s="22" t="s">
        <v>51</v>
      </c>
      <c r="T1362" s="22" t="s">
        <v>52</v>
      </c>
      <c r="U1362" s="22" t="s">
        <v>52</v>
      </c>
      <c r="V1362" s="22" t="s">
        <v>52</v>
      </c>
      <c r="W1362" s="18">
        <v>46028.0</v>
      </c>
      <c r="X1362" s="20">
        <v>0.6354166666666666</v>
      </c>
      <c r="Y1362" s="18">
        <v>46028.0</v>
      </c>
      <c r="Z1362" s="20">
        <v>0.6354166666666666</v>
      </c>
      <c r="AA1362" s="20">
        <v>0.6354166666666666</v>
      </c>
      <c r="AB1362" s="54"/>
      <c r="AC1362" s="54"/>
      <c r="AD1362" s="51">
        <v>0.6805555555555556</v>
      </c>
      <c r="AE1362" s="18">
        <v>46028.0</v>
      </c>
      <c r="AF1362" s="22" t="s">
        <v>7047</v>
      </c>
      <c r="AG1362" s="22" t="s">
        <v>5541</v>
      </c>
      <c r="AH1362" s="22" t="s">
        <v>8904</v>
      </c>
      <c r="AI1362" s="62" t="str">
        <f>IFERROR(__xludf.DUMMYFUNCTION("IF(OR(W1362="""",X1362="""",AE1362="""",AD1362=""""),"""",
   TEXT(
     (
       (AE1362+AD1362 + IF(AE1362+AD1362 &lt; W1362+X1362,1,0)) - (W1362+X1362)
     )
     - IF(AND(AB1362&lt;&gt;"""",AC1362&lt;&gt;""""), 
          SUM(ARRAYFORMULA(SPLIT(AC1362,"","") - SPLI"&amp;"T(AB1362,"",""))), 
          0
       ),
     ""[hh]:mm""
   )
)
"),"01:05")</f>
        <v>01:05</v>
      </c>
      <c r="AJ1362" s="27">
        <f t="shared" si="16"/>
        <v>0</v>
      </c>
      <c r="AK1362" s="63" t="str">
        <f t="shared" si="17"/>
        <v>Pass</v>
      </c>
    </row>
    <row r="1363">
      <c r="A1363" s="18">
        <v>46028.0</v>
      </c>
      <c r="B1363" s="20">
        <v>0.6090277777777777</v>
      </c>
      <c r="C1363" s="18">
        <v>46028.0</v>
      </c>
      <c r="D1363" s="20">
        <v>0.6104166666666667</v>
      </c>
      <c r="E1363" s="22" t="s">
        <v>9719</v>
      </c>
      <c r="F1363" s="22" t="s">
        <v>596</v>
      </c>
      <c r="G1363" s="22" t="s">
        <v>9720</v>
      </c>
      <c r="H1363" s="22" t="s">
        <v>182</v>
      </c>
      <c r="I1363" s="22" t="s">
        <v>60</v>
      </c>
      <c r="J1363" s="22" t="s">
        <v>3813</v>
      </c>
      <c r="K1363" s="22" t="s">
        <v>61</v>
      </c>
      <c r="L1363" s="22" t="s">
        <v>183</v>
      </c>
      <c r="M1363" s="22" t="s">
        <v>9721</v>
      </c>
      <c r="N1363" s="22" t="s">
        <v>9722</v>
      </c>
      <c r="O1363" s="23" t="s">
        <v>9723</v>
      </c>
      <c r="P1363" s="22" t="s">
        <v>75</v>
      </c>
      <c r="Q1363" s="50" t="s">
        <v>65</v>
      </c>
      <c r="R1363" s="22" t="s">
        <v>9724</v>
      </c>
      <c r="S1363" s="22" t="s">
        <v>51</v>
      </c>
      <c r="T1363" s="22" t="s">
        <v>52</v>
      </c>
      <c r="U1363" s="22" t="s">
        <v>52</v>
      </c>
      <c r="V1363" s="22" t="s">
        <v>52</v>
      </c>
      <c r="W1363" s="18">
        <v>46028.0</v>
      </c>
      <c r="X1363" s="20">
        <v>0.6104166666666667</v>
      </c>
      <c r="Y1363" s="18">
        <v>46028.0</v>
      </c>
      <c r="Z1363" s="20">
        <v>0.6388888888888888</v>
      </c>
      <c r="AA1363" s="75">
        <v>0.6423611111111112</v>
      </c>
      <c r="AB1363" s="54"/>
      <c r="AC1363" s="54"/>
      <c r="AD1363" s="51">
        <v>0.7152777777777778</v>
      </c>
      <c r="AE1363" s="18">
        <v>46028.0</v>
      </c>
      <c r="AF1363" s="22" t="s">
        <v>2931</v>
      </c>
      <c r="AG1363" s="22" t="s">
        <v>54</v>
      </c>
      <c r="AH1363" s="22" t="s">
        <v>602</v>
      </c>
      <c r="AI1363" s="62" t="str">
        <f>IFERROR(__xludf.DUMMYFUNCTION("IF(OR(W1363="""",X1363="""",AE1363="""",AD1363=""""),"""",
   TEXT(
     (
       (AE1363+AD1363 + IF(AE1363+AD1363 &lt; W1363+X1363,1,0)) - (W1363+X1363)
     )
     - IF(AND(AB1363&lt;&gt;"""",AC1363&lt;&gt;""""), 
          SUM(ARRAYFORMULA(SPLIT(AC1363,"","") - SPLI"&amp;"T(AB1363,"",""))), 
          0
       ),
     ""[hh]:mm""
   )
)
"),"02:31")</f>
        <v>02:31</v>
      </c>
      <c r="AJ1363" s="27">
        <f t="shared" si="16"/>
        <v>0</v>
      </c>
      <c r="AK1363" s="63" t="str">
        <f t="shared" si="17"/>
        <v>Pass</v>
      </c>
    </row>
    <row r="1364">
      <c r="A1364" s="45">
        <v>46028.0</v>
      </c>
      <c r="B1364" s="49">
        <v>0.5875</v>
      </c>
      <c r="C1364" s="45">
        <v>46028.0</v>
      </c>
      <c r="D1364" s="49">
        <v>0.5875</v>
      </c>
      <c r="E1364" s="21" t="s">
        <v>9725</v>
      </c>
      <c r="F1364" s="21" t="s">
        <v>969</v>
      </c>
      <c r="G1364" s="21" t="s">
        <v>2323</v>
      </c>
      <c r="H1364" s="21" t="s">
        <v>1422</v>
      </c>
      <c r="I1364" s="21" t="s">
        <v>234</v>
      </c>
      <c r="J1364" s="21" t="s">
        <v>3813</v>
      </c>
      <c r="K1364" s="21" t="s">
        <v>43</v>
      </c>
      <c r="L1364" s="21" t="s">
        <v>2451</v>
      </c>
      <c r="M1364" s="21" t="s">
        <v>9726</v>
      </c>
      <c r="N1364" s="21" t="s">
        <v>9727</v>
      </c>
      <c r="O1364" s="48" t="s">
        <v>9728</v>
      </c>
      <c r="P1364" s="21" t="s">
        <v>48</v>
      </c>
      <c r="Q1364" s="24" t="s">
        <v>65</v>
      </c>
      <c r="R1364" s="21" t="s">
        <v>9729</v>
      </c>
      <c r="S1364" s="21" t="s">
        <v>51</v>
      </c>
      <c r="T1364" s="21" t="s">
        <v>52</v>
      </c>
      <c r="U1364" s="21" t="s">
        <v>52</v>
      </c>
      <c r="V1364" s="21" t="s">
        <v>52</v>
      </c>
      <c r="W1364" s="45">
        <v>46028.0</v>
      </c>
      <c r="X1364" s="49">
        <v>0.5875</v>
      </c>
      <c r="Y1364" s="45">
        <v>46028.0</v>
      </c>
      <c r="Z1364" s="49">
        <v>0.5875</v>
      </c>
      <c r="AA1364" s="49">
        <v>0.5888888888888889</v>
      </c>
      <c r="AB1364" s="29"/>
      <c r="AC1364" s="29"/>
      <c r="AD1364" s="25">
        <v>0.6305555555555555</v>
      </c>
      <c r="AE1364" s="45">
        <v>46028.0</v>
      </c>
      <c r="AF1364" s="21" t="s">
        <v>9730</v>
      </c>
      <c r="AG1364" s="21" t="s">
        <v>6218</v>
      </c>
      <c r="AH1364" s="21" t="s">
        <v>9681</v>
      </c>
      <c r="AI1364" s="62" t="str">
        <f>IFERROR(__xludf.DUMMYFUNCTION("IF(OR(W1364="""",X1364="""",AE1364="""",AD1364=""""),"""",
   TEXT(
     (
       (AE1364+AD1364 + IF(AE1364+AD1364 &lt; W1364+X1364,1,0)) - (W1364+X1364)
     )
     - IF(AND(AB1364&lt;&gt;"""",AC1364&lt;&gt;""""), 
          SUM(ARRAYFORMULA(SPLIT(AC1364,"","") - SPLI"&amp;"T(AB1364,"",""))), 
          0
       ),
     ""[hh]:mm""
   )
)
"),"01:02")</f>
        <v>01:02</v>
      </c>
      <c r="AJ1364" s="27">
        <f t="shared" si="16"/>
        <v>0</v>
      </c>
      <c r="AK1364" s="63" t="str">
        <f t="shared" si="17"/>
        <v>Pass</v>
      </c>
    </row>
    <row r="1365">
      <c r="A1365" s="18">
        <v>46028.0</v>
      </c>
      <c r="B1365" s="20">
        <v>0.6840277777777778</v>
      </c>
      <c r="C1365" s="18">
        <v>46028.0</v>
      </c>
      <c r="D1365" s="20">
        <v>0.6923611111111111</v>
      </c>
      <c r="E1365" s="22" t="s">
        <v>9731</v>
      </c>
      <c r="F1365" s="22" t="s">
        <v>140</v>
      </c>
      <c r="G1365" s="22" t="s">
        <v>835</v>
      </c>
      <c r="H1365" s="22" t="s">
        <v>2337</v>
      </c>
      <c r="I1365" s="22" t="s">
        <v>9732</v>
      </c>
      <c r="J1365" s="22" t="s">
        <v>3991</v>
      </c>
      <c r="K1365" s="22" t="s">
        <v>43</v>
      </c>
      <c r="L1365" s="22" t="s">
        <v>52</v>
      </c>
      <c r="M1365" s="22" t="s">
        <v>52</v>
      </c>
      <c r="N1365" s="22" t="s">
        <v>9733</v>
      </c>
      <c r="O1365" s="23" t="s">
        <v>9734</v>
      </c>
      <c r="P1365" s="22" t="s">
        <v>75</v>
      </c>
      <c r="Q1365" s="50" t="s">
        <v>49</v>
      </c>
      <c r="R1365" s="22" t="s">
        <v>9735</v>
      </c>
      <c r="S1365" s="22" t="s">
        <v>51</v>
      </c>
      <c r="T1365" s="22" t="s">
        <v>3991</v>
      </c>
      <c r="U1365" s="22" t="s">
        <v>9736</v>
      </c>
      <c r="V1365" s="22" t="s">
        <v>52</v>
      </c>
      <c r="W1365" s="18">
        <v>46028.0</v>
      </c>
      <c r="X1365" s="20">
        <v>0.7993055555555556</v>
      </c>
      <c r="Y1365" s="18">
        <v>46028.0</v>
      </c>
      <c r="Z1365" s="20">
        <v>0.8166666666666667</v>
      </c>
      <c r="AA1365" s="20">
        <v>0.8173611111111111</v>
      </c>
      <c r="AB1365" s="54"/>
      <c r="AC1365" s="54"/>
      <c r="AD1365" s="51">
        <v>0.825</v>
      </c>
      <c r="AE1365" s="18">
        <v>46028.0</v>
      </c>
      <c r="AF1365" s="22" t="s">
        <v>7020</v>
      </c>
      <c r="AG1365" s="22" t="s">
        <v>162</v>
      </c>
      <c r="AH1365" s="22" t="s">
        <v>9737</v>
      </c>
      <c r="AI1365" s="62" t="str">
        <f>IFERROR(__xludf.DUMMYFUNCTION("IF(OR(W1365="""",X1365="""",AE1365="""",AD1365=""""),"""",
   TEXT(
     (
       (AE1365+AD1365 + IF(AE1365+AD1365 &lt; W1365+X1365,1,0)) - (W1365+X1365)
     )
     - IF(AND(AB1365&lt;&gt;"""",AC1365&lt;&gt;""""), 
          SUM(ARRAYFORMULA(SPLIT(AC1365,"","") - SPLI"&amp;"T(AB1365,"",""))), 
          0
       ),
     ""[hh]:mm""
   )
)
"),"00:37")</f>
        <v>00:37</v>
      </c>
      <c r="AJ1365" s="27">
        <f t="shared" si="16"/>
        <v>0</v>
      </c>
      <c r="AK1365" s="63" t="str">
        <f t="shared" si="17"/>
        <v>Pass</v>
      </c>
    </row>
    <row r="1366">
      <c r="A1366" s="45">
        <v>46029.0</v>
      </c>
      <c r="B1366" s="49">
        <v>0.1701388888888889</v>
      </c>
      <c r="C1366" s="45">
        <v>46029.0</v>
      </c>
      <c r="D1366" s="49">
        <v>0.3236111111111111</v>
      </c>
      <c r="E1366" s="21" t="s">
        <v>9738</v>
      </c>
      <c r="F1366" s="21" t="s">
        <v>3024</v>
      </c>
      <c r="G1366" s="21" t="s">
        <v>3025</v>
      </c>
      <c r="H1366" s="21" t="s">
        <v>1287</v>
      </c>
      <c r="I1366" s="21" t="s">
        <v>131</v>
      </c>
      <c r="J1366" s="21" t="s">
        <v>2253</v>
      </c>
      <c r="K1366" s="21" t="s">
        <v>43</v>
      </c>
      <c r="L1366" s="21" t="s">
        <v>805</v>
      </c>
      <c r="M1366" s="21" t="s">
        <v>9739</v>
      </c>
      <c r="N1366" s="21" t="s">
        <v>9740</v>
      </c>
      <c r="O1366" s="48" t="s">
        <v>9741</v>
      </c>
      <c r="P1366" s="21" t="s">
        <v>75</v>
      </c>
      <c r="Q1366" s="24" t="s">
        <v>65</v>
      </c>
      <c r="R1366" s="21" t="s">
        <v>9742</v>
      </c>
      <c r="S1366" s="22" t="s">
        <v>51</v>
      </c>
      <c r="T1366" s="21" t="s">
        <v>52</v>
      </c>
      <c r="U1366" s="21" t="s">
        <v>52</v>
      </c>
      <c r="V1366" s="21" t="s">
        <v>52</v>
      </c>
      <c r="W1366" s="45">
        <v>46029.0</v>
      </c>
      <c r="X1366" s="49">
        <v>1.0208333333333333</v>
      </c>
      <c r="Y1366" s="45">
        <v>46029.0</v>
      </c>
      <c r="Z1366" s="49">
        <v>1.0208333333333333</v>
      </c>
      <c r="AA1366" s="49">
        <v>1.0208333333333333</v>
      </c>
      <c r="AB1366" s="29"/>
      <c r="AC1366" s="29"/>
      <c r="AD1366" s="25">
        <v>1.0381944444444444</v>
      </c>
      <c r="AE1366" s="45">
        <v>46029.0</v>
      </c>
      <c r="AF1366" s="21" t="s">
        <v>9743</v>
      </c>
      <c r="AG1366" s="21" t="s">
        <v>3191</v>
      </c>
      <c r="AH1366" s="21" t="s">
        <v>9182</v>
      </c>
      <c r="AI1366" s="62" t="str">
        <f>IFERROR(__xludf.DUMMYFUNCTION("IF(OR(W1366="""",X1366="""",AE1366="""",AD1366=""""),"""",
   TEXT(
     (
       (AE1366+AD1366 + IF(AE1366+AD1366 &lt; W1366+X1366,1,0)) - (W1366+X1366)
     )
     - IF(AND(AB1366&lt;&gt;"""",AC1366&lt;&gt;""""), 
          SUM(ARRAYFORMULA(SPLIT(AC1366,"","") - SPLI"&amp;"T(AB1366,"",""))), 
          0
       ),
     ""[hh]:mm""
   )
)
"),"00:25")</f>
        <v>00:25</v>
      </c>
      <c r="AJ1366" s="27">
        <f t="shared" si="16"/>
        <v>0</v>
      </c>
      <c r="AK1366" s="63" t="str">
        <f t="shared" si="17"/>
        <v>Pass</v>
      </c>
    </row>
    <row r="1367">
      <c r="A1367" s="45">
        <v>46028.0</v>
      </c>
      <c r="B1367" s="49">
        <v>0.6625</v>
      </c>
      <c r="C1367" s="45">
        <v>46028.0</v>
      </c>
      <c r="D1367" s="49">
        <v>0.6701388888888888</v>
      </c>
      <c r="E1367" s="21" t="s">
        <v>9744</v>
      </c>
      <c r="F1367" s="21" t="s">
        <v>1324</v>
      </c>
      <c r="G1367" s="21" t="s">
        <v>1325</v>
      </c>
      <c r="H1367" s="21" t="s">
        <v>566</v>
      </c>
      <c r="I1367" s="21" t="s">
        <v>1944</v>
      </c>
      <c r="J1367" s="21" t="s">
        <v>2516</v>
      </c>
      <c r="K1367" s="21" t="s">
        <v>1576</v>
      </c>
      <c r="L1367" s="21" t="s">
        <v>1576</v>
      </c>
      <c r="M1367" s="21" t="s">
        <v>9745</v>
      </c>
      <c r="N1367" s="21" t="s">
        <v>9746</v>
      </c>
      <c r="O1367" s="48" t="s">
        <v>9747</v>
      </c>
      <c r="P1367" s="21" t="s">
        <v>48</v>
      </c>
      <c r="Q1367" s="24" t="s">
        <v>65</v>
      </c>
      <c r="R1367" s="21" t="s">
        <v>9748</v>
      </c>
      <c r="S1367" s="21" t="s">
        <v>51</v>
      </c>
      <c r="T1367" s="21" t="s">
        <v>52</v>
      </c>
      <c r="U1367" s="21" t="s">
        <v>52</v>
      </c>
      <c r="V1367" s="21" t="s">
        <v>52</v>
      </c>
      <c r="W1367" s="45">
        <v>46029.0</v>
      </c>
      <c r="X1367" s="49">
        <v>0.4166666666666667</v>
      </c>
      <c r="Y1367" s="45">
        <v>46029.0</v>
      </c>
      <c r="Z1367" s="49">
        <v>0.4270833333333333</v>
      </c>
      <c r="AA1367" s="49">
        <v>0.4375</v>
      </c>
      <c r="AB1367" s="29"/>
      <c r="AC1367" s="29"/>
      <c r="AD1367" s="25">
        <v>0.5694444444444444</v>
      </c>
      <c r="AE1367" s="45">
        <v>46029.0</v>
      </c>
      <c r="AF1367" s="21" t="s">
        <v>2918</v>
      </c>
      <c r="AG1367" s="21" t="s">
        <v>293</v>
      </c>
      <c r="AH1367" s="21" t="s">
        <v>9749</v>
      </c>
      <c r="AI1367" s="62" t="str">
        <f>IFERROR(__xludf.DUMMYFUNCTION("IF(OR(W1367="""",X1367="""",AE1367="""",AD1367=""""),"""",
   TEXT(
     (
       (AE1367+AD1367 + IF(AE1367+AD1367 &lt; W1367+X1367,1,0)) - (W1367+X1367)
     )
     - IF(AND(AB1367&lt;&gt;"""",AC1367&lt;&gt;""""), 
          SUM(ARRAYFORMULA(SPLIT(AC1367,"","") - SPLI"&amp;"T(AB1367,"",""))), 
          0
       ),
     ""[hh]:mm""
   )
)
"),"03:40")</f>
        <v>03:40</v>
      </c>
      <c r="AJ1367" s="27">
        <f t="shared" si="16"/>
        <v>0</v>
      </c>
      <c r="AK1367" s="63" t="str">
        <f t="shared" si="17"/>
        <v>Pass</v>
      </c>
    </row>
    <row r="1368">
      <c r="A1368" s="45">
        <v>46028.0</v>
      </c>
      <c r="B1368" s="49">
        <v>0.9680555555555556</v>
      </c>
      <c r="C1368" s="45">
        <v>46029.0</v>
      </c>
      <c r="D1368" s="49">
        <v>0.32569444444444445</v>
      </c>
      <c r="E1368" s="21" t="s">
        <v>9750</v>
      </c>
      <c r="F1368" s="21" t="s">
        <v>3481</v>
      </c>
      <c r="G1368" s="21" t="s">
        <v>3482</v>
      </c>
      <c r="H1368" s="21" t="s">
        <v>3840</v>
      </c>
      <c r="I1368" s="21" t="s">
        <v>60</v>
      </c>
      <c r="J1368" s="21" t="s">
        <v>3806</v>
      </c>
      <c r="K1368" s="21" t="s">
        <v>43</v>
      </c>
      <c r="L1368" s="21" t="s">
        <v>44</v>
      </c>
      <c r="M1368" s="21" t="s">
        <v>9751</v>
      </c>
      <c r="N1368" s="21" t="s">
        <v>9752</v>
      </c>
      <c r="O1368" s="48" t="s">
        <v>9753</v>
      </c>
      <c r="P1368" s="21" t="s">
        <v>75</v>
      </c>
      <c r="Q1368" s="24" t="s">
        <v>65</v>
      </c>
      <c r="R1368" s="21" t="s">
        <v>9754</v>
      </c>
      <c r="S1368" s="21" t="s">
        <v>51</v>
      </c>
      <c r="T1368" s="21" t="s">
        <v>52</v>
      </c>
      <c r="U1368" s="21" t="s">
        <v>52</v>
      </c>
      <c r="V1368" s="21" t="s">
        <v>52</v>
      </c>
      <c r="W1368" s="45">
        <v>46029.0</v>
      </c>
      <c r="X1368" s="49">
        <v>0.43680555555555556</v>
      </c>
      <c r="Y1368" s="45">
        <v>46029.0</v>
      </c>
      <c r="Z1368" s="49">
        <v>0.5736111111111111</v>
      </c>
      <c r="AA1368" s="49">
        <v>0.5743055555555555</v>
      </c>
      <c r="AB1368" s="25">
        <v>0.5763888888888888</v>
      </c>
      <c r="AC1368" s="25">
        <v>0.5972222222222222</v>
      </c>
      <c r="AD1368" s="25">
        <v>0.6041666666666666</v>
      </c>
      <c r="AE1368" s="45">
        <v>46029.0</v>
      </c>
      <c r="AF1368" s="21" t="s">
        <v>6995</v>
      </c>
      <c r="AG1368" s="21" t="s">
        <v>162</v>
      </c>
      <c r="AH1368" s="21" t="s">
        <v>9755</v>
      </c>
      <c r="AI1368" s="62" t="str">
        <f>IFERROR(__xludf.DUMMYFUNCTION("IF(OR(W1368="""",X1368="""",AE1368="""",AD1368=""""),"""",
   TEXT(
     (
       (AE1368+AD1368 + IF(AE1368+AD1368 &lt; W1368+X1368,1,0)) - (W1368+X1368)
     )
     - IF(AND(AB1368&lt;&gt;"""",AC1368&lt;&gt;""""), 
          SUM(ARRAYFORMULA(SPLIT(AC1368,"","") - SPLI"&amp;"T(AB1368,"",""))), 
          0
       ),
     ""[hh]:mm""
   )
)
"),"03:31")</f>
        <v>03:31</v>
      </c>
      <c r="AJ1368" s="27">
        <f t="shared" si="16"/>
        <v>0</v>
      </c>
      <c r="AK1368" s="63" t="str">
        <f t="shared" si="17"/>
        <v>Pass</v>
      </c>
    </row>
    <row r="1369">
      <c r="A1369" s="45">
        <v>46029.0</v>
      </c>
      <c r="B1369" s="49">
        <v>0.18125</v>
      </c>
      <c r="C1369" s="45">
        <v>46029.0</v>
      </c>
      <c r="D1369" s="49">
        <v>0.3298611111111111</v>
      </c>
      <c r="E1369" s="21" t="s">
        <v>9756</v>
      </c>
      <c r="F1369" s="21" t="s">
        <v>3047</v>
      </c>
      <c r="G1369" s="21" t="s">
        <v>9757</v>
      </c>
      <c r="H1369" s="21" t="s">
        <v>1610</v>
      </c>
      <c r="I1369" s="21" t="s">
        <v>1612</v>
      </c>
      <c r="J1369" s="21" t="s">
        <v>1612</v>
      </c>
      <c r="K1369" s="21" t="s">
        <v>143</v>
      </c>
      <c r="L1369" s="21" t="s">
        <v>356</v>
      </c>
      <c r="M1369" s="21" t="s">
        <v>9758</v>
      </c>
      <c r="N1369" s="21" t="s">
        <v>9759</v>
      </c>
      <c r="O1369" s="48" t="s">
        <v>9760</v>
      </c>
      <c r="P1369" s="21" t="s">
        <v>187</v>
      </c>
      <c r="Q1369" s="24" t="s">
        <v>65</v>
      </c>
      <c r="R1369" s="21" t="s">
        <v>5017</v>
      </c>
      <c r="S1369" s="21" t="s">
        <v>51</v>
      </c>
      <c r="T1369" s="21" t="s">
        <v>52</v>
      </c>
      <c r="U1369" s="21" t="s">
        <v>52</v>
      </c>
      <c r="V1369" s="21" t="s">
        <v>52</v>
      </c>
      <c r="W1369" s="45">
        <v>46029.0</v>
      </c>
      <c r="X1369" s="49">
        <v>0.3298611111111111</v>
      </c>
      <c r="Y1369" s="45">
        <v>46029.0</v>
      </c>
      <c r="Z1369" s="49">
        <v>0.4375</v>
      </c>
      <c r="AA1369" s="49">
        <v>0.4444444444444444</v>
      </c>
      <c r="AB1369" s="25">
        <v>0.5</v>
      </c>
      <c r="AC1369" s="25">
        <v>0.5416666666666666</v>
      </c>
      <c r="AD1369" s="25">
        <v>0.5555555555555556</v>
      </c>
      <c r="AE1369" s="45">
        <v>46029.0</v>
      </c>
      <c r="AF1369" s="21" t="s">
        <v>3218</v>
      </c>
      <c r="AG1369" s="21" t="s">
        <v>54</v>
      </c>
      <c r="AH1369" s="21" t="s">
        <v>9761</v>
      </c>
      <c r="AI1369" s="62" t="str">
        <f>IFERROR(__xludf.DUMMYFUNCTION("IF(OR(W1369="""",X1369="""",AE1369="""",AD1369=""""),"""",
   TEXT(
     (
       (AE1369+AD1369 + IF(AE1369+AD1369 &lt; W1369+X1369,1,0)) - (W1369+X1369)
     )
     - IF(AND(AB1369&lt;&gt;"""",AC1369&lt;&gt;""""), 
          SUM(ARRAYFORMULA(SPLIT(AC1369,"","") - SPLI"&amp;"T(AB1369,"",""))), 
          0
       ),
     ""[hh]:mm""
   )
)
"),"04:25")</f>
        <v>04:25</v>
      </c>
      <c r="AJ1369" s="27">
        <f t="shared" si="16"/>
        <v>0</v>
      </c>
      <c r="AK1369" s="63" t="str">
        <f t="shared" si="17"/>
        <v>Pass</v>
      </c>
    </row>
    <row r="1370">
      <c r="A1370" s="45">
        <v>46029.0</v>
      </c>
      <c r="B1370" s="49">
        <v>0.18958333333333333</v>
      </c>
      <c r="C1370" s="45">
        <v>46029.0</v>
      </c>
      <c r="D1370" s="49">
        <v>0.33194444444444443</v>
      </c>
      <c r="E1370" s="21" t="s">
        <v>9762</v>
      </c>
      <c r="F1370" s="121" t="s">
        <v>5286</v>
      </c>
      <c r="G1370" s="121" t="s">
        <v>5287</v>
      </c>
      <c r="H1370" s="21" t="s">
        <v>1881</v>
      </c>
      <c r="I1370" s="21" t="s">
        <v>2185</v>
      </c>
      <c r="J1370" s="21" t="s">
        <v>644</v>
      </c>
      <c r="K1370" s="21" t="s">
        <v>143</v>
      </c>
      <c r="L1370" s="21" t="s">
        <v>1203</v>
      </c>
      <c r="M1370" s="21" t="s">
        <v>9763</v>
      </c>
      <c r="N1370" s="21" t="s">
        <v>9764</v>
      </c>
      <c r="O1370" s="47"/>
      <c r="P1370" s="21" t="s">
        <v>187</v>
      </c>
      <c r="Q1370" s="24" t="s">
        <v>65</v>
      </c>
      <c r="R1370" s="121" t="s">
        <v>9765</v>
      </c>
      <c r="S1370" s="21" t="s">
        <v>51</v>
      </c>
      <c r="T1370" s="47"/>
      <c r="U1370" s="47"/>
      <c r="V1370" s="47"/>
      <c r="W1370" s="69"/>
      <c r="X1370" s="46"/>
      <c r="Y1370" s="69"/>
      <c r="Z1370" s="46"/>
      <c r="AA1370" s="46"/>
      <c r="AB1370" s="29"/>
      <c r="AC1370" s="29"/>
      <c r="AD1370" s="29"/>
      <c r="AE1370" s="69"/>
      <c r="AF1370" s="21" t="s">
        <v>3218</v>
      </c>
      <c r="AG1370" s="47"/>
      <c r="AH1370" s="47"/>
      <c r="AI1370" s="64" t="str">
        <f>IFERROR(__xludf.DUMMYFUNCTION("IF(OR(W1370="""",X1370="""",AE1370="""",AD1370=""""),"""",
   TEXT(
     (
       (AE1370+AD1370 + IF(AE1370+AD1370 &lt; W1370+X1370,1,0)) - (W1370+X1370)
     )
     - IF(AND(AB1370&lt;&gt;"""",AC1370&lt;&gt;""""), 
          SUM(ARRAYFORMULA(SPLIT(AC1370,"","") - SPLI"&amp;"T(AB1370,"",""))), 
          0
       ),
     ""[hh]:mm""
   )
)
"),"")</f>
        <v/>
      </c>
      <c r="AJ1370" s="65" t="str">
        <f t="shared" si="16"/>
        <v/>
      </c>
      <c r="AK1370" s="66" t="str">
        <f t="shared" si="17"/>
        <v/>
      </c>
    </row>
    <row r="1371">
      <c r="A1371" s="45">
        <v>46029.0</v>
      </c>
      <c r="B1371" s="49">
        <v>0.3798611111111111</v>
      </c>
      <c r="C1371" s="45">
        <v>46029.0</v>
      </c>
      <c r="D1371" s="49">
        <v>0.3854166666666667</v>
      </c>
      <c r="E1371" s="21" t="s">
        <v>9766</v>
      </c>
      <c r="F1371" s="21" t="s">
        <v>4171</v>
      </c>
      <c r="G1371" s="21" t="s">
        <v>8975</v>
      </c>
      <c r="H1371" s="21" t="s">
        <v>566</v>
      </c>
      <c r="I1371" s="21" t="s">
        <v>1854</v>
      </c>
      <c r="J1371" s="21" t="s">
        <v>385</v>
      </c>
      <c r="K1371" s="21" t="s">
        <v>635</v>
      </c>
      <c r="L1371" s="21" t="s">
        <v>1585</v>
      </c>
      <c r="M1371" s="21" t="s">
        <v>9767</v>
      </c>
      <c r="N1371" s="21" t="s">
        <v>8977</v>
      </c>
      <c r="O1371" s="48" t="s">
        <v>9768</v>
      </c>
      <c r="P1371" s="21" t="s">
        <v>48</v>
      </c>
      <c r="Q1371" s="24" t="s">
        <v>49</v>
      </c>
      <c r="R1371" s="21" t="s">
        <v>9769</v>
      </c>
      <c r="S1371" s="21" t="s">
        <v>51</v>
      </c>
      <c r="T1371" s="21" t="s">
        <v>52</v>
      </c>
      <c r="U1371" s="21" t="s">
        <v>52</v>
      </c>
      <c r="V1371" s="21" t="s">
        <v>52</v>
      </c>
      <c r="W1371" s="45">
        <v>46029.0</v>
      </c>
      <c r="X1371" s="49">
        <v>0.3854166666666667</v>
      </c>
      <c r="Y1371" s="45">
        <v>46029.0</v>
      </c>
      <c r="Z1371" s="49">
        <v>0.4513888888888889</v>
      </c>
      <c r="AA1371" s="49">
        <v>0.4548611111111111</v>
      </c>
      <c r="AB1371" s="29"/>
      <c r="AC1371" s="29"/>
      <c r="AD1371" s="25">
        <v>0.5486111111111112</v>
      </c>
      <c r="AE1371" s="45">
        <v>46029.0</v>
      </c>
      <c r="AF1371" s="21" t="s">
        <v>2828</v>
      </c>
      <c r="AG1371" s="21" t="s">
        <v>102</v>
      </c>
      <c r="AH1371" s="21" t="s">
        <v>9770</v>
      </c>
      <c r="AI1371" s="62" t="str">
        <f>IFERROR(__xludf.DUMMYFUNCTION("IF(OR(W1371="""",X1371="""",AE1371="""",AD1371=""""),"""",
   TEXT(
     (
       (AE1371+AD1371 + IF(AE1371+AD1371 &lt; W1371+X1371,1,0)) - (W1371+X1371)
     )
     - IF(AND(AB1371&lt;&gt;"""",AC1371&lt;&gt;""""), 
          SUM(ARRAYFORMULA(SPLIT(AC1371,"","") - SPLI"&amp;"T(AB1371,"",""))), 
          0
       ),
     ""[hh]:mm""
   )
)
"),"03:55")</f>
        <v>03:55</v>
      </c>
      <c r="AJ1371" s="27">
        <f t="shared" si="16"/>
        <v>0</v>
      </c>
      <c r="AK1371" s="63" t="str">
        <f t="shared" si="17"/>
        <v>Pass</v>
      </c>
    </row>
    <row r="1372">
      <c r="A1372" s="45">
        <v>46029.0</v>
      </c>
      <c r="B1372" s="49">
        <v>0.3875</v>
      </c>
      <c r="C1372" s="45">
        <v>46029.0</v>
      </c>
      <c r="D1372" s="49">
        <v>0.3951388888888889</v>
      </c>
      <c r="E1372" s="21" t="s">
        <v>9771</v>
      </c>
      <c r="F1372" s="21" t="s">
        <v>5634</v>
      </c>
      <c r="G1372" s="21" t="s">
        <v>5635</v>
      </c>
      <c r="H1372" s="21" t="s">
        <v>566</v>
      </c>
      <c r="I1372" s="21" t="s">
        <v>95</v>
      </c>
      <c r="J1372" s="21" t="s">
        <v>95</v>
      </c>
      <c r="K1372" s="21" t="s">
        <v>143</v>
      </c>
      <c r="L1372" s="21" t="s">
        <v>606</v>
      </c>
      <c r="M1372" s="21" t="s">
        <v>9772</v>
      </c>
      <c r="N1372" s="21" t="s">
        <v>9773</v>
      </c>
      <c r="O1372" s="48" t="s">
        <v>9774</v>
      </c>
      <c r="P1372" s="21" t="s">
        <v>48</v>
      </c>
      <c r="Q1372" s="24" t="s">
        <v>49</v>
      </c>
      <c r="R1372" s="21" t="s">
        <v>9775</v>
      </c>
      <c r="S1372" s="21" t="s">
        <v>51</v>
      </c>
      <c r="T1372" s="21" t="s">
        <v>52</v>
      </c>
      <c r="U1372" s="21" t="s">
        <v>52</v>
      </c>
      <c r="V1372" s="21" t="s">
        <v>52</v>
      </c>
      <c r="W1372" s="45">
        <v>46029.0</v>
      </c>
      <c r="X1372" s="49">
        <v>0.3951388888888889</v>
      </c>
      <c r="Y1372" s="45">
        <v>46029.0</v>
      </c>
      <c r="Z1372" s="49">
        <v>0.4847222222222222</v>
      </c>
      <c r="AA1372" s="49">
        <v>0.48541666666666666</v>
      </c>
      <c r="AB1372" s="24" t="s">
        <v>9776</v>
      </c>
      <c r="AC1372" s="24" t="s">
        <v>9777</v>
      </c>
      <c r="AD1372" s="25">
        <v>0.5708333333333333</v>
      </c>
      <c r="AE1372" s="45">
        <v>46029.0</v>
      </c>
      <c r="AF1372" s="21" t="s">
        <v>6944</v>
      </c>
      <c r="AG1372" s="21" t="s">
        <v>9778</v>
      </c>
      <c r="AH1372" s="21" t="s">
        <v>9779</v>
      </c>
      <c r="AI1372" s="62" t="str">
        <f>IFERROR(__xludf.DUMMYFUNCTION("IF(OR(W1372="""",X1372="""",AE1372="""",AD1372=""""),"""",
   TEXT(
     (
       (AE1372+AD1372 + IF(AE1372+AD1372 &lt; W1372+X1372,1,0)) - (W1372+X1372)
     )
     - IF(AND(AB1372&lt;&gt;"""",AC1372&lt;&gt;""""), 
          SUM(ARRAYFORMULA(SPLIT(AC1372,"","") - SPLI"&amp;"T(AB1372,"",""))), 
          0
       ),
     ""[hh]:mm""
   )
)
"),"03:18")</f>
        <v>03:18</v>
      </c>
      <c r="AJ1372" s="27">
        <f t="shared" si="16"/>
        <v>0</v>
      </c>
      <c r="AK1372" s="63" t="str">
        <f t="shared" si="17"/>
        <v>Pass</v>
      </c>
    </row>
    <row r="1373">
      <c r="A1373" s="45">
        <v>46029.0</v>
      </c>
      <c r="B1373" s="49">
        <v>0.4548611111111111</v>
      </c>
      <c r="C1373" s="45">
        <v>46029.0</v>
      </c>
      <c r="D1373" s="49">
        <v>0.46041666666666664</v>
      </c>
      <c r="E1373" s="21" t="s">
        <v>9780</v>
      </c>
      <c r="F1373" s="121" t="s">
        <v>526</v>
      </c>
      <c r="G1373" s="121" t="s">
        <v>9781</v>
      </c>
      <c r="H1373" s="21" t="s">
        <v>1610</v>
      </c>
      <c r="I1373" s="21" t="s">
        <v>1612</v>
      </c>
      <c r="J1373" s="21" t="s">
        <v>1612</v>
      </c>
      <c r="K1373" s="21" t="s">
        <v>143</v>
      </c>
      <c r="L1373" s="21" t="s">
        <v>1613</v>
      </c>
      <c r="M1373" s="21" t="s">
        <v>9782</v>
      </c>
      <c r="N1373" s="21" t="s">
        <v>9783</v>
      </c>
      <c r="O1373" s="47"/>
      <c r="P1373" s="21" t="s">
        <v>187</v>
      </c>
      <c r="Q1373" s="24" t="s">
        <v>65</v>
      </c>
      <c r="R1373" s="121" t="s">
        <v>9784</v>
      </c>
      <c r="S1373" s="21" t="s">
        <v>51</v>
      </c>
      <c r="T1373" s="47"/>
      <c r="U1373" s="47"/>
      <c r="V1373" s="47"/>
      <c r="W1373" s="69"/>
      <c r="X1373" s="46"/>
      <c r="Y1373" s="69"/>
      <c r="Z1373" s="46"/>
      <c r="AA1373" s="46"/>
      <c r="AB1373" s="29"/>
      <c r="AC1373" s="29"/>
      <c r="AD1373" s="29"/>
      <c r="AE1373" s="69"/>
      <c r="AF1373" s="47"/>
      <c r="AG1373" s="47"/>
      <c r="AH1373" s="47"/>
      <c r="AI1373" s="64" t="str">
        <f>IFERROR(__xludf.DUMMYFUNCTION("IF(OR(W1373="""",X1373="""",AE1373="""",AD1373=""""),"""",
   TEXT(
     (
       (AE1373+AD1373 + IF(AE1373+AD1373 &lt; W1373+X1373,1,0)) - (W1373+X1373)
     )
     - IF(AND(AB1373&lt;&gt;"""",AC1373&lt;&gt;""""), 
          SUM(ARRAYFORMULA(SPLIT(AC1373,"","") - SPLI"&amp;"T(AB1373,"",""))), 
          0
       ),
     ""[hh]:mm""
   )
)
"),"")</f>
        <v/>
      </c>
      <c r="AJ1373" s="65" t="str">
        <f t="shared" si="16"/>
        <v/>
      </c>
      <c r="AK1373" s="66" t="str">
        <f t="shared" si="17"/>
        <v/>
      </c>
    </row>
    <row r="1374">
      <c r="A1374" s="45">
        <v>46029.0</v>
      </c>
      <c r="B1374" s="49">
        <v>0.55625</v>
      </c>
      <c r="C1374" s="45">
        <v>46029.0</v>
      </c>
      <c r="D1374" s="49">
        <v>0.5694444444444444</v>
      </c>
      <c r="E1374" s="21" t="s">
        <v>9785</v>
      </c>
      <c r="F1374" s="121" t="s">
        <v>1697</v>
      </c>
      <c r="G1374" s="121" t="s">
        <v>9786</v>
      </c>
      <c r="H1374" s="21" t="s">
        <v>1610</v>
      </c>
      <c r="I1374" s="21" t="s">
        <v>1612</v>
      </c>
      <c r="J1374" s="21" t="s">
        <v>1612</v>
      </c>
      <c r="K1374" s="21" t="s">
        <v>143</v>
      </c>
      <c r="L1374" s="21" t="s">
        <v>1613</v>
      </c>
      <c r="M1374" s="21" t="s">
        <v>9787</v>
      </c>
      <c r="N1374" s="21" t="s">
        <v>9788</v>
      </c>
      <c r="O1374" s="47"/>
      <c r="P1374" s="21" t="s">
        <v>187</v>
      </c>
      <c r="Q1374" s="24" t="s">
        <v>65</v>
      </c>
      <c r="R1374" s="121" t="s">
        <v>9789</v>
      </c>
      <c r="S1374" s="21" t="s">
        <v>51</v>
      </c>
      <c r="T1374" s="47"/>
      <c r="U1374" s="47"/>
      <c r="V1374" s="47"/>
      <c r="W1374" s="69"/>
      <c r="X1374" s="46"/>
      <c r="Y1374" s="69"/>
      <c r="Z1374" s="46"/>
      <c r="AA1374" s="46"/>
      <c r="AB1374" s="29"/>
      <c r="AC1374" s="29"/>
      <c r="AD1374" s="29"/>
      <c r="AE1374" s="69"/>
      <c r="AF1374" s="21" t="s">
        <v>2828</v>
      </c>
      <c r="AG1374" s="47"/>
      <c r="AH1374" s="47"/>
      <c r="AI1374" s="64" t="str">
        <f>IFERROR(__xludf.DUMMYFUNCTION("IF(OR(W1374="""",X1374="""",AE1374="""",AD1374=""""),"""",
   TEXT(
     (
       (AE1374+AD1374 + IF(AE1374+AD1374 &lt; W1374+X1374,1,0)) - (W1374+X1374)
     )
     - IF(AND(AB1374&lt;&gt;"""",AC1374&lt;&gt;""""), 
          SUM(ARRAYFORMULA(SPLIT(AC1374,"","") - SPLI"&amp;"T(AB1374,"",""))), 
          0
       ),
     ""[hh]:mm""
   )
)
"),"")</f>
        <v/>
      </c>
      <c r="AJ1374" s="65" t="str">
        <f t="shared" si="16"/>
        <v/>
      </c>
      <c r="AK1374" s="66" t="str">
        <f t="shared" si="17"/>
        <v/>
      </c>
    </row>
    <row r="1375">
      <c r="A1375" s="45">
        <v>46029.0</v>
      </c>
      <c r="B1375" s="49">
        <v>0.5625</v>
      </c>
      <c r="C1375" s="45">
        <v>46029.0</v>
      </c>
      <c r="D1375" s="49">
        <v>0.5666666666666667</v>
      </c>
      <c r="E1375" s="21" t="s">
        <v>9790</v>
      </c>
      <c r="F1375" s="121" t="s">
        <v>4555</v>
      </c>
      <c r="G1375" s="121" t="s">
        <v>4556</v>
      </c>
      <c r="H1375" s="21" t="s">
        <v>454</v>
      </c>
      <c r="I1375" s="21" t="s">
        <v>1497</v>
      </c>
      <c r="J1375" s="21" t="s">
        <v>95</v>
      </c>
      <c r="K1375" s="47"/>
      <c r="L1375" s="47"/>
      <c r="M1375" s="47"/>
      <c r="N1375" s="21" t="s">
        <v>9791</v>
      </c>
      <c r="O1375" s="47"/>
      <c r="P1375" s="21" t="s">
        <v>187</v>
      </c>
      <c r="Q1375" s="24" t="s">
        <v>49</v>
      </c>
      <c r="R1375" s="121" t="s">
        <v>9792</v>
      </c>
      <c r="S1375" s="21" t="s">
        <v>51</v>
      </c>
      <c r="T1375" s="47"/>
      <c r="U1375" s="47"/>
      <c r="V1375" s="47"/>
      <c r="W1375" s="69"/>
      <c r="X1375" s="46"/>
      <c r="Y1375" s="69"/>
      <c r="Z1375" s="46"/>
      <c r="AA1375" s="46"/>
      <c r="AB1375" s="29"/>
      <c r="AC1375" s="29"/>
      <c r="AD1375" s="29"/>
      <c r="AE1375" s="69"/>
      <c r="AF1375" s="21" t="s">
        <v>2828</v>
      </c>
      <c r="AG1375" s="47"/>
      <c r="AH1375" s="47"/>
      <c r="AI1375" s="64" t="str">
        <f>IFERROR(__xludf.DUMMYFUNCTION("IF(OR(W1375="""",X1375="""",AE1375="""",AD1375=""""),"""",
   TEXT(
     (
       (AE1375+AD1375 + IF(AE1375+AD1375 &lt; W1375+X1375,1,0)) - (W1375+X1375)
     )
     - IF(AND(AB1375&lt;&gt;"""",AC1375&lt;&gt;""""), 
          SUM(ARRAYFORMULA(SPLIT(AC1375,"","") - SPLI"&amp;"T(AB1375,"",""))), 
          0
       ),
     ""[hh]:mm""
   )
)
"),"")</f>
        <v/>
      </c>
      <c r="AJ1375" s="65" t="str">
        <f t="shared" si="16"/>
        <v/>
      </c>
      <c r="AK1375" s="66" t="str">
        <f t="shared" si="17"/>
        <v/>
      </c>
    </row>
  </sheetData>
  <dataValidations>
    <dataValidation type="list" allowBlank="1" sqref="I2:I81 I83:I604 I605:J605 I606:I1046 I1047:J1047 I1048:I1375">
      <formula1>#REF!</formula1>
    </dataValidation>
    <dataValidation type="list" allowBlank="1" showDropDown="1" showErrorMessage="1" sqref="Q2:Q1375">
      <formula1>"Sev2,Sev3,Sev1,Sev4"</formula1>
    </dataValidation>
    <dataValidation type="list" allowBlank="1" sqref="H2:H1375">
      <formula1>#REF!</formula1>
    </dataValidation>
    <dataValidation type="list" allowBlank="1" showDropDown="1" showErrorMessage="1" sqref="P2:P914 P917:P1375">
      <formula1>"Hardware,Network,Software"</formula1>
    </dataValidation>
    <dataValidation type="list" allowBlank="1" showErrorMessage="1" sqref="S2:S1375">
      <formula1>"Open,Ongoing,Hold,Pending,Revisit,Replacement,Closed,Completed,Duplicate,Cancelled,Misroute"</formula1>
    </dataValidation>
    <dataValidation type="list" allowBlank="1" sqref="J2:J604 J606:J1046 J1048:J1375">
      <formula1>#REF!</formula1>
    </dataValidation>
  </dataValidations>
  <drawing r:id="rId2"/>
  <legacyDrawing r:id="rId3"/>
</worksheet>
</file>